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C32DAD1-D41E-4D79-A101-B673078B752D}" xr6:coauthVersionLast="47" xr6:coauthVersionMax="47" xr10:uidLastSave="{00000000-0000-0000-0000-000000000000}"/>
  <bookViews>
    <workbookView xWindow="-120" yWindow="-120" windowWidth="20730" windowHeight="11040" tabRatio="777" xr2:uid="{2BE6F296-F55E-453F-9653-E52A07B04F8C}"/>
  </bookViews>
  <sheets>
    <sheet name="1 QZ VEXPENSES 01_2026" sheetId="2" r:id="rId1"/>
    <sheet name="Planilha3" sheetId="13" r:id="rId2"/>
    <sheet name="Planilha2" sheetId="12" state="hidden" r:id="rId3"/>
    <sheet name="Planilha1" sheetId="7" state="hidden" r:id="rId4"/>
    <sheet name="VALIDAÇÃO AGILLITAS" sheetId="4" state="hidden" r:id="rId5"/>
  </sheets>
  <definedNames>
    <definedName name="_xlnm._FilterDatabase" localSheetId="3" hidden="1">Planilha1!$B$1:$I$532</definedName>
    <definedName name="SegmentaçãodeDados_GESTOR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50" i="2" l="1"/>
  <c r="O349" i="2"/>
  <c r="O348" i="2"/>
  <c r="O347" i="2"/>
  <c r="O346" i="2"/>
  <c r="O345" i="2"/>
  <c r="O114" i="2"/>
  <c r="O344" i="2"/>
  <c r="O343" i="2"/>
  <c r="O342" i="2"/>
  <c r="O341" i="2"/>
  <c r="O340" i="2"/>
  <c r="O339" i="2"/>
  <c r="O130" i="2"/>
  <c r="O139" i="2"/>
  <c r="O338" i="2"/>
  <c r="O134" i="2"/>
  <c r="O337" i="2"/>
  <c r="O265" i="2"/>
  <c r="O336" i="2"/>
  <c r="O113" i="2"/>
  <c r="O333" i="2"/>
  <c r="O332" i="2"/>
  <c r="O331" i="2"/>
  <c r="O330" i="2"/>
  <c r="O327" i="2"/>
  <c r="O226" i="2"/>
  <c r="O326" i="2"/>
  <c r="O161" i="2"/>
  <c r="O254" i="2"/>
  <c r="O78" i="2"/>
  <c r="O324" i="2"/>
  <c r="O204" i="2"/>
  <c r="O34" i="2"/>
  <c r="O109" i="2"/>
  <c r="O323" i="2"/>
  <c r="O322" i="2"/>
  <c r="O321" i="2"/>
  <c r="O320" i="2"/>
  <c r="O318" i="2"/>
  <c r="O317" i="2"/>
  <c r="O315" i="2"/>
  <c r="O314" i="2"/>
  <c r="O196" i="2"/>
  <c r="O311" i="2"/>
  <c r="O112" i="2"/>
  <c r="O310" i="2"/>
  <c r="O202" i="2"/>
  <c r="O125" i="2"/>
  <c r="O115" i="2"/>
  <c r="O304" i="2"/>
  <c r="O303" i="2"/>
  <c r="O302" i="2"/>
  <c r="O301" i="2"/>
  <c r="O298" i="2"/>
  <c r="O295" i="2"/>
  <c r="O293" i="2"/>
  <c r="O291" i="2"/>
  <c r="O28" i="2"/>
  <c r="O131" i="2"/>
  <c r="O289" i="2"/>
  <c r="O287" i="2"/>
  <c r="O110" i="2"/>
  <c r="O116" i="2"/>
  <c r="O278" i="2"/>
  <c r="O92" i="2"/>
  <c r="O276" i="2"/>
  <c r="O273" i="2"/>
  <c r="O213" i="2"/>
  <c r="O225" i="2"/>
  <c r="O247" i="2"/>
  <c r="O264" i="2"/>
  <c r="O261" i="2"/>
  <c r="O260" i="2"/>
  <c r="O259" i="2"/>
  <c r="O248" i="2"/>
  <c r="O187" i="2"/>
  <c r="O257" i="2"/>
  <c r="O240" i="2"/>
  <c r="O255" i="2"/>
  <c r="O107" i="2"/>
  <c r="O104" i="2"/>
  <c r="O175" i="2"/>
  <c r="O68" i="2"/>
  <c r="O101" i="2"/>
  <c r="O45" i="2"/>
  <c r="O70" i="2"/>
  <c r="O210" i="2"/>
  <c r="O242" i="2"/>
  <c r="O163" i="2"/>
  <c r="O239" i="2"/>
  <c r="O65" i="2"/>
  <c r="O233" i="2"/>
  <c r="O232" i="2"/>
  <c r="O97" i="2"/>
  <c r="O229" i="2"/>
  <c r="O223" i="2"/>
  <c r="O58" i="2"/>
  <c r="O221" i="2"/>
  <c r="O219" i="2"/>
  <c r="O217" i="2"/>
  <c r="O216" i="2"/>
  <c r="O158" i="2"/>
  <c r="O40" i="2"/>
  <c r="O140" i="2"/>
  <c r="O77" i="2"/>
  <c r="O59" i="2"/>
  <c r="O49" i="2"/>
  <c r="O29" i="2"/>
  <c r="O44" i="2"/>
  <c r="O83" i="2"/>
  <c r="O73" i="2"/>
  <c r="O174" i="2"/>
  <c r="O98" i="2"/>
  <c r="O178" i="2"/>
  <c r="O74" i="2"/>
  <c r="O42" i="2"/>
  <c r="O17" i="2"/>
  <c r="O19" i="2"/>
  <c r="O51" i="2"/>
  <c r="O50" i="2"/>
  <c r="O189" i="2"/>
  <c r="O48" i="2"/>
  <c r="O9" i="2"/>
  <c r="O132" i="2"/>
  <c r="O198" i="2"/>
  <c r="O200" i="2"/>
  <c r="O133" i="2"/>
  <c r="O160" i="2"/>
  <c r="O181" i="2"/>
  <c r="O201" i="2"/>
  <c r="O24" i="2"/>
  <c r="O27" i="2"/>
  <c r="O55" i="2"/>
  <c r="O102" i="2"/>
  <c r="O62" i="2"/>
  <c r="O207" i="2"/>
  <c r="O60" i="2"/>
  <c r="O96" i="2"/>
  <c r="O214" i="2"/>
  <c r="O215" i="2"/>
  <c r="O84" i="2"/>
  <c r="O218" i="2"/>
  <c r="O54" i="2"/>
  <c r="O197" i="2"/>
  <c r="O63" i="2"/>
  <c r="O230" i="2"/>
  <c r="O23" i="2"/>
  <c r="O157" i="2"/>
  <c r="O236" i="2"/>
  <c r="O64" i="2"/>
  <c r="O143" i="2"/>
  <c r="O129" i="2"/>
  <c r="O243" i="2"/>
  <c r="O244" i="2"/>
  <c r="O245" i="2"/>
  <c r="O246" i="2"/>
  <c r="O85" i="2"/>
  <c r="O250" i="2"/>
  <c r="O91" i="2"/>
  <c r="O252" i="2"/>
  <c r="O69" i="2"/>
  <c r="O253" i="2"/>
  <c r="O256" i="2"/>
  <c r="O206" i="2"/>
  <c r="O151" i="2"/>
  <c r="O258" i="2"/>
  <c r="O184" i="2"/>
  <c r="O136" i="2"/>
  <c r="O32" i="2"/>
  <c r="O13" i="2"/>
  <c r="O266" i="2"/>
  <c r="O267" i="2"/>
  <c r="O270" i="2"/>
  <c r="O271" i="2"/>
  <c r="O272" i="2"/>
  <c r="O20" i="2"/>
  <c r="O275" i="2"/>
  <c r="O12" i="2"/>
  <c r="O111" i="2"/>
  <c r="O224" i="2"/>
  <c r="O281" i="2"/>
  <c r="O46" i="2"/>
  <c r="O66" i="2"/>
  <c r="O283" i="2"/>
  <c r="O285" i="2"/>
  <c r="O203" i="2"/>
  <c r="O286" i="2"/>
  <c r="O89" i="2"/>
  <c r="O288" i="2"/>
  <c r="O154" i="2"/>
  <c r="O180" i="2"/>
  <c r="O38" i="2"/>
  <c r="O31" i="2"/>
  <c r="O99" i="2"/>
  <c r="O156" i="2"/>
  <c r="O292" i="2"/>
  <c r="O108" i="2"/>
  <c r="O294" i="2"/>
  <c r="O297" i="2"/>
  <c r="O177" i="2"/>
  <c r="O299" i="2"/>
  <c r="O8" i="2"/>
  <c r="O10" i="2"/>
  <c r="O11" i="2"/>
  <c r="O14" i="2"/>
  <c r="O15" i="2"/>
  <c r="O16" i="2"/>
  <c r="O18" i="2"/>
  <c r="O21" i="2"/>
  <c r="O22" i="2"/>
  <c r="O25" i="2"/>
  <c r="O26" i="2"/>
  <c r="O30" i="2"/>
  <c r="O33" i="2"/>
  <c r="O35" i="2"/>
  <c r="O36" i="2"/>
  <c r="O37" i="2"/>
  <c r="O39" i="2"/>
  <c r="O41" i="2"/>
  <c r="O43" i="2"/>
  <c r="O47" i="2"/>
  <c r="O52" i="2"/>
  <c r="O56" i="2"/>
  <c r="O57" i="2"/>
  <c r="O61" i="2"/>
  <c r="O67" i="2"/>
  <c r="O75" i="2"/>
  <c r="O76" i="2"/>
  <c r="O79" i="2"/>
  <c r="O80" i="2"/>
  <c r="O81" i="2"/>
  <c r="O82" i="2"/>
  <c r="O86" i="2"/>
  <c r="O87" i="2"/>
  <c r="O88" i="2"/>
  <c r="O90" i="2"/>
  <c r="O93" i="2"/>
  <c r="O94" i="2"/>
  <c r="O95" i="2"/>
  <c r="O100" i="2"/>
  <c r="O103" i="2"/>
  <c r="O105" i="2"/>
  <c r="O106" i="2"/>
  <c r="O72" i="2"/>
  <c r="O117" i="2"/>
  <c r="O118" i="2"/>
  <c r="O119" i="2"/>
  <c r="O120" i="2"/>
  <c r="O121" i="2"/>
  <c r="O122" i="2"/>
  <c r="O123" i="2"/>
  <c r="O126" i="2"/>
  <c r="O127" i="2"/>
  <c r="O128" i="2"/>
  <c r="O135" i="2"/>
  <c r="O137" i="2"/>
  <c r="O138" i="2"/>
  <c r="O141" i="2"/>
  <c r="O142" i="2"/>
  <c r="O144" i="2"/>
  <c r="O145" i="2"/>
  <c r="O146" i="2"/>
  <c r="O147" i="2"/>
  <c r="O148" i="2"/>
  <c r="O149" i="2"/>
  <c r="O150" i="2"/>
  <c r="O152" i="2"/>
  <c r="O153" i="2"/>
  <c r="O155" i="2"/>
  <c r="O162" i="2"/>
  <c r="O164" i="2"/>
  <c r="O165" i="2"/>
  <c r="O166" i="2"/>
  <c r="O167" i="2"/>
  <c r="O169" i="2"/>
  <c r="O170" i="2"/>
  <c r="O71" i="2"/>
  <c r="O171" i="2"/>
  <c r="O172" i="2"/>
  <c r="O173" i="2"/>
  <c r="O176" i="2"/>
  <c r="O179" i="2"/>
  <c r="O182" i="2"/>
  <c r="O183" i="2"/>
  <c r="O185" i="2"/>
  <c r="O186" i="2"/>
  <c r="O188" i="2"/>
  <c r="O190" i="2"/>
  <c r="O191" i="2"/>
  <c r="O192" i="2"/>
  <c r="O193" i="2"/>
  <c r="O194" i="2"/>
  <c r="O195" i="2"/>
  <c r="O199" i="2"/>
  <c r="O205" i="2"/>
  <c r="O208" i="2"/>
  <c r="O209" i="2"/>
  <c r="O211" i="2"/>
  <c r="O212" i="2"/>
  <c r="O220" i="2"/>
  <c r="O222" i="2"/>
  <c r="O227" i="2"/>
  <c r="O228" i="2"/>
  <c r="O231" i="2"/>
  <c r="O234" i="2"/>
  <c r="O235" i="2"/>
  <c r="O237" i="2"/>
  <c r="O238" i="2"/>
  <c r="O241" i="2"/>
  <c r="O249" i="2"/>
  <c r="O251" i="2"/>
  <c r="O262" i="2"/>
  <c r="O263" i="2"/>
  <c r="O268" i="2"/>
  <c r="O269" i="2"/>
  <c r="O274" i="2"/>
  <c r="O277" i="2"/>
  <c r="O279" i="2"/>
  <c r="O280" i="2"/>
  <c r="O282" i="2"/>
  <c r="O284" i="2"/>
  <c r="O290" i="2"/>
  <c r="O296" i="2"/>
  <c r="O300" i="2"/>
  <c r="O305" i="2"/>
  <c r="O306" i="2"/>
  <c r="O307" i="2"/>
  <c r="O308" i="2"/>
  <c r="O309" i="2"/>
  <c r="O312" i="2"/>
  <c r="O313" i="2"/>
  <c r="O316" i="2"/>
  <c r="O319" i="2"/>
  <c r="O325" i="2"/>
  <c r="O328" i="2"/>
  <c r="O329" i="2"/>
  <c r="O334" i="2"/>
  <c r="O335" i="2"/>
  <c r="O351" i="2"/>
  <c r="O352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159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I5" i="2" l="1"/>
  <c r="N471" i="2" l="1"/>
  <c r="P471" i="2" s="1"/>
  <c r="N128" i="2"/>
  <c r="P128" i="2" s="1"/>
  <c r="N404" i="2"/>
  <c r="P404" i="2" s="1"/>
  <c r="N32" i="2"/>
  <c r="N460" i="2"/>
  <c r="P460" i="2" s="1"/>
  <c r="N301" i="2"/>
  <c r="P301" i="2" s="1"/>
  <c r="N239" i="2"/>
  <c r="P239" i="2" s="1"/>
  <c r="N187" i="2"/>
  <c r="N415" i="2"/>
  <c r="P415" i="2" s="1"/>
  <c r="N385" i="2"/>
  <c r="P385" i="2" s="1"/>
  <c r="N122" i="2"/>
  <c r="N113" i="2"/>
  <c r="P113" i="2" s="1"/>
  <c r="N204" i="2"/>
  <c r="P204" i="2" s="1"/>
  <c r="N394" i="2"/>
  <c r="P394" i="2" s="1"/>
  <c r="N12" i="2"/>
  <c r="P12" i="2" s="1"/>
  <c r="N162" i="2"/>
  <c r="P162" i="2" s="1"/>
  <c r="N384" i="2"/>
  <c r="P384" i="2" s="1"/>
  <c r="N63" i="2"/>
  <c r="P63" i="2" s="1"/>
  <c r="N432" i="2"/>
  <c r="P432" i="2" s="1"/>
  <c r="N380" i="2"/>
  <c r="P380" i="2" s="1"/>
  <c r="N381" i="2"/>
  <c r="N134" i="2"/>
  <c r="N39" i="2"/>
  <c r="P39" i="2" s="1"/>
  <c r="N382" i="2"/>
  <c r="P382" i="2" s="1"/>
  <c r="N383" i="2"/>
  <c r="P383" i="2" s="1"/>
  <c r="N445" i="2"/>
  <c r="P445" i="2" s="1"/>
  <c r="N379" i="2"/>
  <c r="P379" i="2" s="1"/>
  <c r="N218" i="2"/>
  <c r="P218" i="2" s="1"/>
  <c r="N22" i="2"/>
  <c r="P22" i="2" s="1"/>
  <c r="N97" i="2"/>
  <c r="P97" i="2" s="1"/>
  <c r="N86" i="2"/>
  <c r="P86" i="2" s="1"/>
  <c r="N262" i="2"/>
  <c r="P262" i="2" s="1"/>
  <c r="N166" i="2"/>
  <c r="P166" i="2" s="1"/>
  <c r="N377" i="2"/>
  <c r="P377" i="2" s="1"/>
  <c r="N506" i="2"/>
  <c r="P506" i="2" s="1"/>
  <c r="N378" i="2"/>
  <c r="P378" i="2" s="1"/>
  <c r="N409" i="2"/>
  <c r="P409" i="2" s="1"/>
  <c r="N98" i="2"/>
  <c r="P98" i="2" s="1"/>
  <c r="N376" i="2"/>
  <c r="P376" i="2" s="1"/>
  <c r="N235" i="2"/>
  <c r="P235" i="2" s="1"/>
  <c r="N390" i="2"/>
  <c r="P390" i="2" s="1"/>
  <c r="N498" i="2"/>
  <c r="P498" i="2" s="1"/>
  <c r="N106" i="2"/>
  <c r="P106" i="2" s="1"/>
  <c r="N407" i="2"/>
  <c r="P407" i="2" s="1"/>
  <c r="N217" i="2"/>
  <c r="P217" i="2" s="1"/>
  <c r="N500" i="2"/>
  <c r="P500" i="2" s="1"/>
  <c r="N212" i="2"/>
  <c r="P212" i="2" s="1"/>
  <c r="N129" i="2"/>
  <c r="P129" i="2" s="1"/>
  <c r="N108" i="2"/>
  <c r="P108" i="2" s="1"/>
  <c r="N295" i="2"/>
  <c r="P295" i="2" s="1"/>
  <c r="N419" i="2"/>
  <c r="P419" i="2" s="1"/>
  <c r="N505" i="2"/>
  <c r="P505" i="2" s="1"/>
  <c r="N502" i="2"/>
  <c r="P502" i="2" s="1"/>
  <c r="N40" i="2"/>
  <c r="P40" i="2" s="1"/>
  <c r="N186" i="2"/>
  <c r="P186" i="2" s="1"/>
  <c r="N191" i="2"/>
  <c r="P191" i="2" s="1"/>
  <c r="N139" i="2"/>
  <c r="P139" i="2" s="1"/>
  <c r="N194" i="2"/>
  <c r="P194" i="2" s="1"/>
  <c r="N165" i="2"/>
  <c r="P165" i="2" s="1"/>
  <c r="N494" i="2"/>
  <c r="P494" i="2" s="1"/>
  <c r="N25" i="2"/>
  <c r="P25" i="2" s="1"/>
  <c r="N375" i="2"/>
  <c r="P375" i="2" s="1"/>
  <c r="N421" i="2"/>
  <c r="N20" i="2"/>
  <c r="P20" i="2" s="1"/>
  <c r="N374" i="2"/>
  <c r="P374" i="2" s="1"/>
  <c r="N238" i="2"/>
  <c r="P238" i="2" s="1"/>
  <c r="N197" i="2"/>
  <c r="P197" i="2" s="1"/>
  <c r="N21" i="2"/>
  <c r="P21" i="2" s="1"/>
  <c r="N52" i="2"/>
  <c r="P52" i="2" s="1"/>
  <c r="N372" i="2"/>
  <c r="P372" i="2" s="1"/>
  <c r="N482" i="2"/>
  <c r="P482" i="2" s="1"/>
  <c r="N344" i="2"/>
  <c r="P344" i="2" s="1"/>
  <c r="N182" i="2"/>
  <c r="P182" i="2" s="1"/>
  <c r="N61" i="2"/>
  <c r="P61" i="2" s="1"/>
  <c r="N321" i="2"/>
  <c r="P321" i="2" s="1"/>
  <c r="N96" i="2"/>
  <c r="P96" i="2" s="1"/>
  <c r="N373" i="2"/>
  <c r="P373" i="2" s="1"/>
  <c r="N252" i="2"/>
  <c r="P252" i="2" s="1"/>
  <c r="N466" i="2"/>
  <c r="P466" i="2" s="1"/>
  <c r="N508" i="2"/>
  <c r="P508" i="2" s="1"/>
  <c r="N299" i="2"/>
  <c r="N208" i="2"/>
  <c r="P208" i="2" s="1"/>
  <c r="N240" i="2"/>
  <c r="P240" i="2" s="1"/>
  <c r="N164" i="2"/>
  <c r="N279" i="2"/>
  <c r="P279" i="2" s="1"/>
  <c r="N477" i="2"/>
  <c r="P477" i="2" s="1"/>
  <c r="N437" i="2"/>
  <c r="P437" i="2" s="1"/>
  <c r="N50" i="2"/>
  <c r="P50" i="2" s="1"/>
  <c r="N371" i="2"/>
  <c r="P371" i="2" s="1"/>
  <c r="N33" i="2"/>
  <c r="P33" i="2" s="1"/>
  <c r="N459" i="2"/>
  <c r="P459" i="2" s="1"/>
  <c r="N245" i="2"/>
  <c r="P245" i="2" s="1"/>
  <c r="N268" i="2"/>
  <c r="P268" i="2" s="1"/>
  <c r="N436" i="2"/>
  <c r="P436" i="2" s="1"/>
  <c r="N452" i="2"/>
  <c r="P452" i="2" s="1"/>
  <c r="N435" i="2"/>
  <c r="P435" i="2" s="1"/>
  <c r="N127" i="2"/>
  <c r="P127" i="2" s="1"/>
  <c r="N293" i="2"/>
  <c r="P293" i="2" s="1"/>
  <c r="N329" i="2"/>
  <c r="P329" i="2" s="1"/>
  <c r="N304" i="2"/>
  <c r="P304" i="2" s="1"/>
  <c r="N448" i="2"/>
  <c r="N60" i="2"/>
  <c r="P60" i="2" s="1"/>
  <c r="N8" i="2"/>
  <c r="P8" i="2" s="1"/>
  <c r="N158" i="2"/>
  <c r="P158" i="2" s="1"/>
  <c r="N368" i="2"/>
  <c r="N116" i="2"/>
  <c r="P116" i="2" s="1"/>
  <c r="N145" i="2"/>
  <c r="P145" i="2" s="1"/>
  <c r="N221" i="2"/>
  <c r="N67" i="2"/>
  <c r="N369" i="2"/>
  <c r="P369" i="2" s="1"/>
  <c r="N195" i="2"/>
  <c r="P195" i="2" s="1"/>
  <c r="N370" i="2"/>
  <c r="P370" i="2" s="1"/>
  <c r="N136" i="2"/>
  <c r="N141" i="2"/>
  <c r="P141" i="2" s="1"/>
  <c r="N389" i="2"/>
  <c r="P389" i="2" s="1"/>
  <c r="N325" i="2"/>
  <c r="P325" i="2" s="1"/>
  <c r="N41" i="2"/>
  <c r="P41" i="2" s="1"/>
  <c r="N355" i="2"/>
  <c r="P355" i="2" s="1"/>
  <c r="N296" i="2"/>
  <c r="P296" i="2" s="1"/>
  <c r="N357" i="2"/>
  <c r="P357" i="2" s="1"/>
  <c r="N463" i="2"/>
  <c r="P463" i="2" s="1"/>
  <c r="N82" i="2"/>
  <c r="P82" i="2" s="1"/>
  <c r="N425" i="2"/>
  <c r="P425" i="2" s="1"/>
  <c r="N473" i="2"/>
  <c r="P473" i="2" s="1"/>
  <c r="N78" i="2"/>
  <c r="P78" i="2" s="1"/>
  <c r="N367" i="2"/>
  <c r="P367" i="2" s="1"/>
  <c r="N393" i="2"/>
  <c r="P393" i="2" s="1"/>
  <c r="N411" i="2"/>
  <c r="P411" i="2" s="1"/>
  <c r="N151" i="2"/>
  <c r="P151" i="2" s="1"/>
  <c r="N111" i="2"/>
  <c r="P111" i="2" s="1"/>
  <c r="N19" i="2"/>
  <c r="P19" i="2" s="1"/>
  <c r="N117" i="2"/>
  <c r="P117" i="2" s="1"/>
  <c r="N388" i="2"/>
  <c r="P388" i="2" s="1"/>
  <c r="N267" i="2"/>
  <c r="P267" i="2" s="1"/>
  <c r="N400" i="2"/>
  <c r="P400" i="2" s="1"/>
  <c r="N95" i="2"/>
  <c r="N45" i="2"/>
  <c r="P45" i="2" s="1"/>
  <c r="N305" i="2"/>
  <c r="P305" i="2" s="1"/>
  <c r="N397" i="2"/>
  <c r="P397" i="2" s="1"/>
  <c r="N387" i="2"/>
  <c r="P387" i="2" s="1"/>
  <c r="N395" i="2"/>
  <c r="P395" i="2" s="1"/>
  <c r="N132" i="2"/>
  <c r="P132" i="2" s="1"/>
  <c r="N37" i="2"/>
  <c r="P37" i="2" s="1"/>
  <c r="N249" i="2"/>
  <c r="P249" i="2" s="1"/>
  <c r="N213" i="2"/>
  <c r="P213" i="2" s="1"/>
  <c r="N364" i="2"/>
  <c r="P364" i="2" s="1"/>
  <c r="N248" i="2"/>
  <c r="P248" i="2" s="1"/>
  <c r="N365" i="2"/>
  <c r="P365" i="2" s="1"/>
  <c r="N366" i="2"/>
  <c r="P366" i="2" s="1"/>
  <c r="N307" i="2"/>
  <c r="P307" i="2" s="1"/>
  <c r="N433" i="2"/>
  <c r="P433" i="2" s="1"/>
  <c r="N483" i="2"/>
  <c r="P483" i="2" s="1"/>
  <c r="N386" i="2"/>
  <c r="P386" i="2" s="1"/>
  <c r="N170" i="2"/>
  <c r="P170" i="2" s="1"/>
  <c r="N446" i="2"/>
  <c r="Q446" i="2" s="1"/>
  <c r="N319" i="2"/>
  <c r="P319" i="2" s="1"/>
  <c r="N280" i="2"/>
  <c r="P280" i="2" s="1"/>
  <c r="N362" i="2"/>
  <c r="P362" i="2" s="1"/>
  <c r="N250" i="2"/>
  <c r="P250" i="2" s="1"/>
  <c r="N13" i="2"/>
  <c r="P13" i="2" s="1"/>
  <c r="N62" i="2"/>
  <c r="N230" i="2"/>
  <c r="P230" i="2" s="1"/>
  <c r="N287" i="2"/>
  <c r="P287" i="2" s="1"/>
  <c r="N160" i="2"/>
  <c r="P160" i="2" s="1"/>
  <c r="N331" i="2"/>
  <c r="N57" i="2"/>
  <c r="P57" i="2" s="1"/>
  <c r="N30" i="2"/>
  <c r="P30" i="2" s="1"/>
  <c r="N412" i="2"/>
  <c r="P412" i="2" s="1"/>
  <c r="N453" i="2"/>
  <c r="N475" i="2"/>
  <c r="P475" i="2" s="1"/>
  <c r="N363" i="2"/>
  <c r="P363" i="2" s="1"/>
  <c r="N81" i="2"/>
  <c r="P81" i="2" s="1"/>
  <c r="N349" i="2"/>
  <c r="P349" i="2" s="1"/>
  <c r="N261" i="2"/>
  <c r="P261" i="2" s="1"/>
  <c r="N156" i="2"/>
  <c r="P156" i="2" s="1"/>
  <c r="N434" i="2"/>
  <c r="P434" i="2" s="1"/>
  <c r="N51" i="2"/>
  <c r="P51" i="2" s="1"/>
  <c r="N229" i="2"/>
  <c r="P229" i="2" s="1"/>
  <c r="N223" i="2"/>
  <c r="N188" i="2"/>
  <c r="P188" i="2" s="1"/>
  <c r="N131" i="2"/>
  <c r="N503" i="2"/>
  <c r="P503" i="2" s="1"/>
  <c r="Q432" i="2" l="1"/>
  <c r="Q380" i="2"/>
  <c r="Q445" i="2"/>
  <c r="Q388" i="2"/>
  <c r="Q287" i="2"/>
  <c r="P446" i="2"/>
  <c r="Q13" i="2"/>
  <c r="Q362" i="2"/>
  <c r="Q382" i="2"/>
  <c r="Q39" i="2"/>
  <c r="Q134" i="2"/>
  <c r="Q381" i="2"/>
  <c r="P134" i="2"/>
  <c r="P381" i="2"/>
  <c r="Q383" i="2"/>
  <c r="Q483" i="2"/>
  <c r="Q363" i="2"/>
  <c r="Q239" i="2"/>
  <c r="Q250" i="2"/>
  <c r="Q412" i="2"/>
  <c r="Q151" i="2"/>
  <c r="Q57" i="2"/>
  <c r="Q30" i="2"/>
  <c r="Q122" i="2"/>
  <c r="Q128" i="2"/>
  <c r="Q393" i="2"/>
  <c r="Q385" i="2"/>
  <c r="Q301" i="2"/>
  <c r="Q81" i="2"/>
  <c r="Q19" i="2"/>
  <c r="Q367" i="2"/>
  <c r="Q160" i="2"/>
  <c r="Q475" i="2"/>
  <c r="Q230" i="2"/>
  <c r="Q170" i="2"/>
  <c r="Q319" i="2"/>
  <c r="Q411" i="2"/>
  <c r="Q117" i="2"/>
  <c r="Q415" i="2"/>
  <c r="Q460" i="2"/>
  <c r="Q471" i="2"/>
  <c r="Q187" i="2"/>
  <c r="Q32" i="2"/>
  <c r="Q453" i="2"/>
  <c r="Q331" i="2"/>
  <c r="Q62" i="2"/>
  <c r="Q386" i="2"/>
  <c r="Q111" i="2"/>
  <c r="P122" i="2"/>
  <c r="P453" i="2"/>
  <c r="P331" i="2"/>
  <c r="P62" i="2"/>
  <c r="Q204" i="2"/>
  <c r="Q280" i="2"/>
  <c r="Q63" i="2"/>
  <c r="Q394" i="2"/>
  <c r="Q404" i="2"/>
  <c r="Q384" i="2"/>
  <c r="Q262" i="2"/>
  <c r="P187" i="2"/>
  <c r="P32" i="2"/>
  <c r="Q12" i="2"/>
  <c r="Q162" i="2"/>
  <c r="Q113" i="2"/>
  <c r="Q506" i="2"/>
  <c r="Q86" i="2"/>
  <c r="Q191" i="2"/>
  <c r="Q379" i="2"/>
  <c r="Q22" i="2"/>
  <c r="Q502" i="2"/>
  <c r="Q186" i="2"/>
  <c r="Q218" i="2"/>
  <c r="Q96" i="2"/>
  <c r="Q500" i="2"/>
  <c r="Q377" i="2"/>
  <c r="Q166" i="2"/>
  <c r="Q378" i="2"/>
  <c r="Q212" i="2"/>
  <c r="Q106" i="2"/>
  <c r="Q376" i="2"/>
  <c r="Q97" i="2"/>
  <c r="Q295" i="2"/>
  <c r="Q98" i="2"/>
  <c r="Q375" i="2"/>
  <c r="Q498" i="2"/>
  <c r="Q505" i="2"/>
  <c r="Q419" i="2"/>
  <c r="Q129" i="2"/>
  <c r="Q407" i="2"/>
  <c r="Q235" i="2"/>
  <c r="Q409" i="2"/>
  <c r="Q40" i="2"/>
  <c r="Q374" i="2"/>
  <c r="Q108" i="2"/>
  <c r="Q217" i="2"/>
  <c r="Q390" i="2"/>
  <c r="Q20" i="2"/>
  <c r="Q482" i="2"/>
  <c r="Q372" i="2"/>
  <c r="Q208" i="2"/>
  <c r="Q421" i="2"/>
  <c r="Q52" i="2"/>
  <c r="Q194" i="2"/>
  <c r="Q21" i="2"/>
  <c r="Q25" i="2"/>
  <c r="Q139" i="2"/>
  <c r="Q240" i="2"/>
  <c r="Q466" i="2"/>
  <c r="Q321" i="2"/>
  <c r="Q252" i="2"/>
  <c r="Q61" i="2"/>
  <c r="Q494" i="2"/>
  <c r="P421" i="2"/>
  <c r="Q197" i="2"/>
  <c r="Q165" i="2"/>
  <c r="Q238" i="2"/>
  <c r="Q373" i="2"/>
  <c r="Q508" i="2"/>
  <c r="Q182" i="2"/>
  <c r="Q299" i="2"/>
  <c r="Q344" i="2"/>
  <c r="Q279" i="2"/>
  <c r="P299" i="2"/>
  <c r="Q371" i="2"/>
  <c r="Q435" i="2"/>
  <c r="Q50" i="2"/>
  <c r="Q164" i="2"/>
  <c r="Q452" i="2"/>
  <c r="Q245" i="2"/>
  <c r="Q437" i="2"/>
  <c r="Q436" i="2"/>
  <c r="Q366" i="2"/>
  <c r="P164" i="2"/>
  <c r="Q477" i="2"/>
  <c r="Q459" i="2"/>
  <c r="Q268" i="2"/>
  <c r="Q33" i="2"/>
  <c r="Q158" i="2"/>
  <c r="Q82" i="2"/>
  <c r="Q355" i="2"/>
  <c r="Q389" i="2"/>
  <c r="Q195" i="2"/>
  <c r="Q145" i="2"/>
  <c r="Q8" i="2"/>
  <c r="Q329" i="2"/>
  <c r="Q296" i="2"/>
  <c r="Q463" i="2"/>
  <c r="Q221" i="2"/>
  <c r="Q41" i="2"/>
  <c r="Q325" i="2"/>
  <c r="Q304" i="2"/>
  <c r="Q370" i="2"/>
  <c r="P221" i="2"/>
  <c r="Q141" i="2"/>
  <c r="Q369" i="2"/>
  <c r="Q116" i="2"/>
  <c r="Q60" i="2"/>
  <c r="Q293" i="2"/>
  <c r="Q136" i="2"/>
  <c r="Q67" i="2"/>
  <c r="Q368" i="2"/>
  <c r="Q127" i="2"/>
  <c r="Q357" i="2"/>
  <c r="Q448" i="2"/>
  <c r="Q307" i="2"/>
  <c r="Q364" i="2"/>
  <c r="Q78" i="2"/>
  <c r="P136" i="2"/>
  <c r="P67" i="2"/>
  <c r="P368" i="2"/>
  <c r="P448" i="2"/>
  <c r="Q349" i="2"/>
  <c r="Q267" i="2"/>
  <c r="Q473" i="2"/>
  <c r="Q37" i="2"/>
  <c r="Q425" i="2"/>
  <c r="Q229" i="2"/>
  <c r="Q132" i="2"/>
  <c r="Q387" i="2"/>
  <c r="Q433" i="2"/>
  <c r="Q400" i="2"/>
  <c r="Q249" i="2"/>
  <c r="Q248" i="2"/>
  <c r="Q213" i="2"/>
  <c r="Q45" i="2"/>
  <c r="Q95" i="2"/>
  <c r="Q397" i="2"/>
  <c r="Q365" i="2"/>
  <c r="P95" i="2"/>
  <c r="Q305" i="2"/>
  <c r="Q395" i="2"/>
  <c r="Q223" i="2"/>
  <c r="P223" i="2"/>
  <c r="Q434" i="2"/>
  <c r="Q188" i="2"/>
  <c r="Q156" i="2"/>
  <c r="Q261" i="2"/>
  <c r="Q131" i="2"/>
  <c r="Q51" i="2"/>
  <c r="Q503" i="2"/>
  <c r="P131" i="2"/>
  <c r="N489" i="2" l="1"/>
  <c r="Q489" i="2" s="1"/>
  <c r="N149" i="2"/>
  <c r="Q149" i="2" s="1"/>
  <c r="N288" i="2"/>
  <c r="Q288" i="2" s="1"/>
  <c r="N68" i="2"/>
  <c r="N449" i="2"/>
  <c r="Q449" i="2" s="1"/>
  <c r="N241" i="2"/>
  <c r="P149" i="2" l="1"/>
  <c r="P449" i="2"/>
  <c r="P241" i="2"/>
  <c r="P68" i="2"/>
  <c r="P288" i="2"/>
  <c r="M5" i="2" l="1"/>
  <c r="P489" i="2" l="1"/>
  <c r="K5" i="2" l="1"/>
  <c r="L5" i="2" l="1"/>
  <c r="J5" i="2" l="1"/>
  <c r="Q68" i="2" l="1"/>
  <c r="Q241" i="2"/>
  <c r="N356" i="2" l="1"/>
  <c r="N29" i="2"/>
  <c r="P356" i="2" l="1"/>
  <c r="Q356" i="2"/>
  <c r="Q29" i="2"/>
  <c r="P29" i="2"/>
  <c r="N456" i="2" l="1"/>
  <c r="N28" i="2"/>
  <c r="Q456" i="2" l="1"/>
  <c r="P456" i="2"/>
  <c r="Q28" i="2"/>
  <c r="P28" i="2"/>
  <c r="N202" i="2" l="1"/>
  <c r="N119" i="2"/>
  <c r="N9" i="2"/>
  <c r="N352" i="2"/>
  <c r="Q352" i="2" l="1"/>
  <c r="P352" i="2"/>
  <c r="Q202" i="2"/>
  <c r="P202" i="2"/>
  <c r="P9" i="2"/>
  <c r="Q9" i="2"/>
  <c r="Q119" i="2"/>
  <c r="P119" i="2"/>
  <c r="N398" i="2" l="1"/>
  <c r="P398" i="2" l="1"/>
  <c r="Q398" i="2"/>
  <c r="N420" i="2" l="1"/>
  <c r="N169" i="2"/>
  <c r="Q169" i="2" l="1"/>
  <c r="P169" i="2"/>
  <c r="Q420" i="2"/>
  <c r="P420" i="2"/>
  <c r="N269" i="2" l="1"/>
  <c r="P269" i="2" l="1"/>
  <c r="Q269" i="2"/>
  <c r="N179" i="2" l="1"/>
  <c r="N207" i="2"/>
  <c r="Q179" i="2" l="1"/>
  <c r="P179" i="2"/>
  <c r="N462" i="2"/>
  <c r="N414" i="2"/>
  <c r="N44" i="2"/>
  <c r="Q207" i="2"/>
  <c r="P207" i="2"/>
  <c r="N458" i="2"/>
  <c r="P414" i="2" l="1"/>
  <c r="Q414" i="2"/>
  <c r="Q458" i="2"/>
  <c r="P458" i="2"/>
  <c r="Q44" i="2"/>
  <c r="P44" i="2"/>
  <c r="Q462" i="2"/>
  <c r="P462" i="2"/>
  <c r="N79" i="2" l="1"/>
  <c r="N251" i="2"/>
  <c r="N46" i="2"/>
  <c r="N298" i="2"/>
  <c r="N361" i="2"/>
  <c r="N468" i="2"/>
  <c r="N159" i="2"/>
  <c r="Q361" i="2" l="1"/>
  <c r="P361" i="2"/>
  <c r="Q46" i="2"/>
  <c r="P46" i="2"/>
  <c r="Q79" i="2"/>
  <c r="P79" i="2"/>
  <c r="Q159" i="2"/>
  <c r="P159" i="2"/>
  <c r="Q468" i="2"/>
  <c r="P468" i="2"/>
  <c r="Q298" i="2"/>
  <c r="P298" i="2"/>
  <c r="Q251" i="2"/>
  <c r="P251" i="2"/>
  <c r="N410" i="2" l="1"/>
  <c r="N99" i="2"/>
  <c r="N167" i="2"/>
  <c r="N342" i="2"/>
  <c r="N189" i="2"/>
  <c r="N91" i="2"/>
  <c r="N87" i="2" l="1"/>
  <c r="N35" i="2"/>
  <c r="Q189" i="2"/>
  <c r="P189" i="2"/>
  <c r="Q342" i="2"/>
  <c r="P342" i="2"/>
  <c r="Q99" i="2"/>
  <c r="P99" i="2"/>
  <c r="P410" i="2"/>
  <c r="Q410" i="2"/>
  <c r="N71" i="2"/>
  <c r="N418" i="2"/>
  <c r="N88" i="2"/>
  <c r="N316" i="2"/>
  <c r="P91" i="2"/>
  <c r="Q91" i="2"/>
  <c r="P167" i="2"/>
  <c r="Q167" i="2"/>
  <c r="N101" i="2"/>
  <c r="N234" i="2"/>
  <c r="N15" i="2" l="1"/>
  <c r="N103" i="2"/>
  <c r="N123" i="2"/>
  <c r="N125" i="2"/>
  <c r="N59" i="2"/>
  <c r="N343" i="2"/>
  <c r="N399" i="2"/>
  <c r="N232" i="2"/>
  <c r="N444" i="2"/>
  <c r="N253" i="2"/>
  <c r="Q101" i="2"/>
  <c r="P101" i="2"/>
  <c r="Q88" i="2"/>
  <c r="P88" i="2"/>
  <c r="Q35" i="2"/>
  <c r="P35" i="2"/>
  <c r="N94" i="2"/>
  <c r="N73" i="2"/>
  <c r="N476" i="2"/>
  <c r="N266" i="2"/>
  <c r="Q234" i="2"/>
  <c r="P234" i="2"/>
  <c r="P316" i="2"/>
  <c r="Q316" i="2"/>
  <c r="P418" i="2"/>
  <c r="Q418" i="2"/>
  <c r="Q71" i="2"/>
  <c r="P71" i="2"/>
  <c r="Q87" i="2"/>
  <c r="P87" i="2"/>
  <c r="N222" i="2"/>
  <c r="N348" i="2"/>
  <c r="N225" i="2"/>
  <c r="N439" i="2"/>
  <c r="Q439" i="2" l="1"/>
  <c r="P439" i="2"/>
  <c r="Q225" i="2"/>
  <c r="P225" i="2"/>
  <c r="P222" i="2"/>
  <c r="Q222" i="2"/>
  <c r="Q476" i="2"/>
  <c r="P476" i="2"/>
  <c r="Q94" i="2"/>
  <c r="P94" i="2"/>
  <c r="Q444" i="2"/>
  <c r="P444" i="2"/>
  <c r="Q399" i="2"/>
  <c r="P399" i="2"/>
  <c r="Q125" i="2"/>
  <c r="P125" i="2"/>
  <c r="Q103" i="2"/>
  <c r="P103" i="2"/>
  <c r="P348" i="2"/>
  <c r="Q348" i="2"/>
  <c r="Q266" i="2"/>
  <c r="P266" i="2"/>
  <c r="Q73" i="2"/>
  <c r="P73" i="2"/>
  <c r="P253" i="2"/>
  <c r="Q253" i="2"/>
  <c r="Q232" i="2"/>
  <c r="P232" i="2"/>
  <c r="Q343" i="2"/>
  <c r="P343" i="2"/>
  <c r="P59" i="2"/>
  <c r="Q59" i="2"/>
  <c r="P123" i="2"/>
  <c r="Q123" i="2"/>
  <c r="Q15" i="2"/>
  <c r="P15" i="2"/>
  <c r="N133" i="2" l="1"/>
  <c r="N38" i="2"/>
  <c r="Q38" i="2" l="1"/>
  <c r="P38" i="2"/>
  <c r="P133" i="2"/>
  <c r="Q133" i="2"/>
  <c r="N481" i="2" l="1"/>
  <c r="Q481" i="2" l="1"/>
  <c r="P481" i="2"/>
  <c r="N278" i="2" l="1"/>
  <c r="N74" i="2"/>
  <c r="Q74" i="2" l="1"/>
  <c r="P74" i="2"/>
  <c r="Q278" i="2"/>
  <c r="P278" i="2"/>
  <c r="N478" i="2" l="1"/>
  <c r="N309" i="2"/>
  <c r="N490" i="2"/>
  <c r="N469" i="2"/>
  <c r="Q469" i="2" l="1"/>
  <c r="P469" i="2"/>
  <c r="Q490" i="2"/>
  <c r="P490" i="2"/>
  <c r="Q478" i="2"/>
  <c r="P478" i="2"/>
  <c r="P309" i="2"/>
  <c r="Q309" i="2"/>
  <c r="N443" i="2" l="1"/>
  <c r="N36" i="2"/>
  <c r="N330" i="2"/>
  <c r="N315" i="2"/>
  <c r="N314" i="2"/>
  <c r="N310" i="2"/>
  <c r="N347" i="2"/>
  <c r="N513" i="2"/>
  <c r="N216" i="2"/>
  <c r="N173" i="2"/>
  <c r="N277" i="2"/>
  <c r="N105" i="2"/>
  <c r="N161" i="2"/>
  <c r="N154" i="2"/>
  <c r="N53" i="2"/>
  <c r="N228" i="2"/>
  <c r="N258" i="2"/>
  <c r="N255" i="2"/>
  <c r="N286" i="2"/>
  <c r="N440" i="2"/>
  <c r="N89" i="2"/>
  <c r="N107" i="2"/>
  <c r="N43" i="2"/>
  <c r="N147" i="2"/>
  <c r="N313" i="2"/>
  <c r="N142" i="2"/>
  <c r="N297" i="2"/>
  <c r="N157" i="2"/>
  <c r="N236" i="2"/>
  <c r="N7" i="2"/>
  <c r="N338" i="2"/>
  <c r="N90" i="2"/>
  <c r="N492" i="2"/>
  <c r="N289" i="2"/>
  <c r="N281" i="2"/>
  <c r="N294" i="2"/>
  <c r="N359" i="2"/>
  <c r="N512" i="2"/>
  <c r="N135" i="2"/>
  <c r="N174" i="2"/>
  <c r="N485" i="2"/>
  <c r="N480" i="2"/>
  <c r="N486" i="2"/>
  <c r="N264" i="2"/>
  <c r="N26" i="2"/>
  <c r="N474" i="2"/>
  <c r="N155" i="2"/>
  <c r="N138" i="2"/>
  <c r="N181" i="2"/>
  <c r="N484" i="2"/>
  <c r="N185" i="2"/>
  <c r="N77" i="2"/>
  <c r="N31" i="2"/>
  <c r="N65" i="2"/>
  <c r="N457" i="2"/>
  <c r="N42" i="2"/>
  <c r="N320" i="2"/>
  <c r="N72" i="2"/>
  <c r="N69" i="2"/>
  <c r="N271" i="2"/>
  <c r="N431" i="2"/>
  <c r="N118" i="2"/>
  <c r="N49" i="2"/>
  <c r="N472" i="2"/>
  <c r="N104" i="2"/>
  <c r="N429" i="2"/>
  <c r="N121" i="2"/>
  <c r="N339" i="2"/>
  <c r="N215" i="2"/>
  <c r="N265" i="2"/>
  <c r="N272" i="2"/>
  <c r="N447" i="2"/>
  <c r="N201" i="2"/>
  <c r="N285" i="2"/>
  <c r="N345" i="2"/>
  <c r="N114" i="2"/>
  <c r="N184" i="2"/>
  <c r="N509" i="2"/>
  <c r="N353" i="2"/>
  <c r="N479" i="2"/>
  <c r="N168" i="2"/>
  <c r="N333" i="2"/>
  <c r="N337" i="2"/>
  <c r="N137" i="2"/>
  <c r="N178" i="2"/>
  <c r="N497" i="2"/>
  <c r="N172" i="2"/>
  <c r="N465" i="2"/>
  <c r="N254" i="2"/>
  <c r="N270" i="2"/>
  <c r="N290" i="2"/>
  <c r="N283" i="2"/>
  <c r="N438" i="2"/>
  <c r="N209" i="2"/>
  <c r="N150" i="2"/>
  <c r="N511" i="2"/>
  <c r="N428" i="2"/>
  <c r="N144" i="2"/>
  <c r="N312" i="2"/>
  <c r="N180" i="2"/>
  <c r="N327" i="2"/>
  <c r="N274" i="2"/>
  <c r="N335" i="2"/>
  <c r="N324" i="2"/>
  <c r="N75" i="2"/>
  <c r="N392" i="2"/>
  <c r="N246" i="2"/>
  <c r="N510" i="2"/>
  <c r="N259" i="2"/>
  <c r="N350" i="2"/>
  <c r="N346" i="2"/>
  <c r="N275" i="2"/>
  <c r="N396" i="2"/>
  <c r="N56" i="2"/>
  <c r="N292" i="2"/>
  <c r="N66" i="2"/>
  <c r="N190" i="2"/>
  <c r="N358" i="2"/>
  <c r="N351" i="2"/>
  <c r="N198" i="2"/>
  <c r="N242" i="2"/>
  <c r="N146" i="2"/>
  <c r="N273" i="2"/>
  <c r="N507" i="2"/>
  <c r="N354" i="2"/>
  <c r="N176" i="2"/>
  <c r="N401" i="2"/>
  <c r="N496" i="2"/>
  <c r="N205" i="2"/>
  <c r="N196" i="2"/>
  <c r="N244" i="2"/>
  <c r="N405" i="2"/>
  <c r="N340" i="2"/>
  <c r="N220" i="2"/>
  <c r="N193" i="2"/>
  <c r="N442" i="2"/>
  <c r="N317" i="2"/>
  <c r="N192" i="2"/>
  <c r="N441" i="2"/>
  <c r="N282" i="2"/>
  <c r="N450" i="2"/>
  <c r="N322" i="2"/>
  <c r="N451" i="2"/>
  <c r="N291" i="2"/>
  <c r="N183" i="2"/>
  <c r="N126" i="2"/>
  <c r="N27" i="2"/>
  <c r="N260" i="2"/>
  <c r="N64" i="2"/>
  <c r="N464" i="2"/>
  <c r="N311" i="2"/>
  <c r="N402" i="2"/>
  <c r="N332" i="2"/>
  <c r="N115" i="2"/>
  <c r="N120" i="2"/>
  <c r="N276" i="2"/>
  <c r="N227" i="2"/>
  <c r="N360" i="2"/>
  <c r="N34" i="2"/>
  <c r="N302" i="2"/>
  <c r="N403" i="2"/>
  <c r="N423" i="2"/>
  <c r="N243" i="2"/>
  <c r="N323" i="2"/>
  <c r="N226" i="2"/>
  <c r="N501" i="2"/>
  <c r="N318" i="2"/>
  <c r="N430" i="2"/>
  <c r="N148" i="2"/>
  <c r="N48" i="2"/>
  <c r="N211" i="2"/>
  <c r="N84" i="2"/>
  <c r="N80" i="2"/>
  <c r="N175" i="2"/>
  <c r="N16" i="2"/>
  <c r="N83" i="2"/>
  <c r="N100" i="2"/>
  <c r="N54" i="2"/>
  <c r="N58" i="2"/>
  <c r="N499" i="2"/>
  <c r="N200" i="2"/>
  <c r="N495" i="2"/>
  <c r="N109" i="2"/>
  <c r="N92" i="2"/>
  <c r="N426" i="2"/>
  <c r="N256" i="2"/>
  <c r="N70" i="2"/>
  <c r="N303" i="2"/>
  <c r="N406" i="2"/>
  <c r="N24" i="2"/>
  <c r="N308" i="2"/>
  <c r="N408" i="2"/>
  <c r="N334" i="2"/>
  <c r="N306" i="2"/>
  <c r="N263" i="2"/>
  <c r="N300" i="2"/>
  <c r="N417" i="2"/>
  <c r="N257" i="2"/>
  <c r="N23" i="2"/>
  <c r="N143" i="2"/>
  <c r="N76" i="2"/>
  <c r="N203" i="2"/>
  <c r="N112" i="2"/>
  <c r="N110" i="2"/>
  <c r="N153" i="2"/>
  <c r="N224" i="2"/>
  <c r="N17" i="2"/>
  <c r="N163" i="2"/>
  <c r="N210" i="2"/>
  <c r="N487" i="2"/>
  <c r="N219" i="2"/>
  <c r="N455" i="2"/>
  <c r="N152" i="2"/>
  <c r="N422" i="2"/>
  <c r="N171" i="2"/>
  <c r="N504" i="2"/>
  <c r="N10" i="2"/>
  <c r="N199" i="2"/>
  <c r="N341" i="2"/>
  <c r="N247" i="2"/>
  <c r="N461" i="2"/>
  <c r="N491" i="2"/>
  <c r="N233" i="2"/>
  <c r="N214" i="2"/>
  <c r="N124" i="2"/>
  <c r="N424" i="2"/>
  <c r="N130" i="2"/>
  <c r="N391" i="2"/>
  <c r="N413" i="2"/>
  <c r="N93" i="2"/>
  <c r="N47" i="2"/>
  <c r="N326" i="2"/>
  <c r="N427" i="2"/>
  <c r="N85" i="2"/>
  <c r="N231" i="2"/>
  <c r="N55" i="2"/>
  <c r="N177" i="2"/>
  <c r="N454" i="2"/>
  <c r="N18" i="2"/>
  <c r="N102" i="2"/>
  <c r="N237" i="2"/>
  <c r="N284" i="2"/>
  <c r="N416" i="2"/>
  <c r="N470" i="2"/>
  <c r="N140" i="2"/>
  <c r="N336" i="2"/>
  <c r="N11" i="2"/>
  <c r="N467" i="2"/>
  <c r="N14" i="2"/>
  <c r="N328" i="2"/>
  <c r="N493" i="2"/>
  <c r="N488" i="2"/>
  <c r="N206" i="2"/>
  <c r="N5" i="2" l="1"/>
  <c r="P488" i="2"/>
  <c r="Q488" i="2"/>
  <c r="Q467" i="2"/>
  <c r="P467" i="2"/>
  <c r="P470" i="2"/>
  <c r="Q470" i="2"/>
  <c r="P102" i="2"/>
  <c r="Q102" i="2"/>
  <c r="Q55" i="2"/>
  <c r="P55" i="2"/>
  <c r="Q326" i="2"/>
  <c r="P326" i="2"/>
  <c r="P130" i="2"/>
  <c r="Q130" i="2"/>
  <c r="P233" i="2"/>
  <c r="Q233" i="2"/>
  <c r="P219" i="2"/>
  <c r="Q219" i="2"/>
  <c r="P17" i="2"/>
  <c r="Q17" i="2"/>
  <c r="Q112" i="2"/>
  <c r="P112" i="2"/>
  <c r="Q23" i="2"/>
  <c r="P23" i="2"/>
  <c r="P263" i="2"/>
  <c r="Q263" i="2"/>
  <c r="Q308" i="2"/>
  <c r="P308" i="2"/>
  <c r="P109" i="2"/>
  <c r="Q109" i="2"/>
  <c r="Q58" i="2"/>
  <c r="P58" i="2"/>
  <c r="P80" i="2"/>
  <c r="Q80" i="2"/>
  <c r="P148" i="2"/>
  <c r="Q148" i="2"/>
  <c r="Q226" i="2"/>
  <c r="P226" i="2"/>
  <c r="P243" i="2"/>
  <c r="Q243" i="2"/>
  <c r="P34" i="2"/>
  <c r="Q34" i="2"/>
  <c r="Q115" i="2"/>
  <c r="P115" i="2"/>
  <c r="Q464" i="2"/>
  <c r="P464" i="2"/>
  <c r="P126" i="2"/>
  <c r="Q126" i="2"/>
  <c r="Q282" i="2"/>
  <c r="P282" i="2"/>
  <c r="P442" i="2"/>
  <c r="Q442" i="2"/>
  <c r="Q196" i="2"/>
  <c r="P196" i="2"/>
  <c r="Q401" i="2"/>
  <c r="P401" i="2"/>
  <c r="P507" i="2"/>
  <c r="Q507" i="2"/>
  <c r="Q146" i="2"/>
  <c r="P146" i="2"/>
  <c r="Q358" i="2"/>
  <c r="P358" i="2"/>
  <c r="Q396" i="2"/>
  <c r="P396" i="2"/>
  <c r="Q259" i="2"/>
  <c r="P259" i="2"/>
  <c r="Q75" i="2"/>
  <c r="P75" i="2"/>
  <c r="P327" i="2"/>
  <c r="Q327" i="2"/>
  <c r="Q312" i="2"/>
  <c r="P312" i="2"/>
  <c r="Q150" i="2"/>
  <c r="P150" i="2"/>
  <c r="P290" i="2"/>
  <c r="Q290" i="2"/>
  <c r="P172" i="2"/>
  <c r="Q172" i="2"/>
  <c r="P337" i="2"/>
  <c r="Q337" i="2"/>
  <c r="Q353" i="2"/>
  <c r="P353" i="2"/>
  <c r="Q509" i="2"/>
  <c r="P509" i="2"/>
  <c r="Q114" i="2"/>
  <c r="P114" i="2"/>
  <c r="P285" i="2"/>
  <c r="Q285" i="2"/>
  <c r="Q447" i="2"/>
  <c r="P447" i="2"/>
  <c r="P265" i="2"/>
  <c r="Q265" i="2"/>
  <c r="Q339" i="2"/>
  <c r="P339" i="2"/>
  <c r="Q429" i="2"/>
  <c r="P429" i="2"/>
  <c r="P472" i="2"/>
  <c r="Q472" i="2"/>
  <c r="Q118" i="2"/>
  <c r="P118" i="2"/>
  <c r="P271" i="2"/>
  <c r="Q271" i="2"/>
  <c r="Q72" i="2"/>
  <c r="P72" i="2"/>
  <c r="Q42" i="2"/>
  <c r="P42" i="2"/>
  <c r="Q65" i="2"/>
  <c r="P65" i="2"/>
  <c r="P77" i="2"/>
  <c r="Q77" i="2"/>
  <c r="P484" i="2"/>
  <c r="Q484" i="2"/>
  <c r="P138" i="2"/>
  <c r="Q138" i="2"/>
  <c r="Q474" i="2"/>
  <c r="P474" i="2"/>
  <c r="P486" i="2"/>
  <c r="Q486" i="2"/>
  <c r="Q485" i="2"/>
  <c r="P485" i="2"/>
  <c r="P135" i="2"/>
  <c r="Q135" i="2"/>
  <c r="Q359" i="2"/>
  <c r="P359" i="2"/>
  <c r="P281" i="2"/>
  <c r="Q281" i="2"/>
  <c r="Q492" i="2"/>
  <c r="P492" i="2"/>
  <c r="Q338" i="2"/>
  <c r="P338" i="2"/>
  <c r="P236" i="2"/>
  <c r="Q236" i="2"/>
  <c r="Q297" i="2"/>
  <c r="P297" i="2"/>
  <c r="Q313" i="2"/>
  <c r="P313" i="2"/>
  <c r="Q43" i="2"/>
  <c r="P43" i="2"/>
  <c r="P89" i="2"/>
  <c r="Q89" i="2"/>
  <c r="Q286" i="2"/>
  <c r="P286" i="2"/>
  <c r="P258" i="2"/>
  <c r="Q258" i="2"/>
  <c r="P53" i="2"/>
  <c r="Q53" i="2"/>
  <c r="P161" i="2"/>
  <c r="Q161" i="2"/>
  <c r="Q277" i="2"/>
  <c r="P277" i="2"/>
  <c r="Q216" i="2"/>
  <c r="P216" i="2"/>
  <c r="P347" i="2"/>
  <c r="Q347" i="2"/>
  <c r="Q310" i="2"/>
  <c r="P310" i="2"/>
  <c r="Q315" i="2"/>
  <c r="P315" i="2"/>
  <c r="P36" i="2"/>
  <c r="Q36" i="2"/>
  <c r="P328" i="2"/>
  <c r="Q328" i="2"/>
  <c r="Q336" i="2"/>
  <c r="P336" i="2"/>
  <c r="P284" i="2"/>
  <c r="Q284" i="2"/>
  <c r="Q454" i="2"/>
  <c r="P454" i="2"/>
  <c r="Q85" i="2"/>
  <c r="P85" i="2"/>
  <c r="Q93" i="2"/>
  <c r="P93" i="2"/>
  <c r="Q413" i="2"/>
  <c r="P413" i="2"/>
  <c r="P124" i="2"/>
  <c r="Q124" i="2"/>
  <c r="P461" i="2"/>
  <c r="Q461" i="2"/>
  <c r="Q341" i="2"/>
  <c r="P341" i="2"/>
  <c r="P504" i="2"/>
  <c r="Q504" i="2"/>
  <c r="Q422" i="2"/>
  <c r="P422" i="2"/>
  <c r="Q152" i="2"/>
  <c r="P152" i="2"/>
  <c r="P210" i="2"/>
  <c r="Q210" i="2"/>
  <c r="P153" i="2"/>
  <c r="Q153" i="2"/>
  <c r="Q76" i="2"/>
  <c r="P76" i="2"/>
  <c r="P417" i="2"/>
  <c r="Q417" i="2"/>
  <c r="Q334" i="2"/>
  <c r="P334" i="2"/>
  <c r="Q406" i="2"/>
  <c r="P406" i="2"/>
  <c r="Q426" i="2"/>
  <c r="P426" i="2"/>
  <c r="Q200" i="2"/>
  <c r="P200" i="2"/>
  <c r="Q100" i="2"/>
  <c r="P100" i="2"/>
  <c r="Q16" i="2"/>
  <c r="P16" i="2"/>
  <c r="Q211" i="2"/>
  <c r="P211" i="2"/>
  <c r="Q318" i="2"/>
  <c r="P318" i="2"/>
  <c r="Q403" i="2"/>
  <c r="P403" i="2"/>
  <c r="Q227" i="2"/>
  <c r="P227" i="2"/>
  <c r="P120" i="2"/>
  <c r="Q120" i="2"/>
  <c r="Q402" i="2"/>
  <c r="P402" i="2"/>
  <c r="Q260" i="2"/>
  <c r="P260" i="2"/>
  <c r="Q322" i="2"/>
  <c r="P322" i="2"/>
  <c r="Q192" i="2"/>
  <c r="P192" i="2"/>
  <c r="Q220" i="2"/>
  <c r="P220" i="2"/>
  <c r="Q405" i="2"/>
  <c r="P405" i="2"/>
  <c r="Q496" i="2"/>
  <c r="P496" i="2"/>
  <c r="Q354" i="2"/>
  <c r="P354" i="2"/>
  <c r="Q198" i="2"/>
  <c r="P198" i="2"/>
  <c r="Q292" i="2"/>
  <c r="P292" i="2"/>
  <c r="P346" i="2"/>
  <c r="Q346" i="2"/>
  <c r="Q246" i="2"/>
  <c r="P246" i="2"/>
  <c r="P335" i="2"/>
  <c r="Q335" i="2"/>
  <c r="Q428" i="2"/>
  <c r="P428" i="2"/>
  <c r="Q438" i="2"/>
  <c r="P438" i="2"/>
  <c r="P254" i="2"/>
  <c r="Q254" i="2"/>
  <c r="Q178" i="2"/>
  <c r="P178" i="2"/>
  <c r="Q168" i="2"/>
  <c r="P168" i="2"/>
  <c r="P206" i="2"/>
  <c r="Q206" i="2"/>
  <c r="P14" i="2"/>
  <c r="Q14" i="2"/>
  <c r="Q140" i="2"/>
  <c r="P140" i="2"/>
  <c r="Q237" i="2"/>
  <c r="P237" i="2"/>
  <c r="P231" i="2"/>
  <c r="Q231" i="2"/>
  <c r="Q47" i="2"/>
  <c r="P47" i="2"/>
  <c r="Q424" i="2"/>
  <c r="P424" i="2"/>
  <c r="Q491" i="2"/>
  <c r="P491" i="2"/>
  <c r="Q171" i="2"/>
  <c r="P171" i="2"/>
  <c r="P487" i="2"/>
  <c r="Q487" i="2"/>
  <c r="P224" i="2"/>
  <c r="Q224" i="2"/>
  <c r="Q203" i="2"/>
  <c r="P203" i="2"/>
  <c r="Q257" i="2"/>
  <c r="P257" i="2"/>
  <c r="P306" i="2"/>
  <c r="Q306" i="2"/>
  <c r="Q24" i="2"/>
  <c r="P24" i="2"/>
  <c r="Q256" i="2"/>
  <c r="P256" i="2"/>
  <c r="P495" i="2"/>
  <c r="Q495" i="2"/>
  <c r="Q54" i="2"/>
  <c r="P54" i="2"/>
  <c r="Q84" i="2"/>
  <c r="P84" i="2"/>
  <c r="P430" i="2"/>
  <c r="Q430" i="2"/>
  <c r="Q323" i="2"/>
  <c r="P323" i="2"/>
  <c r="Q302" i="2"/>
  <c r="P302" i="2"/>
  <c r="Q276" i="2"/>
  <c r="P276" i="2"/>
  <c r="Q64" i="2"/>
  <c r="P64" i="2"/>
  <c r="Q451" i="2"/>
  <c r="P451" i="2"/>
  <c r="Q441" i="2"/>
  <c r="P441" i="2"/>
  <c r="P193" i="2"/>
  <c r="Q193" i="2"/>
  <c r="Q244" i="2"/>
  <c r="P244" i="2"/>
  <c r="P242" i="2"/>
  <c r="Q242" i="2"/>
  <c r="Q190" i="2"/>
  <c r="P190" i="2"/>
  <c r="Q56" i="2"/>
  <c r="P56" i="2"/>
  <c r="Q350" i="2"/>
  <c r="P350" i="2"/>
  <c r="P392" i="2"/>
  <c r="Q392" i="2"/>
  <c r="P274" i="2"/>
  <c r="Q274" i="2"/>
  <c r="Q144" i="2"/>
  <c r="P144" i="2"/>
  <c r="P209" i="2"/>
  <c r="Q209" i="2"/>
  <c r="P465" i="2"/>
  <c r="Q465" i="2"/>
  <c r="P137" i="2"/>
  <c r="Q137" i="2"/>
  <c r="P333" i="2"/>
  <c r="Q333" i="2"/>
  <c r="Q479" i="2"/>
  <c r="P479" i="2"/>
  <c r="Q184" i="2"/>
  <c r="P184" i="2"/>
  <c r="Q345" i="2"/>
  <c r="P345" i="2"/>
  <c r="P201" i="2"/>
  <c r="Q201" i="2"/>
  <c r="Q272" i="2"/>
  <c r="P272" i="2"/>
  <c r="Q215" i="2"/>
  <c r="P215" i="2"/>
  <c r="Q121" i="2"/>
  <c r="P121" i="2"/>
  <c r="Q104" i="2"/>
  <c r="P104" i="2"/>
  <c r="Q49" i="2"/>
  <c r="P49" i="2"/>
  <c r="P431" i="2"/>
  <c r="Q431" i="2"/>
  <c r="P69" i="2"/>
  <c r="Q69" i="2"/>
  <c r="P320" i="2"/>
  <c r="Q320" i="2"/>
  <c r="Q457" i="2"/>
  <c r="P457" i="2"/>
  <c r="Q31" i="2"/>
  <c r="P31" i="2"/>
  <c r="Q185" i="2"/>
  <c r="P185" i="2"/>
  <c r="P181" i="2"/>
  <c r="Q181" i="2"/>
  <c r="Q155" i="2"/>
  <c r="P155" i="2"/>
  <c r="P26" i="2"/>
  <c r="Q26" i="2"/>
  <c r="Q264" i="2"/>
  <c r="P264" i="2"/>
  <c r="P480" i="2"/>
  <c r="Q480" i="2"/>
  <c r="Q174" i="2"/>
  <c r="P174" i="2"/>
  <c r="Q512" i="2"/>
  <c r="P512" i="2"/>
  <c r="Q294" i="2"/>
  <c r="P294" i="2"/>
  <c r="P289" i="2"/>
  <c r="Q289" i="2"/>
  <c r="Q90" i="2"/>
  <c r="P90" i="2"/>
  <c r="P7" i="2"/>
  <c r="Q157" i="2"/>
  <c r="P157" i="2"/>
  <c r="Q142" i="2"/>
  <c r="P142" i="2"/>
  <c r="Q147" i="2"/>
  <c r="P147" i="2"/>
  <c r="P107" i="2"/>
  <c r="Q107" i="2"/>
  <c r="Q440" i="2"/>
  <c r="P440" i="2"/>
  <c r="Q255" i="2"/>
  <c r="P255" i="2"/>
  <c r="P228" i="2"/>
  <c r="Q228" i="2"/>
  <c r="Q154" i="2"/>
  <c r="P154" i="2"/>
  <c r="P105" i="2"/>
  <c r="Q105" i="2"/>
  <c r="Q173" i="2"/>
  <c r="P173" i="2"/>
  <c r="Q513" i="2"/>
  <c r="P513" i="2"/>
  <c r="Q314" i="2"/>
  <c r="P314" i="2"/>
  <c r="Q330" i="2"/>
  <c r="P330" i="2"/>
  <c r="P443" i="2"/>
  <c r="Q443" i="2"/>
  <c r="Q493" i="2"/>
  <c r="P493" i="2"/>
  <c r="P11" i="2"/>
  <c r="Q11" i="2"/>
  <c r="Q416" i="2"/>
  <c r="P416" i="2"/>
  <c r="Q18" i="2"/>
  <c r="P18" i="2"/>
  <c r="Q177" i="2"/>
  <c r="P177" i="2"/>
  <c r="Q427" i="2"/>
  <c r="P427" i="2"/>
  <c r="P391" i="2"/>
  <c r="Q391" i="2"/>
  <c r="P214" i="2"/>
  <c r="Q214" i="2"/>
  <c r="Q247" i="2"/>
  <c r="P247" i="2"/>
  <c r="Q199" i="2"/>
  <c r="P199" i="2"/>
  <c r="Q10" i="2"/>
  <c r="P10" i="2"/>
  <c r="Q455" i="2"/>
  <c r="P455" i="2"/>
  <c r="P163" i="2"/>
  <c r="Q163" i="2"/>
  <c r="Q110" i="2"/>
  <c r="P110" i="2"/>
  <c r="Q143" i="2"/>
  <c r="P143" i="2"/>
  <c r="Q300" i="2"/>
  <c r="P300" i="2"/>
  <c r="P408" i="2"/>
  <c r="Q408" i="2"/>
  <c r="P303" i="2"/>
  <c r="Q303" i="2"/>
  <c r="Q70" i="2"/>
  <c r="P70" i="2"/>
  <c r="Q92" i="2"/>
  <c r="P92" i="2"/>
  <c r="P499" i="2"/>
  <c r="Q499" i="2"/>
  <c r="Q83" i="2"/>
  <c r="P83" i="2"/>
  <c r="Q175" i="2"/>
  <c r="P175" i="2"/>
  <c r="P48" i="2"/>
  <c r="Q48" i="2"/>
  <c r="Q501" i="2"/>
  <c r="P501" i="2"/>
  <c r="P423" i="2"/>
  <c r="Q423" i="2"/>
  <c r="Q360" i="2"/>
  <c r="P360" i="2"/>
  <c r="Q332" i="2"/>
  <c r="P332" i="2"/>
  <c r="Q311" i="2"/>
  <c r="P311" i="2"/>
  <c r="Q27" i="2"/>
  <c r="P27" i="2"/>
  <c r="Q183" i="2"/>
  <c r="P183" i="2"/>
  <c r="Q291" i="2"/>
  <c r="P291" i="2"/>
  <c r="Q450" i="2"/>
  <c r="P450" i="2"/>
  <c r="Q317" i="2"/>
  <c r="P317" i="2"/>
  <c r="Q340" i="2"/>
  <c r="P340" i="2"/>
  <c r="Q205" i="2"/>
  <c r="P205" i="2"/>
  <c r="Q176" i="2"/>
  <c r="P176" i="2"/>
  <c r="Q273" i="2"/>
  <c r="P273" i="2"/>
  <c r="Q351" i="2"/>
  <c r="P351" i="2"/>
  <c r="Q66" i="2"/>
  <c r="P66" i="2"/>
  <c r="P275" i="2"/>
  <c r="Q275" i="2"/>
  <c r="P510" i="2"/>
  <c r="Q510" i="2"/>
  <c r="Q324" i="2"/>
  <c r="P324" i="2"/>
  <c r="P180" i="2"/>
  <c r="Q180" i="2"/>
  <c r="Q511" i="2"/>
  <c r="P511" i="2"/>
  <c r="Q283" i="2"/>
  <c r="P283" i="2"/>
  <c r="P270" i="2"/>
  <c r="Q270" i="2"/>
  <c r="Q497" i="2"/>
  <c r="P497" i="2"/>
  <c r="P5" i="2" l="1"/>
  <c r="O5" i="2" l="1"/>
  <c r="Q7" i="2"/>
  <c r="Q5" i="2" s="1"/>
</calcChain>
</file>

<file path=xl/sharedStrings.xml><?xml version="1.0" encoding="utf-8"?>
<sst xmlns="http://schemas.openxmlformats.org/spreadsheetml/2006/main" count="13383" uniqueCount="2024">
  <si>
    <t>PORTADOR</t>
  </si>
  <si>
    <t>CPF</t>
  </si>
  <si>
    <t>STATUS COLAB</t>
  </si>
  <si>
    <t>CENTRO CUSTO</t>
  </si>
  <si>
    <t>COD CENTRO CUSTO</t>
  </si>
  <si>
    <t>GESTOR</t>
  </si>
  <si>
    <t>DIREÇÃO</t>
  </si>
  <si>
    <t>SALDO REEMBOLSAR</t>
  </si>
  <si>
    <t>SALDO FINAL</t>
  </si>
  <si>
    <t>SALDO CARTAO</t>
  </si>
  <si>
    <t>ADIANTAMENTO</t>
  </si>
  <si>
    <t>CARGA PARCIAL</t>
  </si>
  <si>
    <t>REEMBOLSO</t>
  </si>
  <si>
    <t>STATUS DO CARTAO</t>
  </si>
  <si>
    <t xml:space="preserve">OBS </t>
  </si>
  <si>
    <t>ADSON ARAUJO DA SILVA</t>
  </si>
  <si>
    <t>94551804304</t>
  </si>
  <si>
    <t>ATIVO</t>
  </si>
  <si>
    <t>CLARO INFRA NORDESTE</t>
  </si>
  <si>
    <t>GLAUCIO GONÇALVES</t>
  </si>
  <si>
    <t>ROGERIO SCATAMBULO</t>
  </si>
  <si>
    <t>Cartão ativo</t>
  </si>
  <si>
    <t>AGNO CHRISTIAN DE LIMA TELES</t>
  </si>
  <si>
    <t>06911519624</t>
  </si>
  <si>
    <t>CLARO INFRA MG</t>
  </si>
  <si>
    <t>HUGO ALEXANDRE</t>
  </si>
  <si>
    <t>ALAN RODRIGO SILVA ANDRADE</t>
  </si>
  <si>
    <t>07722232469</t>
  </si>
  <si>
    <t>BB ALAGOAS</t>
  </si>
  <si>
    <t>ALESSANDRO DE OLIVEIRA AZEVEDO</t>
  </si>
  <si>
    <t>27494577858</t>
  </si>
  <si>
    <t>CEF BAURU SP</t>
  </si>
  <si>
    <t>LEANDRO NUNES</t>
  </si>
  <si>
    <t>EVERSON GAIDSTIECHI</t>
  </si>
  <si>
    <t>AMANDA CRISTINA DA SILVA</t>
  </si>
  <si>
    <t>07809466690</t>
  </si>
  <si>
    <t>CEF FACILITIES BH</t>
  </si>
  <si>
    <t>ANTONIO DE PADUA LEITE</t>
  </si>
  <si>
    <t>26992280600</t>
  </si>
  <si>
    <t>VTAL CYBER MG</t>
  </si>
  <si>
    <t>ANTONIO JOSE PEREIRA DA SILVA</t>
  </si>
  <si>
    <t>08326260401</t>
  </si>
  <si>
    <t>TELEFONICA NE</t>
  </si>
  <si>
    <t>ARTHUR GOMES DE PAULO</t>
  </si>
  <si>
    <t>12877857603</t>
  </si>
  <si>
    <t>ARTHUR SANTOS DE OLIVEIRA</t>
  </si>
  <si>
    <t>13921847621</t>
  </si>
  <si>
    <t>BRUNA LAIS AZEVEDO CUNHA</t>
  </si>
  <si>
    <t>07747008406</t>
  </si>
  <si>
    <t>BRUNA LAIS DOS SANTOS PESSOA</t>
  </si>
  <si>
    <t>13459423625</t>
  </si>
  <si>
    <t>ASSEMBLEIA LEGISLATIVA MG</t>
  </si>
  <si>
    <t>BRUNO OLIVEIRA DIAS</t>
  </si>
  <si>
    <t>11992259755</t>
  </si>
  <si>
    <t>PTB TIC INFRA</t>
  </si>
  <si>
    <t>VINICIUS LOCATELLY</t>
  </si>
  <si>
    <t>MARCOS CARIAS</t>
  </si>
  <si>
    <t>CARLOS EDUARDO SCATAMBULO</t>
  </si>
  <si>
    <t>22730778829</t>
  </si>
  <si>
    <t>CEF LESTE SP</t>
  </si>
  <si>
    <t>CHARLES NEVES MATTIUZZI</t>
  </si>
  <si>
    <t>12547938790</t>
  </si>
  <si>
    <t>TELEFONICA ES</t>
  </si>
  <si>
    <t>CRISTIANO DA SILVA VALADARES</t>
  </si>
  <si>
    <t>99062208649</t>
  </si>
  <si>
    <t>CCBB BH MINAS</t>
  </si>
  <si>
    <t>DANIEL RIBEIRO DE CASTRO</t>
  </si>
  <si>
    <t>08496764605</t>
  </si>
  <si>
    <t>BB RUA RJ MG</t>
  </si>
  <si>
    <t>DIEGO DE ALCANTARA MOTA MENDES</t>
  </si>
  <si>
    <t>09407167631</t>
  </si>
  <si>
    <t>DJENIFER GABRIELE AVILA FREDERICH</t>
  </si>
  <si>
    <t>85025399068</t>
  </si>
  <si>
    <t>GESTAO DE PESSOAS</t>
  </si>
  <si>
    <t>CAROLINE SILVA</t>
  </si>
  <si>
    <t>THIAGO NEVES</t>
  </si>
  <si>
    <t>AÇÃO GP</t>
  </si>
  <si>
    <t>EDER AUGUSTO DE ARAUJO CARVALHO</t>
  </si>
  <si>
    <t>03985382638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</si>
  <si>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</si>
  <si>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</si>
  <si>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</si>
  <si>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</si>
  <si>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</si>
  <si>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</si>
  <si>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EMERSON LEITE DE BARROS</t>
  </si>
  <si>
    <t>34168918807</t>
  </si>
  <si>
    <t>PTB INFRA SUDESTE</t>
  </si>
  <si>
    <t>ERICSON PINHEIRO DOS SANTOS</t>
  </si>
  <si>
    <t>29157549850</t>
  </si>
  <si>
    <t>CEF FACILITIES SP</t>
  </si>
  <si>
    <t>FABIANA CAMILA BARBOSA DE MORAES LIMA</t>
  </si>
  <si>
    <t>38880279858</t>
  </si>
  <si>
    <t>ADM FILIAL SP</t>
  </si>
  <si>
    <t>FELIPE JOSE DE ALBUQUERQUE OLIVEIRA</t>
  </si>
  <si>
    <t>73574031491</t>
  </si>
  <si>
    <t>FRANCINILDO JACKSON DE ALMEIDA ARAUJO</t>
  </si>
  <si>
    <t>07021071400</t>
  </si>
  <si>
    <t>FRANCO ANDREY FREIRE DOS SANTOS</t>
  </si>
  <si>
    <t>04377268783</t>
  </si>
  <si>
    <t>CEF ES</t>
  </si>
  <si>
    <t>GENISSON DE PAIVA FERREIRA</t>
  </si>
  <si>
    <t>00714806501</t>
  </si>
  <si>
    <t>BB ARACAJU SE</t>
  </si>
  <si>
    <t>GUILHERME FERREIRA DA SILVA</t>
  </si>
  <si>
    <t>41997553813</t>
  </si>
  <si>
    <t>CEF RECIFE PE</t>
  </si>
  <si>
    <t>GUILHERME MOTTA RIBEIRO SILVA</t>
  </si>
  <si>
    <t>11178519740</t>
  </si>
  <si>
    <t>HUGO DELLA JUSTINA</t>
  </si>
  <si>
    <t>03031202902</t>
  </si>
  <si>
    <t>FROTA</t>
  </si>
  <si>
    <t>GUILHERME FORTKAMP</t>
  </si>
  <si>
    <t>ICARO MEDEIROS SILVA</t>
  </si>
  <si>
    <t>01565661338</t>
  </si>
  <si>
    <t>JAEDER RODRIGUES JUNIOR</t>
  </si>
  <si>
    <t>07505987607</t>
  </si>
  <si>
    <t>CEF NORDESTE MG</t>
  </si>
  <si>
    <t>JESSICA DE MIRANDA MEDEIROS FELICIANO</t>
  </si>
  <si>
    <t>10137575483</t>
  </si>
  <si>
    <t>CEF PIRACICABA SP</t>
  </si>
  <si>
    <t>JOELSON FERREIRA DOS SANTOS</t>
  </si>
  <si>
    <t>07690263623</t>
  </si>
  <si>
    <t>CEF SUDESTE MG</t>
  </si>
  <si>
    <t>JORGE NEGRI NETO</t>
  </si>
  <si>
    <t>44997574600</t>
  </si>
  <si>
    <t>PTB TIC NORDESTE</t>
  </si>
  <si>
    <t>JOSE CARLOS BATISTA</t>
  </si>
  <si>
    <t>26652452804</t>
  </si>
  <si>
    <t>JUNIO VICENTE BARBOSA</t>
  </si>
  <si>
    <t>10054353670</t>
  </si>
  <si>
    <t>LEANDRO FIGUEREDO BELCHIOR</t>
  </si>
  <si>
    <t>26513583802</t>
  </si>
  <si>
    <t>INSS SP</t>
  </si>
  <si>
    <t>LEANDRO PINTO NUNES</t>
  </si>
  <si>
    <t>08325368730</t>
  </si>
  <si>
    <t>LUAN THIAGO DA SILVA</t>
  </si>
  <si>
    <t>08030478437</t>
  </si>
  <si>
    <t>LUCAS RODRIGUES DE MOURA GALVAO</t>
  </si>
  <si>
    <t>04013986175</t>
  </si>
  <si>
    <t>LUIZ GUSTAVO DI GIORGIO</t>
  </si>
  <si>
    <t>29856268893</t>
  </si>
  <si>
    <t>MARCEL GOMES DE OLIVEIRA</t>
  </si>
  <si>
    <t>29011288823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</si>
  <si>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</si>
  <si>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</si>
  <si>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</si>
  <si>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</si>
  <si>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</si>
  <si>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</si>
  <si>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MARCELO VINICIUS GOUVEA</t>
  </si>
  <si>
    <t>07673610400</t>
  </si>
  <si>
    <t>MARCO AURELIO DE LIMA</t>
  </si>
  <si>
    <t>01356318665</t>
  </si>
  <si>
    <t>TELEFONICA MG</t>
  </si>
  <si>
    <t>MATEUS DE CARVALHO BERTOL</t>
  </si>
  <si>
    <t>01304856674</t>
  </si>
  <si>
    <t>MICHAEL RODRIGUES SANTOS</t>
  </si>
  <si>
    <t>37425574837</t>
  </si>
  <si>
    <t>CEF SP SUL</t>
  </si>
  <si>
    <t>MICHEL RODRIGUES FIALHO</t>
  </si>
  <si>
    <t>01419704648</t>
  </si>
  <si>
    <t>MONICA DE MORAIS BARROS RABELO</t>
  </si>
  <si>
    <t>05522199679</t>
  </si>
  <si>
    <t>NEDSON LUIZ DURAES VELOSO</t>
  </si>
  <si>
    <t>11498112692</t>
  </si>
  <si>
    <t>ORESTE BARBOSA DA SILVA JUNIOR</t>
  </si>
  <si>
    <t>25075562850</t>
  </si>
  <si>
    <t>PAULO DE FREITAS PEREIRA</t>
  </si>
  <si>
    <t>11634696611</t>
  </si>
  <si>
    <t>RAMON GOMES TEIXEIRA</t>
  </si>
  <si>
    <t>83978054515</t>
  </si>
  <si>
    <t>BB EDIFICIOS SP</t>
  </si>
  <si>
    <t>RICARDO MURCIA GARCIA FILHO</t>
  </si>
  <si>
    <t>27668763830</t>
  </si>
  <si>
    <t>RONALDO DE MATOS LELIS</t>
  </si>
  <si>
    <t>47502843604</t>
  </si>
  <si>
    <t>RONALDO RUFINO SANTANA</t>
  </si>
  <si>
    <t>29758827855</t>
  </si>
  <si>
    <t>SARA ARAGAO DA SILVA BARBOSA</t>
  </si>
  <si>
    <t>49637513809</t>
  </si>
  <si>
    <t>BANCO ITAU SP</t>
  </si>
  <si>
    <t>SAULO ARAUJO DE PAULA</t>
  </si>
  <si>
    <t>31040091806</t>
  </si>
  <si>
    <t>STEPHANIE THAINARA DE OLIVEIRA ROCHA DA COSTA</t>
  </si>
  <si>
    <t>14084321613</t>
  </si>
  <si>
    <t>ADM FILIAL MG</t>
  </si>
  <si>
    <t>THALITA MANCILIO DIAS GONDIM</t>
  </si>
  <si>
    <t>30941372880</t>
  </si>
  <si>
    <t>THIAGO LEANDRO DOS SANTOS</t>
  </si>
  <si>
    <t>33927651800</t>
  </si>
  <si>
    <t>THIEGO LEANDRO ALVES DE OLIVEIRA</t>
  </si>
  <si>
    <t>07198282440</t>
  </si>
  <si>
    <t>TULIO VELOSO HONORATO</t>
  </si>
  <si>
    <t>12609931670</t>
  </si>
  <si>
    <t>BB SUDESTE MG</t>
  </si>
  <si>
    <t>VANDERLEI DE SOUZA NORONHA JUNIOR</t>
  </si>
  <si>
    <t>37695259810</t>
  </si>
  <si>
    <t>VICTOR SIGOLO PINHEIRO PIMENTA</t>
  </si>
  <si>
    <t>12237490619</t>
  </si>
  <si>
    <t>WELERSON PUFF RODRIGUES</t>
  </si>
  <si>
    <t>04352219657</t>
  </si>
  <si>
    <t>ADAN LEONARDO SOUZA BATISTA</t>
  </si>
  <si>
    <t>01932662537</t>
  </si>
  <si>
    <t>UFBA BA</t>
  </si>
  <si>
    <t>DANIEL SANTOS DE ASSUNCAO</t>
  </si>
  <si>
    <t>97592439549</t>
  </si>
  <si>
    <t>BANCO ITAU BA</t>
  </si>
  <si>
    <t>ENZIO CARVALHO DA MOTA</t>
  </si>
  <si>
    <t>38548259515</t>
  </si>
  <si>
    <t>TELEFONICA BA</t>
  </si>
  <si>
    <t>GLAUCIO GONCALVES DE OLIVEIRA</t>
  </si>
  <si>
    <t>06945595633</t>
  </si>
  <si>
    <t>ADM FILIAL NE</t>
  </si>
  <si>
    <t>JAZEMIR DE SANTANA MARQUES</t>
  </si>
  <si>
    <t>44012861549</t>
  </si>
  <si>
    <t>PTB TRANSMISSAO BA</t>
  </si>
  <si>
    <t>JONAS CAVALCANTI DE OLIVEIRA</t>
  </si>
  <si>
    <t>01696239478</t>
  </si>
  <si>
    <t>3R PETROLEUM NE</t>
  </si>
  <si>
    <t>LEONARDO ORESTES SOARES</t>
  </si>
  <si>
    <t>05892698440</t>
  </si>
  <si>
    <t>MARCEL DA HORA CARVALHO</t>
  </si>
  <si>
    <t>01730674500</t>
  </si>
  <si>
    <t>POLICIA FEDERAL BA</t>
  </si>
  <si>
    <t>RAFAEL AMORIM VELLO</t>
  </si>
  <si>
    <t>01677920599</t>
  </si>
  <si>
    <t>CEF NORTE OESTE BA</t>
  </si>
  <si>
    <t>TIAGO FERNANDES SANTOS DE OLIVEIRA</t>
  </si>
  <si>
    <t>00849381533</t>
  </si>
  <si>
    <t>CARMO ENERGY</t>
  </si>
  <si>
    <t>ADAUTO JOSE PEREIRA</t>
  </si>
  <si>
    <t>85087572634</t>
  </si>
  <si>
    <t>ADILSON MELLO DE CAMARGO</t>
  </si>
  <si>
    <t>67324398049</t>
  </si>
  <si>
    <t>BB SERET RS</t>
  </si>
  <si>
    <t>ALEXANDRE GROSS</t>
  </si>
  <si>
    <t>ADIVAR ANTONIO DA SILVA JUNIOR</t>
  </si>
  <si>
    <t>28604876898</t>
  </si>
  <si>
    <t>CLARO INFRA SC</t>
  </si>
  <si>
    <t>BRUNO EDUARDO</t>
  </si>
  <si>
    <t>ADMILSON DOS SANTOS GALAN</t>
  </si>
  <si>
    <t>04769973993</t>
  </si>
  <si>
    <t>CEF NORTE SC</t>
  </si>
  <si>
    <t>BRUNO LINHARES</t>
  </si>
  <si>
    <t>ADRIANO FRANCISCO DE PAULA</t>
  </si>
  <si>
    <t>08813588607</t>
  </si>
  <si>
    <t>ADEMARCIO DUARTE LOPES</t>
  </si>
  <si>
    <t>06223031980</t>
  </si>
  <si>
    <t>CEF FACILITIES CURITIBA PR</t>
  </si>
  <si>
    <t>ABNER ANDRADE CAVALCANTE</t>
  </si>
  <si>
    <t>02027745203</t>
  </si>
  <si>
    <t>CEF AM AC RR</t>
  </si>
  <si>
    <t>PATRICK DAUSSEN</t>
  </si>
  <si>
    <t>ALAERTE JACINTO JUNIOR</t>
  </si>
  <si>
    <t>03071605994</t>
  </si>
  <si>
    <t>PTB AREAS VERDES SC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</si>
  <si>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</si>
  <si>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</si>
  <si>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</si>
  <si>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</si>
  <si>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</si>
  <si>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</si>
  <si>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</si>
  <si>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</si>
  <si>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</si>
  <si>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ALISSON RODRIGO RAMBO</t>
  </si>
  <si>
    <t>07338782962</t>
  </si>
  <si>
    <t>ALLAN CRISTIAN DA CUNHA</t>
  </si>
  <si>
    <t>10132301911</t>
  </si>
  <si>
    <t>CLARO INFRA PR</t>
  </si>
  <si>
    <t>CARLOS NASCIMENTO NONATO JUNIOR</t>
  </si>
  <si>
    <t>65973500225</t>
  </si>
  <si>
    <t>ALTAIR BERTOL</t>
  </si>
  <si>
    <t>01969938900</t>
  </si>
  <si>
    <t>ENGIE FLORIANOPOLIS SC</t>
  </si>
  <si>
    <t>ALVARO RAMON PRIMERA CASTILLO</t>
  </si>
  <si>
    <t>ARTERIS LITORAL SUL SC</t>
  </si>
  <si>
    <t>Cadastro pendente</t>
  </si>
  <si>
    <t>ANA CRISTINA FREIRE HOLANDA</t>
  </si>
  <si>
    <t>60023937220</t>
  </si>
  <si>
    <t>LEANDRO GUSMAO MUNIZ</t>
  </si>
  <si>
    <t>13126691790</t>
  </si>
  <si>
    <t>CEF INTERIOR RJ</t>
  </si>
  <si>
    <t>ALLAN JEFFERSON</t>
  </si>
  <si>
    <t>HUGO ALEXANDRE DE SOUSA</t>
  </si>
  <si>
    <t>07646535630</t>
  </si>
  <si>
    <t>ANDERSON MARTINS</t>
  </si>
  <si>
    <t>ANDERSON RICARDO VIEIRA</t>
  </si>
  <si>
    <t>07822591975</t>
  </si>
  <si>
    <t>BB NORTE OESTE PR</t>
  </si>
  <si>
    <t>ANDRE LUIS FINATTI AUGUSTO</t>
  </si>
  <si>
    <t>14565908719</t>
  </si>
  <si>
    <t>PTB CENPES RJ</t>
  </si>
  <si>
    <t>ANDRE LUIZ SANTANA</t>
  </si>
  <si>
    <t>11897381638</t>
  </si>
  <si>
    <t>CEF SERRA GAUCHA RS</t>
  </si>
  <si>
    <t>ANDRE PINHEIRO BALOTIN</t>
  </si>
  <si>
    <t>98603566020</t>
  </si>
  <si>
    <t>CELESC NORTE SC</t>
  </si>
  <si>
    <t>ANDRE VALERIO DE PAIVA</t>
  </si>
  <si>
    <t>12682517633</t>
  </si>
  <si>
    <t>ANDRESA INDIRA SANTANA AGGIO</t>
  </si>
  <si>
    <t>33162718805</t>
  </si>
  <si>
    <t>ADM FILIAL SC</t>
  </si>
  <si>
    <t>ANTONIO FERREIRA DE MENDONCA NETO</t>
  </si>
  <si>
    <t>05766838760</t>
  </si>
  <si>
    <t>TRIBUNAL DE JUSTICA RJ</t>
  </si>
  <si>
    <t>FRANCIELLY CAVALCANTE SANTOS DE ANDRADE</t>
  </si>
  <si>
    <t>09276240446</t>
  </si>
  <si>
    <t>ARLEY HENRIQUE DE SOUZA LUZ</t>
  </si>
  <si>
    <t>01170402232</t>
  </si>
  <si>
    <t>CEF GOIANIA CO</t>
  </si>
  <si>
    <t>ARTUR DIAS DOS SANTOS</t>
  </si>
  <si>
    <t>90155661272</t>
  </si>
  <si>
    <t>CEF NORTE PA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</si>
  <si>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</si>
  <si>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</si>
  <si>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</si>
  <si>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</si>
  <si>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</si>
  <si>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</si>
  <si>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BEN HUR MENDES OLIVEIRA</t>
  </si>
  <si>
    <t>00046347054</t>
  </si>
  <si>
    <t>BRUNO DE SOUZA PACHECO</t>
  </si>
  <si>
    <t>04252409160</t>
  </si>
  <si>
    <t>MOISES DOS SANTOS CABRAL</t>
  </si>
  <si>
    <t>68746458204</t>
  </si>
  <si>
    <t>BRUNO FERREIRA DE SOUZA RODRIGUES</t>
  </si>
  <si>
    <t>16306431730</t>
  </si>
  <si>
    <t>TELEFONICA RJ</t>
  </si>
  <si>
    <t>CAIO FRANCESCONI RIBEIRO</t>
  </si>
  <si>
    <t>08924586904</t>
  </si>
  <si>
    <t>TJ APOIO PR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</si>
  <si>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</si>
  <si>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</si>
  <si>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</si>
  <si>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</si>
  <si>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</si>
  <si>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</si>
  <si>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</si>
  <si>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</si>
  <si>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RENATO PACHECO DA SILVA</t>
  </si>
  <si>
    <t>90443306087</t>
  </si>
  <si>
    <t>CEF LESTE GAUCHO RS</t>
  </si>
  <si>
    <t>CARLOS ROBERTO DE CARVALHO PERES</t>
  </si>
  <si>
    <t>09867858816</t>
  </si>
  <si>
    <t>CLARO CO</t>
  </si>
  <si>
    <t>CLAUDEMIR GREGOSKI RODRIGUES</t>
  </si>
  <si>
    <t>05144026958</t>
  </si>
  <si>
    <t>BB APOIO PR</t>
  </si>
  <si>
    <t>FABIO DIOGO BITTENCOURT</t>
  </si>
  <si>
    <t>00526143959</t>
  </si>
  <si>
    <t>CEF CENTRO GAUCHO RS</t>
  </si>
  <si>
    <t>THIAGO DE MEDEIROS VANZELER</t>
  </si>
  <si>
    <t>11590627733</t>
  </si>
  <si>
    <t>DEISE SOARES DE CAMPOS</t>
  </si>
  <si>
    <t>69116709004</t>
  </si>
  <si>
    <t>CLAUDIO DONIZETE DA SILVA</t>
  </si>
  <si>
    <t>93457235953</t>
  </si>
  <si>
    <t>TRIBUNAL DE JUSTICA PR</t>
  </si>
  <si>
    <t>CLAUDIO RENALDI NUNES</t>
  </si>
  <si>
    <t>02705722955</t>
  </si>
  <si>
    <t>CLAYTON DE OLIVEIRA</t>
  </si>
  <si>
    <t>02928835954</t>
  </si>
  <si>
    <t>CLEBERSON APARECIDO BORGES DOS SANTOS</t>
  </si>
  <si>
    <t>05864921947</t>
  </si>
  <si>
    <t>CLEITON DA SILVA MONTALVAO</t>
  </si>
  <si>
    <t>01929647638</t>
  </si>
  <si>
    <t>CLERITON BACILA DOS SANTOS</t>
  </si>
  <si>
    <t>05456615959</t>
  </si>
  <si>
    <t>NET CTA PR</t>
  </si>
  <si>
    <t>CLEVERSON PAULOUSKI</t>
  </si>
  <si>
    <t>08609699919</t>
  </si>
  <si>
    <t>CREOL APARECIDO DOS SANTOS</t>
  </si>
  <si>
    <t>03363725906</t>
  </si>
  <si>
    <t>CRISTIAN MARCELO DE OLIVEIRA DOS SANTOS</t>
  </si>
  <si>
    <t>92931901091</t>
  </si>
  <si>
    <t>ROGERIO GOMES DE OLIVEIRA</t>
  </si>
  <si>
    <t>89591640030</t>
  </si>
  <si>
    <t>CEF NORTE GAUCHO RS</t>
  </si>
  <si>
    <t>CRISTIANO ANESIO GOMES DO NASCIMENTO</t>
  </si>
  <si>
    <t>02862032786</t>
  </si>
  <si>
    <t>DANIEL DA SILVA LOPES</t>
  </si>
  <si>
    <t>94288259053</t>
  </si>
  <si>
    <t>NET APOIO SC</t>
  </si>
  <si>
    <t>VALDIR LEONARDO VOIGT</t>
  </si>
  <si>
    <t>48089869904</t>
  </si>
  <si>
    <t>DEBORA ARAUJO FIGUEIREDO</t>
  </si>
  <si>
    <t>85225720030</t>
  </si>
  <si>
    <t>SANDRA CRISTINA ALVES MACHADO</t>
  </si>
  <si>
    <t>69456313034</t>
  </si>
  <si>
    <t>NET APOIO RS</t>
  </si>
  <si>
    <t>DAVID DE OLIVEIRA FRIGERIO</t>
  </si>
  <si>
    <t>04817177900</t>
  </si>
  <si>
    <t>CEF NORTE PR</t>
  </si>
  <si>
    <t>RAQUEL PANTOJA SANTOS</t>
  </si>
  <si>
    <t>89395140259</t>
  </si>
  <si>
    <t>CEF BELEM FACILITIES PA</t>
  </si>
  <si>
    <t>DENILSO DIDONE</t>
  </si>
  <si>
    <t>04859818903</t>
  </si>
  <si>
    <t>DENIS FERREIRA DA SILVA</t>
  </si>
  <si>
    <t>06637541435</t>
  </si>
  <si>
    <t>ORIGEM ENERGIA AL</t>
  </si>
  <si>
    <t>DIEGO DOS SANTOS DE JESUS</t>
  </si>
  <si>
    <t>05769658550</t>
  </si>
  <si>
    <t>PTB MARAGOGIPE BA</t>
  </si>
  <si>
    <t>DIEGO GRIME DE MELO</t>
  </si>
  <si>
    <t>05597823906</t>
  </si>
  <si>
    <t>DIEGO JOSE DE PAULO</t>
  </si>
  <si>
    <t>01553544692</t>
  </si>
  <si>
    <t>WAGNER CAROLINO ALVES FILHO</t>
  </si>
  <si>
    <t>DMITRI MORAIS DA SILVA</t>
  </si>
  <si>
    <t>11454991631</t>
  </si>
  <si>
    <t>BB TAMOIOS MG</t>
  </si>
  <si>
    <t>DOMINIQUE SILVA DE SOUZA</t>
  </si>
  <si>
    <t>00851999077</t>
  </si>
  <si>
    <t>DOUGLAS ALEXANDRE BARBOSA</t>
  </si>
  <si>
    <t>36813601890</t>
  </si>
  <si>
    <t>TIAGO DE OLIVEIRA PAIVA</t>
  </si>
  <si>
    <t>10491624719</t>
  </si>
  <si>
    <t>ANDERSON FERNANDES DE ALMEIDA</t>
  </si>
  <si>
    <t>02553373961</t>
  </si>
  <si>
    <t>Cartão não vinculado</t>
  </si>
  <si>
    <t>DOUGLAS WESLEN CARDOSO DOS SANTOS</t>
  </si>
  <si>
    <t>08784554932</t>
  </si>
  <si>
    <t>EDER MEDICI</t>
  </si>
  <si>
    <t>03040370952</t>
  </si>
  <si>
    <t>LUCAS HENRIQUE CORREA DOS SANTOS</t>
  </si>
  <si>
    <t>10652119964</t>
  </si>
  <si>
    <t>EDEVALDO DUTRA GONCALVES</t>
  </si>
  <si>
    <t>00312735057</t>
  </si>
  <si>
    <t>NET LITORAL PR</t>
  </si>
  <si>
    <t>JUSTINO NOGUEIRA PEIXOTO JUNIOR</t>
  </si>
  <si>
    <t>09246793790</t>
  </si>
  <si>
    <t>PTB EDISE RJ</t>
  </si>
  <si>
    <t>EDSON CALIXTO THOMAZ</t>
  </si>
  <si>
    <t>05765681719</t>
  </si>
  <si>
    <t>EDSON ROBERTO SPULDARI</t>
  </si>
  <si>
    <t>17183885860</t>
  </si>
  <si>
    <t>EDSON VEIGA SILVEIRA</t>
  </si>
  <si>
    <t>62063774072</t>
  </si>
  <si>
    <t>EDUARDO ANDREY VENSON SILVA</t>
  </si>
  <si>
    <t>02960685946</t>
  </si>
  <si>
    <t>CEF OESTE SC</t>
  </si>
  <si>
    <t>EDUARDO HENRIQUE BONIN</t>
  </si>
  <si>
    <t>07283564900</t>
  </si>
  <si>
    <t>CLAUDINEI AMARAL</t>
  </si>
  <si>
    <t>10433881844</t>
  </si>
  <si>
    <t>ELIANDRO BRUNING</t>
  </si>
  <si>
    <t>00461757923</t>
  </si>
  <si>
    <t>ERICO BRUNO DA SILVA MATOS</t>
  </si>
  <si>
    <t>00011945265</t>
  </si>
  <si>
    <t>EVERSON ESTEVES DOS SANTOS</t>
  </si>
  <si>
    <t>01755089090</t>
  </si>
  <si>
    <t>PTB REDUC RJ</t>
  </si>
  <si>
    <t>JOSEANE DA SILVA SOUZA</t>
  </si>
  <si>
    <t>71944885234</t>
  </si>
  <si>
    <t>FABIO APARECIDO DE SOUSA PEREIRA</t>
  </si>
  <si>
    <t>02679643909</t>
  </si>
  <si>
    <t>FABIO DA CONCEICAO LIMA</t>
  </si>
  <si>
    <t>31275798888</t>
  </si>
  <si>
    <t>PTB UTGCA SP</t>
  </si>
  <si>
    <t>NORMAN CRANI PORTELLA</t>
  </si>
  <si>
    <t>79794157953</t>
  </si>
  <si>
    <t>FABIO HENRIQUE PECORARI CRUZ</t>
  </si>
  <si>
    <t>WALTER DE CAMPOS NUNES NETO</t>
  </si>
  <si>
    <t>99114160030</t>
  </si>
  <si>
    <t>CLARO INFRA RS</t>
  </si>
  <si>
    <t>FELIPE MORAES COSTA DE BRITTO</t>
  </si>
  <si>
    <t>04347084102</t>
  </si>
  <si>
    <t>INSS MT</t>
  </si>
  <si>
    <t>FERNANDO RODRIGUES DUARTE</t>
  </si>
  <si>
    <t>03377983112</t>
  </si>
  <si>
    <t>FLAVIO DOS SANTOS FERREIRA</t>
  </si>
  <si>
    <t>09416352799</t>
  </si>
  <si>
    <t>CEF CENTRO NORTE SUL RJ</t>
  </si>
  <si>
    <t>FLAVIO FERNANDES DOS REIS LIMA</t>
  </si>
  <si>
    <t>01767960107</t>
  </si>
  <si>
    <t>TELEFONICA CO</t>
  </si>
  <si>
    <t>FLAVIO HENRIQUE ALVES ROMERO</t>
  </si>
  <si>
    <t>82871396000</t>
  </si>
  <si>
    <t>FRANCIONE DE SOUZA LUCENA</t>
  </si>
  <si>
    <t>47331178253</t>
  </si>
  <si>
    <t>FRANCISCO VALDENIR DE SOUSA</t>
  </si>
  <si>
    <t>79248160387</t>
  </si>
  <si>
    <t>ANDERSON BICA PEREZ</t>
  </si>
  <si>
    <t>00053957040</t>
  </si>
  <si>
    <t>NET PORTO ALEGRE RS</t>
  </si>
  <si>
    <t>GABRIEL HENRIQUE DALL AGNOL</t>
  </si>
  <si>
    <t>09983432935</t>
  </si>
  <si>
    <t>GABRIEL MONTANI FERREIRA</t>
  </si>
  <si>
    <t>09871329970</t>
  </si>
  <si>
    <t>GILMAR DUARTE LACERDA</t>
  </si>
  <si>
    <t>05290622675</t>
  </si>
  <si>
    <t>BB RUA BAHIA MG</t>
  </si>
  <si>
    <t>GIOVANI DONNANTUONI</t>
  </si>
  <si>
    <t>RICARDO ZORZETTO</t>
  </si>
  <si>
    <t>00539580040</t>
  </si>
  <si>
    <t>CEF QUERENCIA RS</t>
  </si>
  <si>
    <t>JORGE ANTONIO VARGAS DA SILVA</t>
  </si>
  <si>
    <t>01063690080</t>
  </si>
  <si>
    <t>GUSTAVO RODRIGUES FARIA</t>
  </si>
  <si>
    <t>10531222926</t>
  </si>
  <si>
    <t>HEDER SILVA CAMPODONICO</t>
  </si>
  <si>
    <t>03066906086</t>
  </si>
  <si>
    <t>HEITOR RIBEIRO DE FREITAS OLIVEIRA</t>
  </si>
  <si>
    <t>34571027591</t>
  </si>
  <si>
    <t>ACELEN AR</t>
  </si>
  <si>
    <t>HELDER ARCHANJO FERREIRA</t>
  </si>
  <si>
    <t>06439531670</t>
  </si>
  <si>
    <t>HIGOR KELVYN SILVA AMORIM</t>
  </si>
  <si>
    <t>09199781930</t>
  </si>
  <si>
    <t>TELEFONICA SC</t>
  </si>
  <si>
    <t>HIGOR LUIZ CERQUEIRA</t>
  </si>
  <si>
    <t>33832720871</t>
  </si>
  <si>
    <t>BANCO CENTRAL PREDIAL SP</t>
  </si>
  <si>
    <t>HUGO NUNES DA SILVA</t>
  </si>
  <si>
    <t>04370282918</t>
  </si>
  <si>
    <t>ISABELE CRISTINE OLIVEIRA DA SILVA</t>
  </si>
  <si>
    <t>ISAIAS DA SILVA</t>
  </si>
  <si>
    <t>04083479965</t>
  </si>
  <si>
    <t>FABIO PROVESI</t>
  </si>
  <si>
    <t>05731312958</t>
  </si>
  <si>
    <t>BB SERET SC</t>
  </si>
  <si>
    <t>JACKSON NATAN RODRIGUES DA SILVA</t>
  </si>
  <si>
    <t>01456786288</t>
  </si>
  <si>
    <t>JACSSON MAYLON CASTRO CORREA</t>
  </si>
  <si>
    <t>10206563957</t>
  </si>
  <si>
    <t>JAFER DA FONTOURA AHMAD</t>
  </si>
  <si>
    <t>00041171071</t>
  </si>
  <si>
    <t>CEF PORTO ALEGRE RS</t>
  </si>
  <si>
    <t>JAIME ALVES DE ABREU SILVA</t>
  </si>
  <si>
    <t>00965306186</t>
  </si>
  <si>
    <t>JAQUELINE LEVATI PEREIRA</t>
  </si>
  <si>
    <t>01310014264</t>
  </si>
  <si>
    <t>CEF MANAUS AM</t>
  </si>
  <si>
    <t>LUIZ FERNANDO CAVALHEIRO</t>
  </si>
  <si>
    <t>03898579980</t>
  </si>
  <si>
    <t>JEAN FABIO OLIVERIO</t>
  </si>
  <si>
    <t>00645883948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</si>
  <si>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</si>
  <si>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</si>
  <si>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</si>
  <si>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</si>
  <si>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</si>
  <si>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</si>
  <si>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JOSE DO PRADO ROSA</t>
  </si>
  <si>
    <t>78296277972</t>
  </si>
  <si>
    <t>JOAO ALEXANDRE LIMA</t>
  </si>
  <si>
    <t>10588522996</t>
  </si>
  <si>
    <t>JOAO DA SILVA VIANA</t>
  </si>
  <si>
    <t>88367550978</t>
  </si>
  <si>
    <t>JONAS PAULO DE MATOS</t>
  </si>
  <si>
    <t>69010544915</t>
  </si>
  <si>
    <t>ROBSON DOS SANTOS GUEDES</t>
  </si>
  <si>
    <t>08418392983</t>
  </si>
  <si>
    <t>JOSE JONAS FURLANETTO</t>
  </si>
  <si>
    <t>55889913115</t>
  </si>
  <si>
    <t>JOSE NEI DOS SANTOS DUTRA</t>
  </si>
  <si>
    <t>55278612053</t>
  </si>
  <si>
    <t>EDERSON LUIS BARROS DA ROSA</t>
  </si>
  <si>
    <t>04614285988</t>
  </si>
  <si>
    <t>JOSE ROGERIO DA SILVEIRA CARDOSO JUNIOR</t>
  </si>
  <si>
    <t>86016172049</t>
  </si>
  <si>
    <t>JOSE VICTOR ARAUJO FELIX</t>
  </si>
  <si>
    <t>06323566346</t>
  </si>
  <si>
    <t>JOSE WILKESON OLIVEIRA SILVA</t>
  </si>
  <si>
    <t>03393455354</t>
  </si>
  <si>
    <t>PTB LUBNOR CE</t>
  </si>
  <si>
    <t>EDUARDO SANTOS</t>
  </si>
  <si>
    <t>91270529072</t>
  </si>
  <si>
    <t>JOSE NILDA DA CUNHA</t>
  </si>
  <si>
    <t>69808112900</t>
  </si>
  <si>
    <t>JULIANO MESSIAS MOREIRA DE LIMA</t>
  </si>
  <si>
    <t>10649064941</t>
  </si>
  <si>
    <t>JULIO CESAR ALVES DA ROCHA</t>
  </si>
  <si>
    <t>02265549967</t>
  </si>
  <si>
    <t>IVO LUCIANO DA SILVA WAGNER JUNIOR</t>
  </si>
  <si>
    <t>12068745976</t>
  </si>
  <si>
    <t>PATRIMONIO</t>
  </si>
  <si>
    <t>LAERCIO SOARES CANABARRO</t>
  </si>
  <si>
    <t>58763376091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</si>
  <si>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</si>
  <si>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</si>
  <si>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</si>
  <si>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</si>
  <si>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</si>
  <si>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</si>
  <si>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</si>
  <si>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</si>
  <si>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RODRIGO JOSE DE PAULA</t>
  </si>
  <si>
    <t>03348917956</t>
  </si>
  <si>
    <t>ALLAN JEFFERSON BRANCO RODRIGUES</t>
  </si>
  <si>
    <t>09688866717</t>
  </si>
  <si>
    <t>ADM FILIAL RJ</t>
  </si>
  <si>
    <t>LEANDRO SOUSA</t>
  </si>
  <si>
    <t>00584427905</t>
  </si>
  <si>
    <t>LILIAN SANTOS DA SILVA</t>
  </si>
  <si>
    <t>86415689053</t>
  </si>
  <si>
    <t>LUCAS CARVALHO DE SOUZA</t>
  </si>
  <si>
    <t>08781221924</t>
  </si>
  <si>
    <t>LUCAS DE PAULA SILVA</t>
  </si>
  <si>
    <t>08204909977</t>
  </si>
  <si>
    <t>JUAN CARLOS PANTOJA AMANAJAS</t>
  </si>
  <si>
    <t>51027941249</t>
  </si>
  <si>
    <t>LUCAS HENRIQUE PINHO</t>
  </si>
  <si>
    <t>45211709861</t>
  </si>
  <si>
    <t>LUCAS PEREIRA GONCALVES</t>
  </si>
  <si>
    <t>11128978601</t>
  </si>
  <si>
    <t>NET LESTE MG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</si>
  <si>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</si>
  <si>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</si>
  <si>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</si>
  <si>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</si>
  <si>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</si>
  <si>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</si>
  <si>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LUDGERO HORACIO DE OLIVEIRA</t>
  </si>
  <si>
    <t>06576198922</t>
  </si>
  <si>
    <t>LUIS FELIPE RAYMUNDO GARCIA</t>
  </si>
  <si>
    <t>06837861999</t>
  </si>
  <si>
    <t>MICHEL VINHORTE DE SOUZA</t>
  </si>
  <si>
    <t>70457883200</t>
  </si>
  <si>
    <t>BB MANAUS FACILITIES AM</t>
  </si>
  <si>
    <t>LUIZ PAULO SILVA SOUSA JUNIOR</t>
  </si>
  <si>
    <t>02678045129</t>
  </si>
  <si>
    <t>MARCELO DE SOUZA DALA VEDOVA</t>
  </si>
  <si>
    <t>05375810654</t>
  </si>
  <si>
    <t>MARCIO BOUZAS FERREIRA</t>
  </si>
  <si>
    <t>07318362780</t>
  </si>
  <si>
    <t>VTAL CYBER RJ</t>
  </si>
  <si>
    <t>MARCIO CORREA DA SILVA</t>
  </si>
  <si>
    <t>98717251087</t>
  </si>
  <si>
    <t>MARCIO DA COSTA JOAO</t>
  </si>
  <si>
    <t>02524841936</t>
  </si>
  <si>
    <t>BB CENOP CURITIBA PR</t>
  </si>
  <si>
    <t>CLAUDINEI VICENTE DE LIMA</t>
  </si>
  <si>
    <t>91920795987</t>
  </si>
  <si>
    <t>MARCOS RAIMUNDO DA COSTA</t>
  </si>
  <si>
    <t>04938920956</t>
  </si>
  <si>
    <t>MARCOS SEGER</t>
  </si>
  <si>
    <t>97135631900</t>
  </si>
  <si>
    <t>UFPR PR</t>
  </si>
  <si>
    <t>DIVAN ALVES DE AMORIM</t>
  </si>
  <si>
    <t>11422891844</t>
  </si>
  <si>
    <t>MARIO MARQUES SOARES</t>
  </si>
  <si>
    <t>92772048268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</si>
  <si>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</si>
  <si>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</si>
  <si>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</si>
  <si>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</si>
  <si>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</si>
  <si>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</si>
  <si>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01816236098</t>
  </si>
  <si>
    <t>MAURO PEDRO SAUGO</t>
  </si>
  <si>
    <t>90573625972</t>
  </si>
  <si>
    <t>MICHEL DOS SANTOS VENANCIO</t>
  </si>
  <si>
    <t>06271222994</t>
  </si>
  <si>
    <t>EVERTON CAMARGO DE LOURETO</t>
  </si>
  <si>
    <t>91688205004</t>
  </si>
  <si>
    <t>CEF VALE SINOS RS</t>
  </si>
  <si>
    <t>BRUNO EDUARDO DE SOUZA</t>
  </si>
  <si>
    <t>82341478972</t>
  </si>
  <si>
    <t>MURILO DE ALMEIDA</t>
  </si>
  <si>
    <t>10521167957</t>
  </si>
  <si>
    <t>BB LESTE PR</t>
  </si>
  <si>
    <t>NEUDO SAMPIETRO</t>
  </si>
  <si>
    <t>04885659957</t>
  </si>
  <si>
    <t>NIVALDO THIAGO DA CRUZ SANTOS</t>
  </si>
  <si>
    <t>04442316929</t>
  </si>
  <si>
    <t>ODAIR CIRCO SOARES</t>
  </si>
  <si>
    <t>84219122915</t>
  </si>
  <si>
    <t>EDIBERTO GEORGE RELIQUIAS</t>
  </si>
  <si>
    <t>34596010862</t>
  </si>
  <si>
    <t>PALOMA CARLOS SPINOLA</t>
  </si>
  <si>
    <t>PAOLA CAROLINI BARBOSA</t>
  </si>
  <si>
    <t>03445951969</t>
  </si>
  <si>
    <t>PTB PREDIAL REPAR PR</t>
  </si>
  <si>
    <t>MARIA EDUARDA ARAGAO</t>
  </si>
  <si>
    <t>10363402950</t>
  </si>
  <si>
    <t>CEF SUL SC</t>
  </si>
  <si>
    <t>PATRICK FERNANDO GOULART ALVES</t>
  </si>
  <si>
    <t>07214272946</t>
  </si>
  <si>
    <t>TELEFONICA PR</t>
  </si>
  <si>
    <t>ANTONIO MARCOS CAMARGO</t>
  </si>
  <si>
    <t>04836584990</t>
  </si>
  <si>
    <t>PAULO EDUARDO AUGUSTO DE BRITO</t>
  </si>
  <si>
    <t>12890409821</t>
  </si>
  <si>
    <t>CCBB SP</t>
  </si>
  <si>
    <t>PAULO NILTON COSTA MOREIRA</t>
  </si>
  <si>
    <t>45159599053</t>
  </si>
  <si>
    <t>CEF EXTREMO SUL RS</t>
  </si>
  <si>
    <t>PAULO RICARDO WAETGE BELOTTI</t>
  </si>
  <si>
    <t>PITER ROBSON DA SILVA</t>
  </si>
  <si>
    <t>91388686953</t>
  </si>
  <si>
    <t>RAFAEL NATAL LACHI</t>
  </si>
  <si>
    <t>03710085900</t>
  </si>
  <si>
    <t>RAFAEL PORTO ALVES DA CRUZ</t>
  </si>
  <si>
    <t>11914988671</t>
  </si>
  <si>
    <t>RAFAEL SILVA DA FONSECA</t>
  </si>
  <si>
    <t>00635358077</t>
  </si>
  <si>
    <t>PATRICK ANTONIEVICZ ALVES</t>
  </si>
  <si>
    <t>06456801923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</si>
  <si>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</si>
  <si>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</si>
  <si>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</si>
  <si>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</si>
  <si>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</si>
  <si>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</si>
  <si>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FABIO MARTINS BORGES</t>
  </si>
  <si>
    <t>05492458981</t>
  </si>
  <si>
    <t>CARLOS FRANCISCO GODOY</t>
  </si>
  <si>
    <t>82741980004</t>
  </si>
  <si>
    <t>ROBERTO DOMINGUES PEREIRA</t>
  </si>
  <si>
    <t>81480261068</t>
  </si>
  <si>
    <t>RODRIGO ROQUE</t>
  </si>
  <si>
    <t>02062513941</t>
  </si>
  <si>
    <t>CORREIOS SAO JOSE SC</t>
  </si>
  <si>
    <t>ROBSON FURTADO</t>
  </si>
  <si>
    <t>05236669936</t>
  </si>
  <si>
    <t>RODRIGO BALESTRIN</t>
  </si>
  <si>
    <t>02845828918</t>
  </si>
  <si>
    <t>RODRIGO BOLDO</t>
  </si>
  <si>
    <t>27104988807</t>
  </si>
  <si>
    <t>RODRIGO CESAR DOS SANTOS</t>
  </si>
  <si>
    <t>07024923610</t>
  </si>
  <si>
    <t>RODRIGO FRANCISCO CORREA</t>
  </si>
  <si>
    <t>03059202940</t>
  </si>
  <si>
    <t>DOUGLAS BRUCK MACHADO</t>
  </si>
  <si>
    <t>03241621030</t>
  </si>
  <si>
    <t>RODRIGO MACHADO MOTTA</t>
  </si>
  <si>
    <t>98808559068</t>
  </si>
  <si>
    <t>NET CAXIAS RS</t>
  </si>
  <si>
    <t>RODRIGO ROBERTO DE SOUZA</t>
  </si>
  <si>
    <t>05664820969</t>
  </si>
  <si>
    <t>BB GRANDE FLORIANOPOLIS SC</t>
  </si>
  <si>
    <t>CRISTIANE PEREIRA DE MELO</t>
  </si>
  <si>
    <t>70022036148</t>
  </si>
  <si>
    <t>RODRIGO SANTOS DA SILVA</t>
  </si>
  <si>
    <t>05504962706</t>
  </si>
  <si>
    <t>BANCO ITAU RJ</t>
  </si>
  <si>
    <t>RODRIGO VANZETTA</t>
  </si>
  <si>
    <t>99532344004</t>
  </si>
  <si>
    <t>JHEFERSON DIASSIS</t>
  </si>
  <si>
    <t>07972796955</t>
  </si>
  <si>
    <t>SAMUEL LEAL DE SOUZA</t>
  </si>
  <si>
    <t>14845816792</t>
  </si>
  <si>
    <t>PAULO ALEXANDRE DE AMORIM</t>
  </si>
  <si>
    <t>04179369907</t>
  </si>
  <si>
    <t>SANDRO BARRETO DE SOUZA</t>
  </si>
  <si>
    <t>78021324953</t>
  </si>
  <si>
    <t>SANDRO CAPISTRANO</t>
  </si>
  <si>
    <t>16996346886</t>
  </si>
  <si>
    <t>SANDRO QUITERIO LOPES DOS SANTOS</t>
  </si>
  <si>
    <t>02988581428</t>
  </si>
  <si>
    <t>SERGIO ESTEVAM DEBIAZI</t>
  </si>
  <si>
    <t>02063139342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</si>
  <si>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</si>
  <si>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</si>
  <si>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</si>
  <si>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</si>
  <si>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</si>
  <si>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</si>
  <si>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</si>
  <si>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WELLINGTON ARION TAVARES</t>
  </si>
  <si>
    <t>04747951954</t>
  </si>
  <si>
    <t>WAGNER DOS SANTOS PEREIRA</t>
  </si>
  <si>
    <t>94512043004</t>
  </si>
  <si>
    <t>BB SHOPPING ESTACAO PR</t>
  </si>
  <si>
    <t>THIAGO PEREIRA DE LIMA</t>
  </si>
  <si>
    <t>06478105490</t>
  </si>
  <si>
    <t>TIAGO DE JESUS ARAUJO</t>
  </si>
  <si>
    <t>04661413199</t>
  </si>
  <si>
    <t>RAFAEL CARNIEL DA SILVA</t>
  </si>
  <si>
    <t>05337927973</t>
  </si>
  <si>
    <t>UBIRAJARA DE ARAUJO TEIXEIRA</t>
  </si>
  <si>
    <t>74548565949</t>
  </si>
  <si>
    <t>UELITON CANDIDO</t>
  </si>
  <si>
    <t>10354623621</t>
  </si>
  <si>
    <t>NET SUL MG</t>
  </si>
  <si>
    <t>ULISSES FERREIRA DE OLIVEIRA</t>
  </si>
  <si>
    <t>01595939644</t>
  </si>
  <si>
    <t>DOUGLAS TIAGO DE OLIVEIRA</t>
  </si>
  <si>
    <t>08492402989</t>
  </si>
  <si>
    <t>VALTER HUGO SILVERIO DA SILVA FACHINETTI</t>
  </si>
  <si>
    <t>21704495822</t>
  </si>
  <si>
    <t>BRUNO LINHARES RODRIGUES</t>
  </si>
  <si>
    <t>01543078079</t>
  </si>
  <si>
    <t>VINICIUS PEIXOTO BONETTI</t>
  </si>
  <si>
    <t>09785002969</t>
  </si>
  <si>
    <t>CLAUDEMIR MOREIRA</t>
  </si>
  <si>
    <t>75609444004</t>
  </si>
  <si>
    <t>OSCAR DOMINGO PALARO</t>
  </si>
  <si>
    <t>03067535960</t>
  </si>
  <si>
    <t>WAGNER RAFAEL GERHARDT</t>
  </si>
  <si>
    <t>00413687031</t>
  </si>
  <si>
    <t>VICTOR MIGUEL PALARO</t>
  </si>
  <si>
    <t>09265596996</t>
  </si>
  <si>
    <t>WALTER LUIZ DE OLIVEIRA BRAGA</t>
  </si>
  <si>
    <t>04042182291</t>
  </si>
  <si>
    <t>DANIELA CARVALHO STAHLER</t>
  </si>
  <si>
    <t>01066881030</t>
  </si>
  <si>
    <t>DANILO ZANATTA LUCIANO</t>
  </si>
  <si>
    <t>06285125970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</si>
  <si>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</si>
  <si>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</si>
  <si>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</si>
  <si>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</si>
  <si>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</si>
  <si>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</si>
  <si>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</si>
  <si>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</si>
  <si>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</si>
  <si>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JOSE EUSTAQUIO DE SOUZA</t>
  </si>
  <si>
    <t>27335364191</t>
  </si>
  <si>
    <t>LUCAS MARTINS MACAN</t>
  </si>
  <si>
    <t>00975748998</t>
  </si>
  <si>
    <t>CEF CEARA</t>
  </si>
  <si>
    <t>RAFAEL ALVES BRANDAO</t>
  </si>
  <si>
    <t>01360500340</t>
  </si>
  <si>
    <t>TERCILA DA SILVA LOPES</t>
  </si>
  <si>
    <t>67752721387</t>
  </si>
  <si>
    <t>LEONARDO MURATORI ATHAYDE</t>
  </si>
  <si>
    <t>03374811647</t>
  </si>
  <si>
    <t>CEF FACILITIES CE</t>
  </si>
  <si>
    <t>MARCO AURELIO DE ANDRADE MORAES</t>
  </si>
  <si>
    <t>72756284220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</si>
  <si>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</si>
  <si>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</si>
  <si>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</si>
  <si>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</si>
  <si>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</si>
  <si>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</si>
  <si>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</si>
  <si>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</si>
  <si>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</si>
  <si>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</si>
  <si>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</si>
  <si>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</si>
  <si>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</si>
  <si>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</si>
  <si>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</si>
  <si>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adilsoncamargo@eqseng.com.br</t>
  </si>
  <si>
    <t>ADILSON RODRIGUES FERREIRA</t>
  </si>
  <si>
    <t>adilson.ferreira@eqsengenharia.com.br</t>
  </si>
  <si>
    <t>Intermediário</t>
  </si>
  <si>
    <t>adivarjunior@gmail.com</t>
  </si>
  <si>
    <t>admilsongalan@gmail.com</t>
  </si>
  <si>
    <t>ADRIANE CARON</t>
  </si>
  <si>
    <t>caronjca@gmail.com</t>
  </si>
  <si>
    <t>ADRIANO BORGES TEIXEIRA</t>
  </si>
  <si>
    <t>adrianoteixeiraeletricista@gmail.com</t>
  </si>
  <si>
    <t>adriano.paula@eqsengenharia.com.br</t>
  </si>
  <si>
    <t>adson.silva@eqsengenharia.com.br</t>
  </si>
  <si>
    <t>AFONSO FIORELLO CARVALHO</t>
  </si>
  <si>
    <t>afonso.fiorello@eqsengenharia.com.br</t>
  </si>
  <si>
    <t>agno.teles@eqsengenharia.com.br</t>
  </si>
  <si>
    <t>AGUINA FERNANDES DE OLIVEIRA</t>
  </si>
  <si>
    <t>aguina.oliveira@eqsengenharia.com.br</t>
  </si>
  <si>
    <t>AILTON MENDES AGUILAR</t>
  </si>
  <si>
    <t>ailtonaguilarmg@gmail.com</t>
  </si>
  <si>
    <t>alaerte.junior@eqsengenharia.com.br</t>
  </si>
  <si>
    <t>ALAN RICARDO CESTONARO DASSI</t>
  </si>
  <si>
    <t>alan.dassi@eqsengenharia.com.br</t>
  </si>
  <si>
    <t>alan.andrade@eqseng.com.br</t>
  </si>
  <si>
    <t>ALAN WAGNER MEDEIROS DE SOUZA</t>
  </si>
  <si>
    <t>alan.peacv@gmail.com</t>
  </si>
  <si>
    <t>alessandrooa@bol.com.br</t>
  </si>
  <si>
    <t>pastrellia044@gmail.com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</si>
  <si>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</si>
  <si>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</si>
  <si>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</si>
  <si>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</si>
  <si>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</si>
  <si>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</si>
  <si>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DE SOUSA BRITO</t>
  </si>
  <si>
    <t>xandaotelecom23@gmail.com</t>
  </si>
  <si>
    <t>ALEXANDRE PIRES DE JESUS</t>
  </si>
  <si>
    <t>pireseqs@gmail.com</t>
  </si>
  <si>
    <t>ALEXSANDRO SANTOS DA CONCEICAO</t>
  </si>
  <si>
    <t>alexsandro.conceicao@eqsengenharia.com.br</t>
  </si>
  <si>
    <t>alisson.rambo@eqseng.com.br</t>
  </si>
  <si>
    <t>ALLANCRISTIAN20@HOTMAIL.COM</t>
  </si>
  <si>
    <t>allan.rodrigues@eqsengenharia.com.br</t>
  </si>
  <si>
    <t>Gestor de Contas</t>
  </si>
  <si>
    <t>ALMIR SILVA DA ROSA</t>
  </si>
  <si>
    <t>almir.rosa@eqseng.com.br</t>
  </si>
  <si>
    <t>jocabertol@gmail.com</t>
  </si>
  <si>
    <t>amanda.cristina@eqsengenharia.com.br</t>
  </si>
  <si>
    <t>AMARAL RODRIGUES NUNES</t>
  </si>
  <si>
    <t>AMARALNUNES2012@HOTMAIL.COM</t>
  </si>
  <si>
    <t>ana.holanda@eqsengenharia.com.br</t>
  </si>
  <si>
    <t>ANA LUIZA OLIVEIRA CAMELO</t>
  </si>
  <si>
    <t>ana.luiza@eqsengenharia.com.br</t>
  </si>
  <si>
    <t>ANA PAULA MARTINS DE SOUZA</t>
  </si>
  <si>
    <t>ana.souza@eqsengenharia.com.br</t>
  </si>
  <si>
    <t>Administrador</t>
  </si>
  <si>
    <t>anderson.perez@eqsengenharia.com.br</t>
  </si>
  <si>
    <t>dyttofernandesalmeida1@gmail.com</t>
  </si>
  <si>
    <t>AJW.MARTINS@GMAIL.COM</t>
  </si>
  <si>
    <t>anderson.vieira@eqsengenharia.com.br</t>
  </si>
  <si>
    <t>ANDRE DE MOURA ESCOBAR</t>
  </si>
  <si>
    <t>andre.escobar@eqseng.com.br</t>
  </si>
  <si>
    <t>andreluis.finatti.prestserv@petrobras.com.br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</si>
  <si>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</si>
  <si>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</si>
  <si>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</si>
  <si>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</si>
  <si>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</si>
  <si>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</si>
  <si>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</si>
  <si>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andresa.aggio@eqsengenharia.com.br</t>
  </si>
  <si>
    <t>ANDREY CARDOSO REGINALDO</t>
  </si>
  <si>
    <t>andrey.reginaldo@eqsengenharia.com.br</t>
  </si>
  <si>
    <t>ANELISE MENDONCA DE AVILA</t>
  </si>
  <si>
    <t>anelise@eqsengenharia.com.br</t>
  </si>
  <si>
    <t>ANGELICA APARECIDA DOS SANTOS</t>
  </si>
  <si>
    <t>angelica.aparecida@eqseng.com.br</t>
  </si>
  <si>
    <t>antonio@eqseng.com.br</t>
  </si>
  <si>
    <t>adimendonca@gmail.com</t>
  </si>
  <si>
    <t>antonio.j1.silva26@gmail.com</t>
  </si>
  <si>
    <t>camargo0713@hotmail.com</t>
  </si>
  <si>
    <t>arley.luz@eqsengenharia.com.br</t>
  </si>
  <si>
    <t>arthur.gomes@eqsengenharia.com.br</t>
  </si>
  <si>
    <t>arturpagani@gmail.com</t>
  </si>
  <si>
    <t>ATILA LOPES DE MOURA</t>
  </si>
  <si>
    <t>atila_moura@hotmail.com</t>
  </si>
  <si>
    <t>ATILA SILVA DOS SANTOS</t>
  </si>
  <si>
    <t>atilars02@hotmail.com</t>
  </si>
  <si>
    <t>auro.pedroso@eqsengenharia.com.br</t>
  </si>
  <si>
    <t>beatriz.siqueira@eqseng.com.br</t>
  </si>
  <si>
    <t>mmcanoas@hotmail.com</t>
  </si>
  <si>
    <t>brunalais_ac@hotmail.com</t>
  </si>
  <si>
    <t>bruninhopacheco44@gmail.com</t>
  </si>
  <si>
    <t>bruno@eqsengenharia.com.br</t>
  </si>
  <si>
    <t>brunoenf02@icloud.com</t>
  </si>
  <si>
    <t>bruno.rodrigues@eqsengenharia.com.br</t>
  </si>
  <si>
    <t>bruno.dias@eqsengenharia.com.br</t>
  </si>
  <si>
    <t>caio.ribeiro@eqsengenharia.com.br</t>
  </si>
  <si>
    <t>caios.nunes@eqsengenharia.com.br</t>
  </si>
  <si>
    <t>camila.veloso@bcb.gov.br</t>
  </si>
  <si>
    <t>carlos.gigi@eqseng.com.br</t>
  </si>
  <si>
    <t>carlos.eduardo@eqsengenharia.com.br</t>
  </si>
  <si>
    <t>CARLOS FERNANDO PAINES SILVA</t>
  </si>
  <si>
    <t>carlospaines@hotmail.com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</si>
  <si>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</si>
  <si>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</si>
  <si>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</si>
  <si>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</si>
  <si>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</si>
  <si>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 MOACIR FONTOURA MENDONCA</t>
  </si>
  <si>
    <t>carlos.mendonca@eqsengenharia.com.br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</si>
  <si>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</si>
  <si>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</si>
  <si>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</si>
  <si>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</si>
  <si>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</si>
  <si>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</si>
  <si>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</si>
  <si>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cmattyuzzy@gmail.com</t>
  </si>
  <si>
    <t>claudemir.rodrigues@eqsengenharia.com.br</t>
  </si>
  <si>
    <t>claudemir.moreira054@gmail.com</t>
  </si>
  <si>
    <t>amaralclaudinei@hotmail.com</t>
  </si>
  <si>
    <t>claudinei.lima@eqsengenharia.com.br</t>
  </si>
  <si>
    <t>claudiodonizete8321@gmail.com</t>
  </si>
  <si>
    <t>CLAUDIO LUIZ COSTA BAUER</t>
  </si>
  <si>
    <t>claudiobauer4@gmail.com</t>
  </si>
  <si>
    <t>clrenaldinunes@gmail.com</t>
  </si>
  <si>
    <t>claytonpr@gmail.com</t>
  </si>
  <si>
    <t>CLEBER RICARDO NASCIMENTO SILVA</t>
  </si>
  <si>
    <t>cleber.rns@uol.com.br</t>
  </si>
  <si>
    <t>binhoclebersonsantos@gmail.com</t>
  </si>
  <si>
    <t>CLEDIVALDO DINIZ BERNARDO</t>
  </si>
  <si>
    <t>DINIZCLEDIVALDO@GMAIL.COM</t>
  </si>
  <si>
    <t>Cartão não habilitado</t>
  </si>
  <si>
    <t>CLEITON DA SILVA MONTALVÃO</t>
  </si>
  <si>
    <t>cleiton.montalvao@eqsengenharia.com.br</t>
  </si>
  <si>
    <t>CLEITON TAVARES JARDIM</t>
  </si>
  <si>
    <t>tavarescleiton1986@gmail.com</t>
  </si>
  <si>
    <t>CLEOMAR DE SOUZA RODRIGUES</t>
  </si>
  <si>
    <t>CLEOMARDSR@GMAIL.COM</t>
  </si>
  <si>
    <t>cleriton.santos@hotmail.com</t>
  </si>
  <si>
    <t>bmx_sdr@hotmail.com</t>
  </si>
  <si>
    <t>conf</t>
  </si>
  <si>
    <t>conf@eqsengenharia.com.br</t>
  </si>
  <si>
    <t>CREMILSON JESUS FRANCA</t>
  </si>
  <si>
    <t>cremilson.franca@eqsengenharia.com.br</t>
  </si>
  <si>
    <t>creol.santos@gmail.com</t>
  </si>
  <si>
    <t>cristian.oliveira@eqseng.com.br</t>
  </si>
  <si>
    <t>cristiane-melo1994@hotmail.com</t>
  </si>
  <si>
    <t>cristiano.anesio@eqseng.com.br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</si>
  <si>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</si>
  <si>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</si>
  <si>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</si>
  <si>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</si>
  <si>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</si>
  <si>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</si>
  <si>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DANIEL PORFIRIO DE SOUSA</t>
  </si>
  <si>
    <t>danieldeporfirio@gmail.com</t>
  </si>
  <si>
    <t>danielrc13@gmail.com</t>
  </si>
  <si>
    <t>dsassuncao@hotmail.com</t>
  </si>
  <si>
    <t>daniela.carvalho@eqsengenharia.com.br</t>
  </si>
  <si>
    <t>danilo.zanatta@eqseng.com.br</t>
  </si>
  <si>
    <t>DARCI CASARA</t>
  </si>
  <si>
    <t>darci.ms@eqsengenharia.com.br</t>
  </si>
  <si>
    <t>DARLAN SPIER PAZ</t>
  </si>
  <si>
    <t>darlan@eqsengenharia.com.br</t>
  </si>
  <si>
    <t>DAVID DA SILVA PEREIRA</t>
  </si>
  <si>
    <t>davidspereira92@gmail.com</t>
  </si>
  <si>
    <t>deise@eqsengenharia.com.br</t>
  </si>
  <si>
    <t>DEMETRIUS LOPES GIANGROSSI</t>
  </si>
  <si>
    <t>demetriusgiangrossi@gmail.com</t>
  </si>
  <si>
    <t>denilsodidone@gmail.com</t>
  </si>
  <si>
    <t>denis.silva@eqsengenharia.com.br</t>
  </si>
  <si>
    <t>DHIEGO RIBEIRO DINIZ</t>
  </si>
  <si>
    <t>dhiego.diniz@eqsengenharia.com.br</t>
  </si>
  <si>
    <t>diegoalcan@hotmail.com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</si>
  <si>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</si>
  <si>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</si>
  <si>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</si>
  <si>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</si>
  <si>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</si>
  <si>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DIORGENES PICONI SAPATEIRO</t>
  </si>
  <si>
    <t>diorgines.sapateiro@eqsengenharia.com.br</t>
  </si>
  <si>
    <t>divanmiroma@gmail.com</t>
  </si>
  <si>
    <t>djenifer.frederich@eqsengenharia.com.br</t>
  </si>
  <si>
    <t>DJONATAN JULIO GORGES VENTURI</t>
  </si>
  <si>
    <t>djony254@gmail.com</t>
  </si>
  <si>
    <t>dmitri92silva@gmail.com</t>
  </si>
  <si>
    <t>dominique.souza@eqseng.com.br</t>
  </si>
  <si>
    <t>DOUGLAS.BARBOSA.PRO@GMAIL.COM</t>
  </si>
  <si>
    <t>DOUGLAS BRITO FERREIRA</t>
  </si>
  <si>
    <t>aluno2165@gmail.com</t>
  </si>
  <si>
    <t>bruckdoug@gmail.com</t>
  </si>
  <si>
    <t>odouglastiago@gmail.com</t>
  </si>
  <si>
    <t>DOUGLAS VENTURA SILVEIRA</t>
  </si>
  <si>
    <t>tecnicodouglas@live.com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</si>
  <si>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</si>
  <si>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</si>
  <si>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</si>
  <si>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</si>
  <si>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</si>
  <si>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Ederson_tjmsn@hotmail.com</t>
  </si>
  <si>
    <t>EDERSON STRELOW</t>
  </si>
  <si>
    <t>strelowederson@gmail.com</t>
  </si>
  <si>
    <t>ede_dutra@hotmail.com</t>
  </si>
  <si>
    <t>ediberto@eqseng.com.br</t>
  </si>
  <si>
    <t>EDILENE CRISTIANA DA SILVA ZIMMERMANN</t>
  </si>
  <si>
    <t>cristiana.zimmermann@eqsengenharia.com.br</t>
  </si>
  <si>
    <t>EDINALDO LEAL DE SOUZA</t>
  </si>
  <si>
    <t>edinaldo.souza@eqsengenharia.com.br</t>
  </si>
  <si>
    <t>Cartão bloqueado</t>
  </si>
  <si>
    <t>edipo.barreto@eqsengenharia.com.br</t>
  </si>
  <si>
    <t>EDISON FERREIRA GONCALVES</t>
  </si>
  <si>
    <t>edisonfgoncalves@gmail.com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</si>
  <si>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</si>
  <si>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</si>
  <si>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</si>
  <si>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</si>
  <si>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</si>
  <si>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</si>
  <si>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</si>
  <si>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</si>
  <si>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Cadastro reprovado</t>
  </si>
  <si>
    <t>EDSON DA SILVA DELLINGHAUSEN</t>
  </si>
  <si>
    <t>edsondellin@yahoo.com.br</t>
  </si>
  <si>
    <t>edson.spuldari@eqseng.com.br</t>
  </si>
  <si>
    <t>edson.silveira@eqsengenharia.com.br</t>
  </si>
  <si>
    <t>eduardo.silva@eqsengenharia.com.br</t>
  </si>
  <si>
    <t>eduardo.bonin@eqsengenharia.com.br</t>
  </si>
  <si>
    <t>eduardo.santos@eqsengenharia.com.br</t>
  </si>
  <si>
    <t>eliandrobruning@hotmail.com</t>
  </si>
  <si>
    <t>ELIESER DE OLIVEIRA VICENTE</t>
  </si>
  <si>
    <t>eliesertecvicen@gmail.com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</si>
  <si>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</si>
  <si>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</si>
  <si>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</si>
  <si>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</si>
  <si>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</si>
  <si>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</si>
  <si>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ELSON CARLOS SIMAO</t>
  </si>
  <si>
    <t>elsonsimao21@outlook.com</t>
  </si>
  <si>
    <t>emerson1002barros@gmail.com</t>
  </si>
  <si>
    <t>EMERSON ROMARIO ROMERO MARTINS</t>
  </si>
  <si>
    <t>emerson.r.r.martins@gmail.com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</si>
  <si>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</si>
  <si>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</si>
  <si>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</si>
  <si>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</si>
  <si>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</si>
  <si>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</si>
  <si>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</si>
  <si>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</si>
  <si>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</si>
  <si>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</si>
  <si>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</si>
  <si>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fabiana.lima@eqsengenharia.com.br</t>
  </si>
  <si>
    <t>FABIANO LITTER</t>
  </si>
  <si>
    <t>fabianolitter@gmail.com</t>
  </si>
  <si>
    <t>fabio.pereira@eqsengenharia.com.br</t>
  </si>
  <si>
    <t>FABIOLIMA01@YAHOO.COM.BR</t>
  </si>
  <si>
    <t>fabio.hidelma@gmail.com</t>
  </si>
  <si>
    <t>fabiohenriquepcruz@gmail.com</t>
  </si>
  <si>
    <t>fabinhomborges0304@gmail.com</t>
  </si>
  <si>
    <t>FABIO NOGUEIRA PEIXOTO</t>
  </si>
  <si>
    <t>fabio.peixoto@eqsengenharia.com.br</t>
  </si>
  <si>
    <t>provesi85@gmail.com</t>
  </si>
  <si>
    <t>FABIO RODRIGUES JUREVICZ</t>
  </si>
  <si>
    <t>frj3455@gmail.com</t>
  </si>
  <si>
    <t>FABRICIO SANTOS DA COSTA</t>
  </si>
  <si>
    <t>fscsantos82@yahoo.com.br</t>
  </si>
  <si>
    <t>FAUSTO SOARES DE MATOS</t>
  </si>
  <si>
    <t>fausto.matos@eqseng.com.br</t>
  </si>
  <si>
    <t>felipe.albuquerque@eqsengenharia.com.br</t>
  </si>
  <si>
    <t>FELIPE MELILLO FONTAN</t>
  </si>
  <si>
    <t>felipe.fontan@eqsengenharia.com.br</t>
  </si>
  <si>
    <t>FELIPE-BRITTO@HOTMAIL.COM</t>
  </si>
  <si>
    <t>FELIPE RAFAEL SUMBAK DE MATOS</t>
  </si>
  <si>
    <t>felipesumback1993@gmail.com</t>
  </si>
  <si>
    <t>FERNANDA ARAGAO LOPES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</si>
  <si>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</si>
  <si>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</si>
  <si>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</si>
  <si>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</si>
  <si>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</si>
  <si>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flavioferreirads@yahoo.com.br</t>
  </si>
  <si>
    <t>flavio.fernandes@eqsengenharia.com.br</t>
  </si>
  <si>
    <t>flavio.romero@eqsengenharia.com.br</t>
  </si>
  <si>
    <t>FLAVIO PATRICIO DA LUZ</t>
  </si>
  <si>
    <t>flaviopatrono77@gmail.com</t>
  </si>
  <si>
    <t>francielly.andrade@outlook.com</t>
  </si>
  <si>
    <t>FRANCIMARIO BEZERRA DA SILVA</t>
  </si>
  <si>
    <t>b.francimario@yahoo.com</t>
  </si>
  <si>
    <t>francinildo.araujo@eqsengenharia.com.br</t>
  </si>
  <si>
    <t>francione.souza.lucena@gmail.com</t>
  </si>
  <si>
    <t>FRANCISCA VALERIA LIMA PORTELA</t>
  </si>
  <si>
    <t>francisca.portela@eqsengenharia.com.br</t>
  </si>
  <si>
    <t>FRANCISCO ERICO FRANCA DE SOUSA</t>
  </si>
  <si>
    <t>francisco.franca@eqsengenharia.com.br</t>
  </si>
  <si>
    <t>FRANCISCO MICHAEL CASTRO FERNANDES</t>
  </si>
  <si>
    <t>MICHAEL_CFERNANDES@HOTMAIL.COM</t>
  </si>
  <si>
    <t>FRANCISCO REINALDO DE ALCANTARA SILVA</t>
  </si>
  <si>
    <t>franciscoreinaldo1970@gmail.com</t>
  </si>
  <si>
    <t>FRANCISCO RICARDO DOS SANTOS</t>
  </si>
  <si>
    <t>francisco.ricardosantos@gmail.com</t>
  </si>
  <si>
    <t>franvalsousafv@gmail.com</t>
  </si>
  <si>
    <t>francoafreire@gmail.com</t>
  </si>
  <si>
    <t>FREDERICO PEDROSO FERNANDES</t>
  </si>
  <si>
    <t>frederico.pedroso@eqsengenharia.com.br</t>
  </si>
  <si>
    <t>GABRIEL EGGER</t>
  </si>
  <si>
    <t>gabrielegger525@gmail.com</t>
  </si>
  <si>
    <t>gabriel.agnol@eqseng.com.br</t>
  </si>
  <si>
    <t>gmontaniferreira@gmail.com</t>
  </si>
  <si>
    <t>GEFERSON FLORIANO PRICHULA</t>
  </si>
  <si>
    <t>gefersonprichula@gmail.com</t>
  </si>
  <si>
    <t>genisson.ferreira@eqseng.com.br</t>
  </si>
  <si>
    <t>GERSON PEREIRA</t>
  </si>
  <si>
    <t>gerson.pereira.gerson@gmail.com</t>
  </si>
  <si>
    <t>gilmar.lacerda@eqsengenharia.com.br</t>
  </si>
  <si>
    <t>GISELE CRISTINE DE SOUZA</t>
  </si>
  <si>
    <t>gisele.souza@eqsengenharia.com.br</t>
  </si>
  <si>
    <t>GLAUBERTY CANDIDO COELHO</t>
  </si>
  <si>
    <t>GLAUBERTYJOGLAU@HOTMAIL.COM</t>
  </si>
  <si>
    <t>glaucio@eqsengenharia.com.br</t>
  </si>
  <si>
    <t>GUILHERME BATISTA DA SILVA</t>
  </si>
  <si>
    <t>guilherme.batista@eqsengenharia.com.br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</si>
  <si>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</si>
  <si>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</si>
  <si>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</si>
  <si>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</si>
  <si>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</si>
  <si>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guilherme.silva@eqsengenharia.com.br</t>
  </si>
  <si>
    <t>GUSTAVO GONCALVES DA SILVA</t>
  </si>
  <si>
    <t>gustavodeosorio@hotmail.com</t>
  </si>
  <si>
    <t>gustavorfaria1000@gmail.com</t>
  </si>
  <si>
    <t>hedersilva22@hotmail.com</t>
  </si>
  <si>
    <t>HEITOR MAURMANN LEITAO</t>
  </si>
  <si>
    <t>heitormaurmann@gmail.com</t>
  </si>
  <si>
    <t>helder.ferreira@eqsengenharia.com.br</t>
  </si>
  <si>
    <t>HELDER USTULIN</t>
  </si>
  <si>
    <t>helder.ustulin@eqsengenharia.com.br</t>
  </si>
  <si>
    <t>HERLANDSON BRUNO CARNEIRO MATIAS</t>
  </si>
  <si>
    <t>herlandson.matias@eqsengenharia.com.br</t>
  </si>
  <si>
    <t>HIAGOR JUNIO SANTOS GOMES</t>
  </si>
  <si>
    <t>hiagor.gomes@eqsengenharia.com.br</t>
  </si>
  <si>
    <t>higorlcerqueira@gmail.com</t>
  </si>
  <si>
    <t>hugo.alexandre@eqsengenharia.com.br</t>
  </si>
  <si>
    <t>hugo@eqsengenharia.com.br</t>
  </si>
  <si>
    <t>hugoeletric@gmail.com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</si>
  <si>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</si>
  <si>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</si>
  <si>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</si>
  <si>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</si>
  <si>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</si>
  <si>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</si>
  <si>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</si>
  <si>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</si>
  <si>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</si>
  <si>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</si>
  <si>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</si>
  <si>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</si>
  <si>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</si>
  <si>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</si>
  <si>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</si>
  <si>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</si>
  <si>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</si>
  <si>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</si>
  <si>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</si>
  <si>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</si>
  <si>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</si>
  <si>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Jaqueline.pereira@eqsengenharia.com.br</t>
  </si>
  <si>
    <t>jazemir.marques@eqsengenharia.com.br</t>
  </si>
  <si>
    <t>jeanfabiooliverio@gmail.com</t>
  </si>
  <si>
    <t>JEFERSON LUZ FIGUEIREDO</t>
  </si>
  <si>
    <t>JEFERFIG@GMAIL.COM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</si>
  <si>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</si>
  <si>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</si>
  <si>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</si>
  <si>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</si>
  <si>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</si>
  <si>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</si>
  <si>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</si>
  <si>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</si>
  <si>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</si>
  <si>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 COSTA DE LIMA FILHO</t>
  </si>
  <si>
    <t>JGCCOSTA489@GMAIL.COM</t>
  </si>
  <si>
    <t>joaoviana631@gmail.com</t>
  </si>
  <si>
    <t>JOAO FELIPE BAGATIM DIAS PADILHA</t>
  </si>
  <si>
    <t>joaofelipe_10@hotmail.com</t>
  </si>
  <si>
    <t>JOAO MARCELO MARTINS DA SILVA BARBOSA</t>
  </si>
  <si>
    <t>joao.barbosa@eqsengenharia.com.br</t>
  </si>
  <si>
    <t>joelson.santos@eqsengenharia.com.br</t>
  </si>
  <si>
    <t>JOELSON JUNIOR MARTINS DE GOES</t>
  </si>
  <si>
    <t>joelson001@gmail.com</t>
  </si>
  <si>
    <t>Jcavalcanti2412@gmail.com</t>
  </si>
  <si>
    <t>desplanchesjonas@gmail.com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</si>
  <si>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</si>
  <si>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</si>
  <si>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</si>
  <si>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</si>
  <si>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</si>
  <si>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</si>
  <si>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</si>
  <si>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JOSE CLAUDIO RIBEIRO</t>
  </si>
  <si>
    <t>avnribeiro@hotmail.com</t>
  </si>
  <si>
    <t>zepradoeqs@gmail.com</t>
  </si>
  <si>
    <t>jose.furlanetto@eqsengenharia.com.br</t>
  </si>
  <si>
    <t>JOSE MARCOS PEREIRA VAZ</t>
  </si>
  <si>
    <t>josevazcsl.53@gmail.com</t>
  </si>
  <si>
    <t>nei.engeman@gmail.com</t>
  </si>
  <si>
    <t>josenildodacunha@hotmail.com</t>
  </si>
  <si>
    <t>juniorrogerio7@gmail.com</t>
  </si>
  <si>
    <t>JOSE VALDOIR LEITE</t>
  </si>
  <si>
    <t>valdoir@eqseng.com.br</t>
  </si>
  <si>
    <t>jose.felix@eqsengenharia.com.br</t>
  </si>
  <si>
    <t>jose.oliveira@eqsengenharia.com.br</t>
  </si>
  <si>
    <t>joseane.souza@eqsengenharia.com.br</t>
  </si>
  <si>
    <t>juan.amanajas@gmail.com</t>
  </si>
  <si>
    <t>JUDSON JOSE BATISTA MARINHO</t>
  </si>
  <si>
    <t>judson@eqsengenharia.com.br</t>
  </si>
  <si>
    <t>JULIA FRANCISCO MADUREIRA</t>
  </si>
  <si>
    <t>julia.madureira@eqsengenharia.com.br</t>
  </si>
  <si>
    <t>JULIA SCHURHAUS PERETTI</t>
  </si>
  <si>
    <t>julia.peretti@eqsengenharia.com.br</t>
  </si>
  <si>
    <t>JULIANA RIBEIRO RAMOS</t>
  </si>
  <si>
    <t>qualidade@eqsengenharia.com.br</t>
  </si>
  <si>
    <t>JULIANO CORDEIRO DOS SANTOS</t>
  </si>
  <si>
    <t>juliano@eqsengenharia.com.br</t>
  </si>
  <si>
    <t>Julianomessiassk8@gmail.com</t>
  </si>
  <si>
    <t>JULIANO SALBEGO ROSBACK</t>
  </si>
  <si>
    <t>rosbackj@hotmail.com</t>
  </si>
  <si>
    <t>juliorocha160877@gmail.com</t>
  </si>
  <si>
    <t>justino.nogueira@eqsengenharia.com.br</t>
  </si>
  <si>
    <t>KEVIN WILLIAMS COUTINHO BEZERRA PENA</t>
  </si>
  <si>
    <t>marketing@eqsengenharia.com.br</t>
  </si>
  <si>
    <t>KLEITON DE ALMEIDA TORRES</t>
  </si>
  <si>
    <t>kleitontorres@gmail.com</t>
  </si>
  <si>
    <t>lscanabarro@yahoo.com.br</t>
  </si>
  <si>
    <t>LAIS SOARES QUARESMA</t>
  </si>
  <si>
    <t>lais.quaresma@eqseng.com.br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</si>
  <si>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</si>
  <si>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</si>
  <si>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</si>
  <si>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</si>
  <si>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</si>
  <si>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</si>
  <si>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</si>
  <si>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 DE PAULA ASSIS</t>
  </si>
  <si>
    <t>leandro.assis@eqseng.com.br</t>
  </si>
  <si>
    <t>leandro@eqsengenharia.com.br</t>
  </si>
  <si>
    <t>LEANDRO EGAS</t>
  </si>
  <si>
    <t>leandro.egas@eqseng.com.br</t>
  </si>
  <si>
    <t>leandro.figueredo@eqsengenharia.com.br</t>
  </si>
  <si>
    <t>LEANDRO GUSMAO</t>
  </si>
  <si>
    <t>LEANDRO.GMUNIZ@OUTLOOK.COM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</si>
  <si>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</si>
  <si>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</si>
  <si>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</si>
  <si>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</si>
  <si>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</si>
  <si>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</si>
  <si>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 DE MEDEIROS MARTINS</t>
  </si>
  <si>
    <t>leonardo.martins@eqseng.com.br</t>
  </si>
  <si>
    <t>LEONARDO GONCALVES RIBEIRO FILHO</t>
  </si>
  <si>
    <t>leoeletrica65@gmail.com</t>
  </si>
  <si>
    <t>leonardo_orestes@hotmail.com</t>
  </si>
  <si>
    <t>LEONARDO SCHNEIDER AVILA</t>
  </si>
  <si>
    <t>leuavila@hotmail.com</t>
  </si>
  <si>
    <t>LETICIA ANGENITA SCHEIMANN BAUER</t>
  </si>
  <si>
    <t>leticia@eqsengenharia.com.br</t>
  </si>
  <si>
    <t>lilian.silva@eqsengenharia.com.br</t>
  </si>
  <si>
    <t>LISANDRO DA SILVA LOURENCO</t>
  </si>
  <si>
    <t>lisandro.123silva@gmail.com</t>
  </si>
  <si>
    <t>LOI BATISTA ANTUNES SARAIVA</t>
  </si>
  <si>
    <t>loibatistaantunessaraiva@gmail.com</t>
  </si>
  <si>
    <t>luan.silva@eqseng.com.br</t>
  </si>
  <si>
    <t>lucasdepaulasilva2411@gmail.com</t>
  </si>
  <si>
    <t>LUCAS DIOVANI CASTRO BERNARDO</t>
  </si>
  <si>
    <t>lucas.bernado@eqseng.com.br</t>
  </si>
  <si>
    <t>lucas.santos@eqsengenharia.com.br</t>
  </si>
  <si>
    <t>lucas1.cta1@gmail.com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</si>
  <si>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</si>
  <si>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</si>
  <si>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</si>
  <si>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</si>
  <si>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</si>
  <si>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</si>
  <si>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</si>
  <si>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</si>
  <si>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</si>
  <si>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</si>
  <si>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</si>
  <si>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</si>
  <si>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luis.felipe.1992@gmail.com</t>
  </si>
  <si>
    <t>LUIS HENRIQUE DA SILVA BUHL</t>
  </si>
  <si>
    <t>luisbuhll@gmail.com</t>
  </si>
  <si>
    <t>LUIZ CARLOS NETO</t>
  </si>
  <si>
    <t>luizcarlosnetto@yahoo.com.br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</si>
  <si>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</si>
  <si>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</si>
  <si>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</si>
  <si>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</si>
  <si>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</si>
  <si>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</si>
  <si>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</si>
  <si>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LUZINETH DA COSTA MARINHO</t>
  </si>
  <si>
    <t>luzineth.marinho@eqsengenharia.com.br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</si>
  <si>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</si>
  <si>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</si>
  <si>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</si>
  <si>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</si>
  <si>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</si>
  <si>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carvalho.marcelalt@gmail.com</t>
  </si>
  <si>
    <t>MARCELO BEZERRA</t>
  </si>
  <si>
    <t>marcelo.bezerra@eqsengenharia.com.br</t>
  </si>
  <si>
    <t>MARCELO CALIXTRO</t>
  </si>
  <si>
    <t>marcelo.calixtro@eqseng.com.br</t>
  </si>
  <si>
    <t>MARCELO CARVALHO DA SILVA</t>
  </si>
  <si>
    <t>marcelo.silva@eqsengenharia.com.br</t>
  </si>
  <si>
    <t>MARCELO DE ANDRADE CALVETTI</t>
  </si>
  <si>
    <t>marcelo.calvertti@eqsengenharia.com.br</t>
  </si>
  <si>
    <t>marcelo.vedova@yahoo.com.br</t>
  </si>
  <si>
    <t>MARCELO DOS SANTOS SECCO</t>
  </si>
  <si>
    <t>marcelo.secco@eqseng.com.br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</si>
  <si>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</si>
  <si>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</si>
  <si>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</si>
  <si>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</si>
  <si>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</si>
  <si>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</si>
  <si>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marcelo.gouvea@ymail.com</t>
  </si>
  <si>
    <t>MARCIA CRISTINA DA CUNHA SCATAMBULO</t>
  </si>
  <si>
    <t>marcia.s@eqsengenharia.com.br</t>
  </si>
  <si>
    <t>marcio.ferreira@eqseng.com.br</t>
  </si>
  <si>
    <t>MARCIO CAMPOS RIBEIRO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</si>
  <si>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</si>
  <si>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</si>
  <si>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</si>
  <si>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</si>
  <si>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</si>
  <si>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</si>
  <si>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</si>
  <si>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marco.lima@eqsengenharia.com.br</t>
  </si>
  <si>
    <t>MARCOS AURELIO CARIAS ASSIS</t>
  </si>
  <si>
    <t>marcos@eqsengenharia.com.br</t>
  </si>
  <si>
    <t>MARCOS LUIZ SCHULTZ</t>
  </si>
  <si>
    <t>schultzmarcos@yahoo.com.br</t>
  </si>
  <si>
    <t>marcos10rdc@gmail.com</t>
  </si>
  <si>
    <t>seger@eqsengenharia.com.br</t>
  </si>
  <si>
    <t>MARIA CRISTINA DE OLIVEIRA NEVES</t>
  </si>
  <si>
    <t>maria.neves@eqsengenharia.com.br</t>
  </si>
  <si>
    <t>maria.aragao@eqsengenharia.com.br</t>
  </si>
  <si>
    <t>MARIA EDUARDA DE JESUS TAVARES</t>
  </si>
  <si>
    <t>maria.tavares@eqsengenharia.com.br</t>
  </si>
  <si>
    <t>MATEUS DANTAS MIRANDA</t>
  </si>
  <si>
    <t>mateus.miranda@eqsengenharia.com.br</t>
  </si>
  <si>
    <t>mateus.bertol@yahoo.com.br</t>
  </si>
  <si>
    <t>matheus.guimaraes@eqseng.com.br</t>
  </si>
  <si>
    <t>MATHEUS LEANDRO BARROSO</t>
  </si>
  <si>
    <t>matheus.barrosoengcivil@gmail.com</t>
  </si>
  <si>
    <t>MAURICIO CACERES</t>
  </si>
  <si>
    <t>mauricio.caceres@eqseng.com.br</t>
  </si>
  <si>
    <t>mauriciosuperfrio02@gmail.com</t>
  </si>
  <si>
    <t>mauricio.camargo@eqseng.com.br</t>
  </si>
  <si>
    <t>MAURO DE OLIVEIRA CERINO</t>
  </si>
  <si>
    <t>maurocerino2013@hotmail.com</t>
  </si>
  <si>
    <t>mauro.saugo@gmail.com</t>
  </si>
  <si>
    <t>MELSO CEZAR DA SILVA NETO</t>
  </si>
  <si>
    <t>melsocezar@gmail.com</t>
  </si>
  <si>
    <t>MESSIAS MAIA LIMA</t>
  </si>
  <si>
    <t>messiasmaia487@gmail.com</t>
  </si>
  <si>
    <t>michael.santos@eqseng.com.br</t>
  </si>
  <si>
    <t>michel.venancio29@gmail.com</t>
  </si>
  <si>
    <t>rodrigues.michel82@gmail.com</t>
  </si>
  <si>
    <t>michellmvs@gmail.com</t>
  </si>
  <si>
    <t>MIGUEL JOAO DINIS MOTA</t>
  </si>
  <si>
    <t>mjdmota@gmail.com</t>
  </si>
  <si>
    <t>MILTON FLECK PITROWSKI</t>
  </si>
  <si>
    <t>milton.pitrowski@eqseng.com.br</t>
  </si>
  <si>
    <t>moises.cabral@eqsengenharia.com.br</t>
  </si>
  <si>
    <t>monicaicm@yahoo.com.br</t>
  </si>
  <si>
    <t>murilo.almeida@eqsengenharia.com.br</t>
  </si>
  <si>
    <t>nedson.veloso@eqseng.com.br</t>
  </si>
  <si>
    <t>NELSON MOURA RIBEIRO</t>
  </si>
  <si>
    <t>nelson.ribeiro@eqsengenharia.com.br</t>
  </si>
  <si>
    <t>NERTAN DE CASTRO MAIA</t>
  </si>
  <si>
    <t>nertancastromaia@gmail.com</t>
  </si>
  <si>
    <t>neudoengeman@gmail.com</t>
  </si>
  <si>
    <t>NILSON FERREIRA DAMASCENO</t>
  </si>
  <si>
    <t>nilferrer49@gmail.com</t>
  </si>
  <si>
    <t>NILTON FARIAS JUNIOR</t>
  </si>
  <si>
    <t>nilton.farias@eqseng.com.br</t>
  </si>
  <si>
    <t>NILTON SANTOS DA SILVA</t>
  </si>
  <si>
    <t>niltondepaoli@gmail.com</t>
  </si>
  <si>
    <t>thiagonival@hotmail.com</t>
  </si>
  <si>
    <t>NORMAMCP2012@GMAIL.COM</t>
  </si>
  <si>
    <t>odairsoares.chocolate@gmail.com</t>
  </si>
  <si>
    <t>oreste.junior@eqseng.com.br</t>
  </si>
  <si>
    <t>oscar.palaro22@gmail.com</t>
  </si>
  <si>
    <t>OSMAN DOS SANTOS MORAIS JUNIOR</t>
  </si>
  <si>
    <t>osmanjunior@hotmail.com</t>
  </si>
  <si>
    <t>PABLO VICTOR VELINSK</t>
  </si>
  <si>
    <t>welinski52@gmail.com</t>
  </si>
  <si>
    <t>paloma.spinola@eqsengenharia.com.br</t>
  </si>
  <si>
    <t>paolacarolini@hotmail.com</t>
  </si>
  <si>
    <t>patrickantonievicz@gmail.com</t>
  </si>
  <si>
    <t>patrick@eqsengenharia.com.br</t>
  </si>
  <si>
    <t>poctc@hotmail.com</t>
  </si>
  <si>
    <t>pamorim22@gmail.com</t>
  </si>
  <si>
    <t>paulo.brito@eqseng.com.br</t>
  </si>
  <si>
    <t>PAULO MARQUES TAVARES</t>
  </si>
  <si>
    <t>paulomarquestavares2019@gmail.com</t>
  </si>
  <si>
    <t>paulonilton.costa@gmail.com</t>
  </si>
  <si>
    <t>paulo.belotti@eqsengenharia.com.br</t>
  </si>
  <si>
    <t>PAULO TIAGO SANTOS DA SILVA</t>
  </si>
  <si>
    <t>tiagoomoi@gmail.com</t>
  </si>
  <si>
    <t>PEDRO HENRIQUE MARTINS BOTELHO</t>
  </si>
  <si>
    <t>pedro.botelho@eqsengenharia.com.br</t>
  </si>
  <si>
    <t>terpiprs@hotmail.com</t>
  </si>
  <si>
    <t>PRISCILA GOTARDO PEREIRA</t>
  </si>
  <si>
    <t>priscila.pereira@eqsengenharia.com.br</t>
  </si>
  <si>
    <t>rafael.vello@eqsengenharia.com.br</t>
  </si>
  <si>
    <t>carnielrafael3@gmail.com</t>
  </si>
  <si>
    <t>RAFAEL DORNELLES</t>
  </si>
  <si>
    <t>rafael.dornelles@eqseng.com.br</t>
  </si>
  <si>
    <t>rafael_natal_lachi@hotmail.com</t>
  </si>
  <si>
    <t>RAFAEL OLIVEIRA CANTANHEDE</t>
  </si>
  <si>
    <t>rocantanhede@yahoo.com.br</t>
  </si>
  <si>
    <t>rafael.cruz@eqsengenharia.com.br</t>
  </si>
  <si>
    <t>RAFAEL ROCHA MOURA</t>
  </si>
  <si>
    <t>rafael.moura@eqsengenharia.com.br</t>
  </si>
  <si>
    <t>rafael.fonseca@eqsengenharia.com.br</t>
  </si>
  <si>
    <t>RAFAELA OLIVEIRA RODRIGUES</t>
  </si>
  <si>
    <t>RAFEL26@HOTMAIL.COM</t>
  </si>
  <si>
    <t>RAMONY AVYSSON GOMES DA SILVA</t>
  </si>
  <si>
    <t>ramony.silva@eqsengenharia.com.br</t>
  </si>
  <si>
    <t>raquel.pantoja@eqsengenharia.com.br</t>
  </si>
  <si>
    <t>adriano_rsraul@outlook.com</t>
  </si>
  <si>
    <t>RENATA PALMA LEAL</t>
  </si>
  <si>
    <t>renata.leal@eqseng.com.br</t>
  </si>
  <si>
    <t>renato.parreiras@eqsengenharia.com.br</t>
  </si>
  <si>
    <t>RENATO PEREIRA DA SILVA</t>
  </si>
  <si>
    <t>renatthor26@gmail.com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</si>
  <si>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</si>
  <si>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</si>
  <si>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</si>
  <si>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</si>
  <si>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</si>
  <si>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</si>
  <si>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</si>
  <si>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</si>
  <si>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</si>
  <si>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</si>
  <si>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</si>
  <si>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</si>
  <si>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</si>
  <si>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</si>
  <si>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rodrigo.balestrin@eqseng.com.br</t>
  </si>
  <si>
    <t>rodrigo.boldo@eqsengenharia.com.br</t>
  </si>
  <si>
    <t>RODRIGO BORGES MIOTTA</t>
  </si>
  <si>
    <t>rodrigo.miotta@eqsengenharia.com.br</t>
  </si>
  <si>
    <t>rodrigocesar@eqseng.com.br</t>
  </si>
  <si>
    <t>RODRIGO DE SOUZA ROSA</t>
  </si>
  <si>
    <t>rodrigo.equisul@hotmail.com</t>
  </si>
  <si>
    <t>rodrigo.fran.correa@gmail.com</t>
  </si>
  <si>
    <t>rodrigo@eqsengenharia.com.br</t>
  </si>
  <si>
    <t>r3motta.rm@gmail.com</t>
  </si>
  <si>
    <t>RODRIGO RIOS VELOSO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</si>
  <si>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</si>
  <si>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</si>
  <si>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</si>
  <si>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</si>
  <si>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</si>
  <si>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</si>
  <si>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rogerio.s@eqsengenharia.com.br</t>
  </si>
  <si>
    <t>RONALDO DE CARVALHO</t>
  </si>
  <si>
    <t>ronaldo.carvalho@eqsengenharia.com.br</t>
  </si>
  <si>
    <t>ronaldo.lelis@eqsengenharia.com.br</t>
  </si>
  <si>
    <t>RONALDO NEIVA DA SILVA PACHECO</t>
  </si>
  <si>
    <t>ronesipa81@gmail.com</t>
  </si>
  <si>
    <t>ronaldorsantana@gmail.com</t>
  </si>
  <si>
    <t>RONIO JOSE ROSA</t>
  </si>
  <si>
    <t>roniojoserosa@gmail.com</t>
  </si>
  <si>
    <t>samuelsouza@eqsengenharia.com.br</t>
  </si>
  <si>
    <t>sandra.machado@eqsengenharia.com.br</t>
  </si>
  <si>
    <t>sandro.barreto@eqsengenharia.com.br</t>
  </si>
  <si>
    <t>capistrano@eqseng.com.br</t>
  </si>
  <si>
    <t>SANDRO LUIZ NASCIMENTO</t>
  </si>
  <si>
    <t>bbbnu@eqseng.com.br</t>
  </si>
  <si>
    <t>sandroquiteriolopes@gmail.com</t>
  </si>
  <si>
    <t>sara.barbosa@eqseng.com.br</t>
  </si>
  <si>
    <t>sauloap30@gmail.com</t>
  </si>
  <si>
    <t>sergio.debiazi@eqseng.com.br</t>
  </si>
  <si>
    <t>SERGIO LUIS DA COSTA</t>
  </si>
  <si>
    <t>sergioeqs@outlook.com</t>
  </si>
  <si>
    <t>sidneimachado1979@gmail.com</t>
  </si>
  <si>
    <t>silmara@eqsengenharia.com.br</t>
  </si>
  <si>
    <t>SILVALE DA SILVA</t>
  </si>
  <si>
    <t>silvales002@gmail.com</t>
  </si>
  <si>
    <t>silvio.odeli.filho@gmail.com</t>
  </si>
  <si>
    <t>SILVIO VINICIUS PINHEIRO GOES</t>
  </si>
  <si>
    <t>silvio.goes@eqsengenharia.com.br</t>
  </si>
  <si>
    <t>rh.mg@eqsengenharia.com.br</t>
  </si>
  <si>
    <t>thalita.gondim@eqseng.com.br</t>
  </si>
  <si>
    <t>THIAGO BENITES VIEIRA</t>
  </si>
  <si>
    <t>thiago.vieira@eqsengenharia.com.br</t>
  </si>
  <si>
    <t>thiago_vanzeler@hotmail.com</t>
  </si>
  <si>
    <t>THIAGO DUARTE VARGAS</t>
  </si>
  <si>
    <t>duarte@eqsengenharia.com.br</t>
  </si>
  <si>
    <t>thiago.santos@eqseng.com.br</t>
  </si>
  <si>
    <t>THIAGO NEVES DE FREITAS</t>
  </si>
  <si>
    <t>thiago@eqsengenharia.com.br</t>
  </si>
  <si>
    <t>thiagolima.benco@gmail.com</t>
  </si>
  <si>
    <t>thiego.oliveira@eqseng.com.br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</si>
  <si>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</si>
  <si>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</si>
  <si>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</si>
  <si>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</si>
  <si>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</si>
  <si>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</si>
  <si>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</si>
  <si>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</si>
  <si>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</si>
  <si>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</si>
  <si>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</si>
  <si>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</si>
  <si>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</si>
  <si>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</si>
  <si>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</si>
  <si>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</si>
  <si>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</si>
  <si>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ulisses.oliveira@eqsengenharia.com.br</t>
  </si>
  <si>
    <t>VALDEMIR ANTONIO CORREA JUNIOR</t>
  </si>
  <si>
    <t>valdemir@eqsengenharia.com.br</t>
  </si>
  <si>
    <t>VALDEMIR SOUSA DE OLIVEIRA</t>
  </si>
  <si>
    <t>valdemir.oliveira@eqsengenharia.onmicrosoft.com</t>
  </si>
  <si>
    <t>VALDIR COUTINHO DOS SANTOS</t>
  </si>
  <si>
    <t>coutinhodossantosvaldir83@gmail.com</t>
  </si>
  <si>
    <t>valdir.voigt@eqsengenharia.com.br</t>
  </si>
  <si>
    <t>JUNNIORNORONHA9@GMAIL.COM</t>
  </si>
  <si>
    <t>VICTOR LEONARDO LIMA DA CRUZ</t>
  </si>
  <si>
    <t>victorcruz2201@gmail.com</t>
  </si>
  <si>
    <t>victor23pb@gmail.com</t>
  </si>
  <si>
    <t>victor@eqseng.com.br</t>
  </si>
  <si>
    <t>VINICIUS CARDOSO LOCATELLY FERREIRA</t>
  </si>
  <si>
    <t>vinicius.go@eqsengenharia.com.br</t>
  </si>
  <si>
    <t>viniciuspeixotobonetti@gmail.com</t>
  </si>
  <si>
    <t>VOLNEI ROGERIO SUNDYN</t>
  </si>
  <si>
    <t>volnei.sundyn@gmail.com</t>
  </si>
  <si>
    <t>wagner_alves@outlook.com</t>
  </si>
  <si>
    <t>wagner.pereira@eqsengenharia.com.br</t>
  </si>
  <si>
    <t>wagner.gerhardt@eqsengenharia.com.br</t>
  </si>
  <si>
    <t>walternn79@gmail.com</t>
  </si>
  <si>
    <t>walter@eqsengenharia.com.br</t>
  </si>
  <si>
    <t>WANDEILSON EMIDIO MARTINS PEREIRA</t>
  </si>
  <si>
    <t>wanmartinss10@gmail.com</t>
  </si>
  <si>
    <t>welerson.rodrigues@eqsengenharia.com.br</t>
  </si>
  <si>
    <t>WELISON DINALDO FERREIRA DAMASCENO</t>
  </si>
  <si>
    <t>welison19891@gmail.com</t>
  </si>
  <si>
    <t>welltadaniela@bol.com.br</t>
  </si>
  <si>
    <t>WELLINGTON SILVA DE AGUIAR</t>
  </si>
  <si>
    <t>wellingtonaguiar205@gmail.com</t>
  </si>
  <si>
    <t>geraldowelton1@gmail.com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</si>
  <si>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</si>
  <si>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</si>
  <si>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</si>
  <si>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</si>
  <si>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</si>
  <si>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WILLIAM ANTONIO MARTELET STEFANO</t>
  </si>
  <si>
    <t>williammartelet@gmail.com</t>
  </si>
  <si>
    <t>teixeira.will@gmail.com</t>
  </si>
  <si>
    <t>william.nunes@eqsengenharia.com.br</t>
  </si>
  <si>
    <t>WILSON JOAQUIM CAMPOS</t>
  </si>
  <si>
    <t>wilson.campos@eqseng.com.br</t>
  </si>
  <si>
    <t>WILSON LUIZ CABRAL</t>
  </si>
  <si>
    <t>wilson.cabral@eqsengenharia.com.br</t>
  </si>
  <si>
    <t>PROSEGUR SP</t>
  </si>
  <si>
    <t>DRF NOVO HAMBURGO RS</t>
  </si>
  <si>
    <t>ANSELMO VENTURI</t>
  </si>
  <si>
    <t>anselmoventuri@gmail.com</t>
  </si>
  <si>
    <t>CASSIO HENRIQUE ALBUQUERQUE DA SILVA</t>
  </si>
  <si>
    <t>cassio19albuquerque@gmail.com</t>
  </si>
  <si>
    <t>EDSON DE SOUSA ARAUJO</t>
  </si>
  <si>
    <t>ed-0891@hotmail.com</t>
  </si>
  <si>
    <t>ilmarfotesvieira@gmail.com</t>
  </si>
  <si>
    <t>JACKSON CAROLINO CARNEIRO</t>
  </si>
  <si>
    <t>jackson.carolino@gmail.com</t>
  </si>
  <si>
    <t>Jakcson.silva@eqsengenharia.com.br</t>
  </si>
  <si>
    <t>JONATAS DA ROSA DE OLIVEIRA</t>
  </si>
  <si>
    <t>jonatas140887@outlook.com</t>
  </si>
  <si>
    <t>JOSE CARLOS FERREIRA DE MEDEIROS</t>
  </si>
  <si>
    <t>romarinhocarlos@hotmail.com</t>
  </si>
  <si>
    <t>marciascatambulo@hotmail.com</t>
  </si>
  <si>
    <t>terpiprs@hotmail.com.br</t>
  </si>
  <si>
    <t>RAFAEL AUDELIR KOCHE</t>
  </si>
  <si>
    <t>rafael.koche@yahoo.com.br</t>
  </si>
  <si>
    <t>CARTÃO</t>
  </si>
  <si>
    <t>AGILLITAS</t>
  </si>
  <si>
    <t>Situação cpf</t>
  </si>
  <si>
    <t>situação nome</t>
  </si>
  <si>
    <t>CARTAO VALIDACAO</t>
  </si>
  <si>
    <t>JOSE ROBERTO DA SILVA FREIRE</t>
  </si>
  <si>
    <t>54229464134</t>
  </si>
  <si>
    <t>-</t>
  </si>
  <si>
    <t>INATIVO</t>
  </si>
  <si>
    <t>61158852649</t>
  </si>
  <si>
    <t>LEUSAFFAN GUSTAVO DE SIQUEIRA</t>
  </si>
  <si>
    <t>09502929667</t>
  </si>
  <si>
    <t>14829137711</t>
  </si>
  <si>
    <t>82277206172</t>
  </si>
  <si>
    <t>ISA CARLA DE OLIVEIRA LOPES</t>
  </si>
  <si>
    <t>06085235429</t>
  </si>
  <si>
    <t>RENATO DIAS DOS SANTOS</t>
  </si>
  <si>
    <t>03498210114</t>
  </si>
  <si>
    <t>34857901846</t>
  </si>
  <si>
    <t>FLASH</t>
  </si>
  <si>
    <t>VINICIUS ALVES VIEIRA</t>
  </si>
  <si>
    <t>EXCLUIR</t>
  </si>
  <si>
    <t>CARLOS AUGUSTO ALVES CAVALCANTI</t>
  </si>
  <si>
    <t>JOSÉ LUIS TERRIBILE</t>
  </si>
  <si>
    <t>65009304015</t>
  </si>
  <si>
    <t>80616232004</t>
  </si>
  <si>
    <t>INCLUIR</t>
  </si>
  <si>
    <t>27375810877</t>
  </si>
  <si>
    <t>11401604609</t>
  </si>
  <si>
    <t>ALISON ALVES DOS SANTOS</t>
  </si>
  <si>
    <t>00049250256</t>
  </si>
  <si>
    <t>51182084168</t>
  </si>
  <si>
    <t>CONTA ENCERRADA</t>
  </si>
  <si>
    <t>NÃO</t>
  </si>
  <si>
    <t>WEVERSON SANTANA SILVA</t>
  </si>
  <si>
    <t>03528389907</t>
  </si>
  <si>
    <t>05136678909</t>
  </si>
  <si>
    <t>11764705661</t>
  </si>
  <si>
    <t>DAVID WILSON SILVA DOS SANTOS</t>
  </si>
  <si>
    <t>60572957149</t>
  </si>
  <si>
    <t>77283759204</t>
  </si>
  <si>
    <t>CRISTIANE ANTUNES DA SILVA</t>
  </si>
  <si>
    <t>07193849743</t>
  </si>
  <si>
    <t>04471244981</t>
  </si>
  <si>
    <t>THAMIRES AURIENE SANTOS DE SOUZA</t>
  </si>
  <si>
    <t>JEAN SORTICA DOS SANTOS</t>
  </si>
  <si>
    <t>08940522680</t>
  </si>
  <si>
    <t>WALTER FRANCISCO PIRES</t>
  </si>
  <si>
    <t>93186460972</t>
  </si>
  <si>
    <t>00827902212</t>
  </si>
  <si>
    <t>FABIANO RODRIGUES DA SILVA</t>
  </si>
  <si>
    <t>03816889689</t>
  </si>
  <si>
    <t>EXcluir</t>
  </si>
  <si>
    <t>ROGERIO SILVA DOS SANTOS</t>
  </si>
  <si>
    <t>01723092550</t>
  </si>
  <si>
    <t>FABRICIO AFONSO COUTO</t>
  </si>
  <si>
    <t>84743603404</t>
  </si>
  <si>
    <t>AURELIO DE LUCA MIRANDA</t>
  </si>
  <si>
    <t>02344854002</t>
  </si>
  <si>
    <t>AMANDA ALVES MENDES</t>
  </si>
  <si>
    <t>01299509126</t>
  </si>
  <si>
    <t>45666792172</t>
  </si>
  <si>
    <t>EDER DA SILVA</t>
  </si>
  <si>
    <t>FRANCISCO FERREIRA DE SOUSA</t>
  </si>
  <si>
    <t>82107130000</t>
  </si>
  <si>
    <t>09547476661</t>
  </si>
  <si>
    <t>UMBERTO DE FRANCA SANTOS</t>
  </si>
  <si>
    <t>02080870017</t>
  </si>
  <si>
    <t>67094260334</t>
  </si>
  <si>
    <t>FELIPE DE LIMA FERNANDES</t>
  </si>
  <si>
    <t>08519866921</t>
  </si>
  <si>
    <t>MARIA GABRIELA MEDEIROS DE LUCENA</t>
  </si>
  <si>
    <t>DIVANIA RITA DE SOUSA ASSIS FREITAS</t>
  </si>
  <si>
    <t>00508936616</t>
  </si>
  <si>
    <t>02449603050</t>
  </si>
  <si>
    <t>05168980945</t>
  </si>
  <si>
    <t>90539176915</t>
  </si>
  <si>
    <t>09081639919</t>
  </si>
  <si>
    <t>JEFFERSON BATISTA PEREIRA</t>
  </si>
  <si>
    <t>07414082440</t>
  </si>
  <si>
    <t>FERNANDO CUNHA FONSECA</t>
  </si>
  <si>
    <t>06232824962</t>
  </si>
  <si>
    <t>37799797991</t>
  </si>
  <si>
    <t>JESSICA CRISTINA DE SOUZA SILVA</t>
  </si>
  <si>
    <t>JEFERSON MELO BOPSIN</t>
  </si>
  <si>
    <t>96610247072</t>
  </si>
  <si>
    <t>GABRIELA SOARES MAXIMO</t>
  </si>
  <si>
    <t>08042929579</t>
  </si>
  <si>
    <t>?</t>
  </si>
  <si>
    <t>HELIO CARLOS HULLER</t>
  </si>
  <si>
    <t>HERMES MOTTA SOARES</t>
  </si>
  <si>
    <t>82638837172</t>
  </si>
  <si>
    <t>78940346904</t>
  </si>
  <si>
    <t>06576357907</t>
  </si>
  <si>
    <t>15322365737</t>
  </si>
  <si>
    <t>PERÍCIA</t>
  </si>
  <si>
    <t>68187483920</t>
  </si>
  <si>
    <t>59772280906</t>
  </si>
  <si>
    <t>MATHEUS CORDEIRO DE SOUZA</t>
  </si>
  <si>
    <t>10997447923</t>
  </si>
  <si>
    <t>03583938925</t>
  </si>
  <si>
    <t>62525646991</t>
  </si>
  <si>
    <t>ZELIO CELITO NUNES JUNIOR</t>
  </si>
  <si>
    <t>94488185991</t>
  </si>
  <si>
    <t>ADSON SANTOS DA SILVA</t>
  </si>
  <si>
    <t>ANTONIO MARCOS DE SOUZA</t>
  </si>
  <si>
    <t>DIONIKSON MACARIO AGUIAR</t>
  </si>
  <si>
    <t>EDERSON GUIZOLFI PEREIRA</t>
  </si>
  <si>
    <t>GABRIEL CABRAL DA SILVA</t>
  </si>
  <si>
    <t>GILIAN DIAS DA SILVA BORGES</t>
  </si>
  <si>
    <t>MAYKON JEAN RIBEIRO FERREIRA</t>
  </si>
  <si>
    <t>VICTOR HUGO MONTEIRO FREIRE</t>
  </si>
  <si>
    <t>VICTORIA SOEIRO DE BARROS</t>
  </si>
  <si>
    <t>TANDARA MARIA DO VALES PEREIRA ALVES</t>
  </si>
  <si>
    <t>17074849707</t>
  </si>
  <si>
    <t>CARGA  FINAL REEMBOLSO</t>
  </si>
  <si>
    <t>CARGA FINAL SEM REEMBOLSO</t>
  </si>
  <si>
    <t>ADRIANA DA CONCEICAO PEREIRA DE MELO</t>
  </si>
  <si>
    <t>10279969490</t>
  </si>
  <si>
    <t>02801403989</t>
  </si>
  <si>
    <t>65085825004</t>
  </si>
  <si>
    <t>NET VIDEIRA SC</t>
  </si>
  <si>
    <t>83058133553</t>
  </si>
  <si>
    <t>06304071698</t>
  </si>
  <si>
    <t>94567050487</t>
  </si>
  <si>
    <t>97237400010</t>
  </si>
  <si>
    <t>10021879907</t>
  </si>
  <si>
    <t>92079008072</t>
  </si>
  <si>
    <t>80888984049</t>
  </si>
  <si>
    <t>ALIRIO THOMAZ VALENTIM</t>
  </si>
  <si>
    <t>99335220000</t>
  </si>
  <si>
    <t>NET LITORAL RS</t>
  </si>
  <si>
    <t>71318758130</t>
  </si>
  <si>
    <t>01783593008</t>
  </si>
  <si>
    <t>NET SERRA RS</t>
  </si>
  <si>
    <t>98603434034</t>
  </si>
  <si>
    <t>06931043765</t>
  </si>
  <si>
    <t>01419182927</t>
  </si>
  <si>
    <t>03975647400</t>
  </si>
  <si>
    <t>BB PREDIAL MS</t>
  </si>
  <si>
    <t>00598396004</t>
  </si>
  <si>
    <t>30336341920</t>
  </si>
  <si>
    <t>96018682087</t>
  </si>
  <si>
    <t>94193568091</t>
  </si>
  <si>
    <t>DIRETOR PRESIDENTE</t>
  </si>
  <si>
    <t>CELIO GONCALVES DE OLIVEIRA JUNIOR</t>
  </si>
  <si>
    <t>12712136640</t>
  </si>
  <si>
    <t>01065504039</t>
  </si>
  <si>
    <t>BB POA RS</t>
  </si>
  <si>
    <t>02288889055</t>
  </si>
  <si>
    <t>DELVANO AILTON DA SILVA</t>
  </si>
  <si>
    <t>05289382666</t>
  </si>
  <si>
    <t>63818302049</t>
  </si>
  <si>
    <t>OI PREDIAL E LIMPEZA RS</t>
  </si>
  <si>
    <t>02034144031</t>
  </si>
  <si>
    <t>04590667908</t>
  </si>
  <si>
    <t>08196835906</t>
  </si>
  <si>
    <t>08072851969</t>
  </si>
  <si>
    <t>92057900010</t>
  </si>
  <si>
    <t>01777100046</t>
  </si>
  <si>
    <t>70741247453</t>
  </si>
  <si>
    <t>NET CRICIUMA SC</t>
  </si>
  <si>
    <t>77522532000</t>
  </si>
  <si>
    <t>06559830900</t>
  </si>
  <si>
    <t>48353639491</t>
  </si>
  <si>
    <t>TI</t>
  </si>
  <si>
    <t>BB ARAPIRACA MACEIO AL</t>
  </si>
  <si>
    <t>92958028020</t>
  </si>
  <si>
    <t>04300235961</t>
  </si>
  <si>
    <t>ELIEZER MOREIRA SILVA JUNIOR</t>
  </si>
  <si>
    <t>97424277200</t>
  </si>
  <si>
    <t>01773622781</t>
  </si>
  <si>
    <t>73661724215</t>
  </si>
  <si>
    <t>02817685954</t>
  </si>
  <si>
    <t>00295085096</t>
  </si>
  <si>
    <t>CEF CAMPOS RJ</t>
  </si>
  <si>
    <t>DIRETORIA TECNICA</t>
  </si>
  <si>
    <t>39297665829</t>
  </si>
  <si>
    <t>06311481910</t>
  </si>
  <si>
    <t>NET SUDOESTE PR</t>
  </si>
  <si>
    <t>09410182700</t>
  </si>
  <si>
    <t>02057950999</t>
  </si>
  <si>
    <t>04163355359</t>
  </si>
  <si>
    <t>00058507035</t>
  </si>
  <si>
    <t>97290076087</t>
  </si>
  <si>
    <t>01222428903</t>
  </si>
  <si>
    <t>07961072977</t>
  </si>
  <si>
    <t>GABRIELA DALLA VECHIA MONTEIRO</t>
  </si>
  <si>
    <t>09073743958</t>
  </si>
  <si>
    <t>OI PREDIAL E LIMPEZA SC</t>
  </si>
  <si>
    <t>96795115020</t>
  </si>
  <si>
    <t>GEORGE LUIS ROCHA FIGUEIREDO</t>
  </si>
  <si>
    <t>06792773310</t>
  </si>
  <si>
    <t>BB MARANHAO MA</t>
  </si>
  <si>
    <t>38950693291</t>
  </si>
  <si>
    <t>02225827079</t>
  </si>
  <si>
    <t>15226997833</t>
  </si>
  <si>
    <t>93227965968</t>
  </si>
  <si>
    <t>96357193615</t>
  </si>
  <si>
    <t>GLEIDE CONCEICAO NASCIMENTO ALVES</t>
  </si>
  <si>
    <t>00799913510</t>
  </si>
  <si>
    <t>BB DIVINOPOLIS MG</t>
  </si>
  <si>
    <t>04879971901</t>
  </si>
  <si>
    <t>COMERCIAL</t>
  </si>
  <si>
    <t>05113856096</t>
  </si>
  <si>
    <t>00448960001</t>
  </si>
  <si>
    <t>37562230862</t>
  </si>
  <si>
    <t>67192793353</t>
  </si>
  <si>
    <t>85389161068</t>
  </si>
  <si>
    <t>22136444972</t>
  </si>
  <si>
    <t>ADMINISTRATIVO</t>
  </si>
  <si>
    <t>80632955015</t>
  </si>
  <si>
    <t>05986947576</t>
  </si>
  <si>
    <t>00432546081</t>
  </si>
  <si>
    <t>84002867072</t>
  </si>
  <si>
    <t>IMPLANTACAO</t>
  </si>
  <si>
    <t>09176097609</t>
  </si>
  <si>
    <t>JAIR ASSIS DA SILVA</t>
  </si>
  <si>
    <t>60377348953</t>
  </si>
  <si>
    <t>BB MONTES CLAROS MG</t>
  </si>
  <si>
    <t>03096905363</t>
  </si>
  <si>
    <t>09796227789</t>
  </si>
  <si>
    <t>02344139214</t>
  </si>
  <si>
    <t>08247635992</t>
  </si>
  <si>
    <t>69071934004</t>
  </si>
  <si>
    <t>31179509072</t>
  </si>
  <si>
    <t>09428255947</t>
  </si>
  <si>
    <t>03910036902</t>
  </si>
  <si>
    <t>96760265068</t>
  </si>
  <si>
    <t>JULIO CESAR DE SOUZA</t>
  </si>
  <si>
    <t>05430536954</t>
  </si>
  <si>
    <t>02061809260</t>
  </si>
  <si>
    <t>05259206410</t>
  </si>
  <si>
    <t>LARISSA SANTOS DA SILVA</t>
  </si>
  <si>
    <t>45120065830</t>
  </si>
  <si>
    <t>05672070728</t>
  </si>
  <si>
    <t>92841147053</t>
  </si>
  <si>
    <t>28997488821</t>
  </si>
  <si>
    <t>13975476770</t>
  </si>
  <si>
    <t>09594992700</t>
  </si>
  <si>
    <t>99322765020</t>
  </si>
  <si>
    <t>10053877969</t>
  </si>
  <si>
    <t>00752874047</t>
  </si>
  <si>
    <t>71249702020</t>
  </si>
  <si>
    <t>03520117002</t>
  </si>
  <si>
    <t>LUCAS HENRIQUE ALVES DE OLIVEIRA</t>
  </si>
  <si>
    <t>10977673618</t>
  </si>
  <si>
    <t>05188228939</t>
  </si>
  <si>
    <t>FINANCEIRO</t>
  </si>
  <si>
    <t>00845117530</t>
  </si>
  <si>
    <t>02728013055</t>
  </si>
  <si>
    <t>34100118899</t>
  </si>
  <si>
    <t>59228830620</t>
  </si>
  <si>
    <t>NET MGA PR</t>
  </si>
  <si>
    <t>OI PREDIAL E LIMPEZA CO</t>
  </si>
  <si>
    <t>00062036980</t>
  </si>
  <si>
    <t>69153825004</t>
  </si>
  <si>
    <t>02587708052</t>
  </si>
  <si>
    <t>11082292710</t>
  </si>
  <si>
    <t>40191128864</t>
  </si>
  <si>
    <t>CEF VOLTA REDONDA RJ</t>
  </si>
  <si>
    <t>NET FLORIANOPOLIS SC</t>
  </si>
  <si>
    <t>17427326822</t>
  </si>
  <si>
    <t>00549705392</t>
  </si>
  <si>
    <t>96212993068</t>
  </si>
  <si>
    <t>97607240063</t>
  </si>
  <si>
    <t>02519880155</t>
  </si>
  <si>
    <t>MARIO SERGIO DE MENEZES MARQUES BORGES</t>
  </si>
  <si>
    <t>02644012473</t>
  </si>
  <si>
    <t>MATEUS FLOR GUESSER</t>
  </si>
  <si>
    <t>09675608960</t>
  </si>
  <si>
    <t>DEPARTAMENTO PESSOAL</t>
  </si>
  <si>
    <t>MAURICIO SIMOES FARIAS JUNIOR</t>
  </si>
  <si>
    <t>03021129013</t>
  </si>
  <si>
    <t>89317599672</t>
  </si>
  <si>
    <t>MAURO FERREIRA DIAS</t>
  </si>
  <si>
    <t>07559357725</t>
  </si>
  <si>
    <t>00103505199</t>
  </si>
  <si>
    <t>02079878077</t>
  </si>
  <si>
    <t>BB CONJUNTO ANCHIETA RS</t>
  </si>
  <si>
    <t>95053719004</t>
  </si>
  <si>
    <t>MILTON FERREIRA DAS NEVES JUNIOR</t>
  </si>
  <si>
    <t>05100355581</t>
  </si>
  <si>
    <t>00819451088</t>
  </si>
  <si>
    <t>CEITEC RS</t>
  </si>
  <si>
    <t>31668267349</t>
  </si>
  <si>
    <t>02834447977</t>
  </si>
  <si>
    <t>63424770000</t>
  </si>
  <si>
    <t>00846379945</t>
  </si>
  <si>
    <t>ARENANET</t>
  </si>
  <si>
    <t>11340265796</t>
  </si>
  <si>
    <t>00147552621</t>
  </si>
  <si>
    <t>85769185015</t>
  </si>
  <si>
    <t>PRISCILA MORAES</t>
  </si>
  <si>
    <t>03738994912</t>
  </si>
  <si>
    <t>08214541964</t>
  </si>
  <si>
    <t>35160538879</t>
  </si>
  <si>
    <t>64964167372</t>
  </si>
  <si>
    <t>06092178443</t>
  </si>
  <si>
    <t>RAYMUNDO FABIO PINHEIRO DE SOUZA</t>
  </si>
  <si>
    <t>77348443249</t>
  </si>
  <si>
    <t>RENAN VICTORIO DE LIMA</t>
  </si>
  <si>
    <t>36447007888</t>
  </si>
  <si>
    <t>CUSTOS</t>
  </si>
  <si>
    <t>NET CHAPECO SC</t>
  </si>
  <si>
    <t>PTB REVAP SP</t>
  </si>
  <si>
    <t>08997474774</t>
  </si>
  <si>
    <t>03937438106</t>
  </si>
  <si>
    <t>26953703857</t>
  </si>
  <si>
    <t>99489520063</t>
  </si>
  <si>
    <t>DETRONICS</t>
  </si>
  <si>
    <t>RODRIGO ALFAMA FURTADO</t>
  </si>
  <si>
    <t>02481128052</t>
  </si>
  <si>
    <t>65590015391</t>
  </si>
  <si>
    <t>ROGERIO COSTA PRADO</t>
  </si>
  <si>
    <t>92160344320</t>
  </si>
  <si>
    <t>27000085886</t>
  </si>
  <si>
    <t>05762523950</t>
  </si>
  <si>
    <t>PTB LUBNOR CE PACOTES</t>
  </si>
  <si>
    <t>83649603691</t>
  </si>
  <si>
    <t>SERGIO ADOLFO SOARES</t>
  </si>
  <si>
    <t>28707818068</t>
  </si>
  <si>
    <t>POLICIA FEDERAL AL</t>
  </si>
  <si>
    <t>03159859096</t>
  </si>
  <si>
    <t>01017484937</t>
  </si>
  <si>
    <t>01599752042</t>
  </si>
  <si>
    <t>02777503001</t>
  </si>
  <si>
    <t>00738724076</t>
  </si>
  <si>
    <t>03207571026</t>
  </si>
  <si>
    <t>DIRETORIA ADMINISTRATIVA</t>
  </si>
  <si>
    <t>01253419035</t>
  </si>
  <si>
    <t>UELITON SANTANA SANTOS</t>
  </si>
  <si>
    <t>03686605597</t>
  </si>
  <si>
    <t>UESIO DA SILVA SIMOES</t>
  </si>
  <si>
    <t>07986081619</t>
  </si>
  <si>
    <t>00753788926</t>
  </si>
  <si>
    <t>TRANSPETRO BA</t>
  </si>
  <si>
    <t>00917477243</t>
  </si>
  <si>
    <t>06496973407</t>
  </si>
  <si>
    <t>01512027022</t>
  </si>
  <si>
    <t>01146308280</t>
  </si>
  <si>
    <t>00845486144</t>
  </si>
  <si>
    <t>10820966444</t>
  </si>
  <si>
    <t>04403012035</t>
  </si>
  <si>
    <t>05676820640</t>
  </si>
  <si>
    <t>09080606456</t>
  </si>
  <si>
    <t>87451433072</t>
  </si>
  <si>
    <t>06274547983</t>
  </si>
  <si>
    <t>46736328187</t>
  </si>
  <si>
    <t>WINDER DE SOUZA PIRES</t>
  </si>
  <si>
    <t>04028795621</t>
  </si>
  <si>
    <t>NET NORTE SC</t>
  </si>
  <si>
    <t>BB GOIANIA GO</t>
  </si>
  <si>
    <t>ANGELICA SOARES</t>
  </si>
  <si>
    <t>DIRETORIA</t>
  </si>
  <si>
    <t>FERNANDA ARAGÃO</t>
  </si>
  <si>
    <t>ADILSON RODRIGUES</t>
  </si>
  <si>
    <t>RAFAEL MOURA</t>
  </si>
  <si>
    <t>ELIO</t>
  </si>
  <si>
    <t>FELIPE FONTAN</t>
  </si>
  <si>
    <t>RONALDO</t>
  </si>
  <si>
    <t>DANIEL DUARTE</t>
  </si>
  <si>
    <t>MARCIA SCATAMBULO</t>
  </si>
  <si>
    <t>CEF FAC RO</t>
  </si>
  <si>
    <t>PTB REVAP REVITALIZACAO</t>
  </si>
  <si>
    <t>QSMS OPERACAO</t>
  </si>
  <si>
    <t>COLABORADOR</t>
  </si>
  <si>
    <t>VALOR</t>
  </si>
  <si>
    <t>QUINZENA</t>
  </si>
  <si>
    <t>DATA</t>
  </si>
  <si>
    <t>MÊS</t>
  </si>
  <si>
    <t>REGIONAL</t>
  </si>
  <si>
    <t>OBSERVAÇÃO</t>
  </si>
  <si>
    <t>1ª QZ</t>
  </si>
  <si>
    <t>DEZEMBRO</t>
  </si>
  <si>
    <t>REGIONAL RS</t>
  </si>
  <si>
    <t>REGIONAL SC</t>
  </si>
  <si>
    <t>REGIONAL SP</t>
  </si>
  <si>
    <t>REGIONAL CO</t>
  </si>
  <si>
    <t>REGIONAL NE</t>
  </si>
  <si>
    <t>REGIONAL MG</t>
  </si>
  <si>
    <t>REGIONAL CLARO INFRA SUL</t>
  </si>
  <si>
    <t>REGIONAL RJ</t>
  </si>
  <si>
    <t>13495952845</t>
  </si>
  <si>
    <t>REGIONAL ES</t>
  </si>
  <si>
    <t>15554620736</t>
  </si>
  <si>
    <t>QUINZ ÚNICA</t>
  </si>
  <si>
    <t>1QZ DE DEZ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</si>
</sst>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_-;\-* #,##0.0_-;_-* &quot;-&quot;??_-;_-@_-"/>
  </numFmts>
  <fonts count="21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7"/>
      <color rgb="FF222222"/>
      <name val="Arial"/>
      <family val="2"/>
    </font>
    <font>
      <b/>
      <sz val="12"/>
      <color theme="1"/>
      <name val="Aptos Narrow"/>
      <family val="2"/>
      <scheme val="minor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9D0505"/>
      <name val="Arial"/>
      <family val="2"/>
    </font>
    <font>
      <sz val="7"/>
      <color rgb="FF444444"/>
      <name val="Arial"/>
      <family val="2"/>
    </font>
    <font>
      <sz val="8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45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4" fillId="5" borderId="1" xfId="0" applyFont="1" applyFill="1" applyBorder="1"/>
    <xf numFmtId="0" fontId="4" fillId="5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43" fontId="5" fillId="2" borderId="2" xfId="1" applyFont="1" applyFill="1" applyBorder="1"/>
    <xf numFmtId="43" fontId="4" fillId="6" borderId="2" xfId="1" applyFont="1" applyFill="1" applyBorder="1"/>
    <xf numFmtId="43" fontId="4" fillId="3" borderId="2" xfId="1" applyFont="1" applyFill="1" applyBorder="1"/>
    <xf numFmtId="0" fontId="5" fillId="2" borderId="3" xfId="0" applyFont="1" applyFill="1" applyBorder="1"/>
    <xf numFmtId="0" fontId="4" fillId="5" borderId="4" xfId="0" applyFont="1" applyFill="1" applyBorder="1"/>
    <xf numFmtId="0" fontId="6" fillId="4" borderId="4" xfId="0" applyFont="1" applyFill="1" applyBorder="1"/>
    <xf numFmtId="1" fontId="0" fillId="0" borderId="0" xfId="0" applyNumberFormat="1"/>
    <xf numFmtId="1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1" fontId="0" fillId="12" borderId="0" xfId="0" applyNumberFormat="1" applyFill="1"/>
    <xf numFmtId="0" fontId="0" fillId="12" borderId="0" xfId="0" applyFill="1"/>
    <xf numFmtId="0" fontId="0" fillId="12" borderId="0" xfId="0" applyFill="1" applyAlignment="1">
      <alignment horizontal="center"/>
    </xf>
    <xf numFmtId="0" fontId="4" fillId="6" borderId="4" xfId="0" applyFont="1" applyFill="1" applyBorder="1"/>
    <xf numFmtId="1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/>
    </xf>
    <xf numFmtId="1" fontId="0" fillId="7" borderId="0" xfId="0" applyNumberFormat="1" applyFill="1"/>
    <xf numFmtId="0" fontId="0" fillId="7" borderId="0" xfId="0" applyFill="1"/>
    <xf numFmtId="0" fontId="0" fillId="7" borderId="0" xfId="0" applyFill="1" applyAlignment="1">
      <alignment horizontal="center"/>
    </xf>
    <xf numFmtId="1" fontId="0" fillId="13" borderId="0" xfId="0" applyNumberFormat="1" applyFill="1"/>
    <xf numFmtId="0" fontId="0" fillId="13" borderId="0" xfId="0" applyFill="1"/>
    <xf numFmtId="0" fontId="0" fillId="13" borderId="0" xfId="0" applyFill="1" applyAlignment="1">
      <alignment horizontal="center"/>
    </xf>
    <xf numFmtId="1" fontId="0" fillId="14" borderId="0" xfId="0" applyNumberFormat="1" applyFill="1"/>
    <xf numFmtId="0" fontId="0" fillId="14" borderId="0" xfId="0" applyFill="1"/>
    <xf numFmtId="0" fontId="0" fillId="14" borderId="0" xfId="0" applyFill="1" applyAlignment="1">
      <alignment horizontal="center"/>
    </xf>
    <xf numFmtId="0" fontId="8" fillId="0" borderId="0" xfId="0" applyFont="1"/>
    <xf numFmtId="0" fontId="9" fillId="0" borderId="0" xfId="0" applyFont="1"/>
    <xf numFmtId="43" fontId="0" fillId="10" borderId="0" xfId="1" applyFont="1" applyFill="1"/>
    <xf numFmtId="0" fontId="0" fillId="10" borderId="0" xfId="0" applyFill="1"/>
    <xf numFmtId="0" fontId="9" fillId="10" borderId="0" xfId="0" applyFont="1" applyFill="1"/>
    <xf numFmtId="0" fontId="0" fillId="15" borderId="0" xfId="0" applyFill="1"/>
    <xf numFmtId="0" fontId="10" fillId="17" borderId="0" xfId="4" applyFill="1" applyAlignment="1">
      <alignment horizontal="center" vertical="center"/>
    </xf>
    <xf numFmtId="0" fontId="10" fillId="18" borderId="0" xfId="4" applyFill="1" applyAlignment="1">
      <alignment horizontal="center" vertical="center"/>
    </xf>
    <xf numFmtId="0" fontId="11" fillId="17" borderId="0" xfId="0" applyFont="1" applyFill="1" applyAlignment="1">
      <alignment vertical="center"/>
    </xf>
    <xf numFmtId="0" fontId="11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vertical="center"/>
    </xf>
    <xf numFmtId="0" fontId="11" fillId="18" borderId="0" xfId="0" applyFont="1" applyFill="1" applyAlignment="1">
      <alignment horizontal="center" vertical="center"/>
    </xf>
    <xf numFmtId="43" fontId="4" fillId="19" borderId="3" xfId="1" applyFont="1" applyFill="1" applyBorder="1"/>
    <xf numFmtId="0" fontId="13" fillId="17" borderId="0" xfId="0" applyFont="1" applyFill="1" applyAlignment="1">
      <alignment vertical="center"/>
    </xf>
    <xf numFmtId="0" fontId="14" fillId="17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14" fillId="18" borderId="0" xfId="0" applyFont="1" applyFill="1" applyAlignment="1">
      <alignment vertical="center"/>
    </xf>
    <xf numFmtId="0" fontId="16" fillId="17" borderId="0" xfId="0" applyFont="1" applyFill="1" applyAlignment="1">
      <alignment vertical="center"/>
    </xf>
    <xf numFmtId="0" fontId="17" fillId="17" borderId="0" xfId="0" applyFont="1" applyFill="1" applyAlignment="1">
      <alignment vertical="center"/>
    </xf>
    <xf numFmtId="0" fontId="13" fillId="18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1" fillId="16" borderId="0" xfId="0" applyFont="1" applyFill="1" applyAlignment="1">
      <alignment horizontal="left" vertical="center"/>
    </xf>
    <xf numFmtId="4" fontId="0" fillId="0" borderId="0" xfId="0" applyNumberFormat="1" applyAlignment="1">
      <alignment horizontal="center"/>
    </xf>
    <xf numFmtId="44" fontId="0" fillId="0" borderId="0" xfId="1" applyNumberFormat="1" applyFont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44" fontId="7" fillId="0" borderId="0" xfId="0" applyNumberFormat="1" applyFont="1" applyAlignment="1">
      <alignment horizontal="right" vertical="center"/>
    </xf>
    <xf numFmtId="0" fontId="0" fillId="10" borderId="0" xfId="0" applyFill="1" applyAlignment="1">
      <alignment vertical="center"/>
    </xf>
    <xf numFmtId="0" fontId="1" fillId="0" borderId="4" xfId="0" applyFont="1" applyBorder="1"/>
    <xf numFmtId="1" fontId="1" fillId="0" borderId="4" xfId="0" applyNumberFormat="1" applyFont="1" applyBorder="1" applyAlignment="1">
      <alignment horizontal="center"/>
    </xf>
    <xf numFmtId="43" fontId="1" fillId="0" borderId="4" xfId="1" applyFont="1" applyFill="1" applyBorder="1" applyAlignment="1">
      <alignment horizontal="center"/>
    </xf>
    <xf numFmtId="43" fontId="1" fillId="0" borderId="4" xfId="1" applyFont="1" applyFill="1" applyBorder="1" applyAlignment="1"/>
    <xf numFmtId="44" fontId="1" fillId="0" borderId="4" xfId="1" applyNumberFormat="1" applyFont="1" applyFill="1" applyBorder="1" applyAlignment="1"/>
    <xf numFmtId="0" fontId="1" fillId="0" borderId="5" xfId="0" applyFont="1" applyBorder="1"/>
    <xf numFmtId="43" fontId="1" fillId="0" borderId="5" xfId="1" applyFont="1" applyFill="1" applyBorder="1" applyAlignment="1">
      <alignment horizontal="center"/>
    </xf>
    <xf numFmtId="43" fontId="1" fillId="0" borderId="5" xfId="1" applyFont="1" applyFill="1" applyBorder="1" applyAlignment="1"/>
    <xf numFmtId="0" fontId="1" fillId="4" borderId="4" xfId="0" applyFont="1" applyFill="1" applyBorder="1"/>
    <xf numFmtId="0" fontId="1" fillId="12" borderId="4" xfId="0" applyFont="1" applyFill="1" applyBorder="1"/>
    <xf numFmtId="0" fontId="1" fillId="6" borderId="4" xfId="0" applyFont="1" applyFill="1" applyBorder="1"/>
    <xf numFmtId="43" fontId="1" fillId="7" borderId="4" xfId="1" applyFont="1" applyFill="1" applyBorder="1"/>
    <xf numFmtId="0" fontId="1" fillId="7" borderId="4" xfId="0" applyFont="1" applyFill="1" applyBorder="1"/>
    <xf numFmtId="0" fontId="1" fillId="13" borderId="4" xfId="0" applyFont="1" applyFill="1" applyBorder="1"/>
    <xf numFmtId="0" fontId="1" fillId="3" borderId="4" xfId="0" applyFont="1" applyFill="1" applyBorder="1"/>
    <xf numFmtId="0" fontId="1" fillId="8" borderId="4" xfId="0" applyFont="1" applyFill="1" applyBorder="1"/>
    <xf numFmtId="0" fontId="1" fillId="14" borderId="4" xfId="0" applyFont="1" applyFill="1" applyBorder="1"/>
    <xf numFmtId="43" fontId="1" fillId="4" borderId="4" xfId="1" applyFont="1" applyFill="1" applyBorder="1"/>
    <xf numFmtId="0" fontId="1" fillId="11" borderId="4" xfId="0" applyFont="1" applyFill="1" applyBorder="1"/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left"/>
    </xf>
    <xf numFmtId="43" fontId="1" fillId="0" borderId="10" xfId="1" applyFont="1" applyFill="1" applyBorder="1" applyAlignment="1"/>
    <xf numFmtId="0" fontId="4" fillId="21" borderId="2" xfId="0" applyFont="1" applyFill="1" applyBorder="1"/>
    <xf numFmtId="43" fontId="1" fillId="0" borderId="11" xfId="1" applyFont="1" applyFill="1" applyBorder="1" applyAlignment="1"/>
    <xf numFmtId="2" fontId="0" fillId="0" borderId="0" xfId="1" applyNumberFormat="1" applyFont="1"/>
    <xf numFmtId="43" fontId="1" fillId="0" borderId="7" xfId="1" applyFont="1" applyFill="1" applyBorder="1" applyAlignment="1"/>
    <xf numFmtId="4" fontId="0" fillId="10" borderId="0" xfId="0" applyNumberFormat="1" applyFill="1"/>
    <xf numFmtId="43" fontId="1" fillId="10" borderId="12" xfId="1" applyFont="1" applyFill="1" applyBorder="1" applyAlignment="1"/>
    <xf numFmtId="43" fontId="1" fillId="10" borderId="10" xfId="1" applyFont="1" applyFill="1" applyBorder="1" applyAlignment="1"/>
    <xf numFmtId="43" fontId="1" fillId="10" borderId="11" xfId="1" applyFont="1" applyFill="1" applyBorder="1" applyAlignment="1"/>
    <xf numFmtId="43" fontId="1" fillId="10" borderId="16" xfId="1" applyFont="1" applyFill="1" applyBorder="1" applyAlignment="1"/>
    <xf numFmtId="43" fontId="1" fillId="10" borderId="14" xfId="1" applyFont="1" applyFill="1" applyBorder="1" applyAlignment="1"/>
    <xf numFmtId="43" fontId="12" fillId="10" borderId="0" xfId="1" applyFont="1" applyFill="1" applyBorder="1" applyAlignment="1">
      <alignment horizontal="center" vertical="center"/>
    </xf>
    <xf numFmtId="9" fontId="12" fillId="22" borderId="0" xfId="1" applyNumberFormat="1" applyFont="1" applyFill="1" applyAlignment="1">
      <alignment horizontal="center" vertical="center"/>
    </xf>
    <xf numFmtId="43" fontId="0" fillId="0" borderId="0" xfId="1" applyFont="1" applyAlignment="1"/>
    <xf numFmtId="44" fontId="19" fillId="2" borderId="8" xfId="0" applyNumberFormat="1" applyFont="1" applyFill="1" applyBorder="1" applyAlignment="1">
      <alignment vertical="center"/>
    </xf>
    <xf numFmtId="43" fontId="4" fillId="22" borderId="15" xfId="1" applyFont="1" applyFill="1" applyBorder="1" applyAlignment="1"/>
    <xf numFmtId="43" fontId="1" fillId="10" borderId="5" xfId="1" applyFont="1" applyFill="1" applyBorder="1" applyAlignment="1"/>
    <xf numFmtId="1" fontId="1" fillId="0" borderId="4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20" fillId="0" borderId="4" xfId="0" applyNumberFormat="1" applyFont="1" applyBorder="1" applyAlignment="1">
      <alignment horizontal="center"/>
    </xf>
    <xf numFmtId="43" fontId="4" fillId="7" borderId="4" xfId="1" applyFont="1" applyFill="1" applyBorder="1" applyAlignment="1">
      <alignment horizontal="center"/>
    </xf>
    <xf numFmtId="43" fontId="4" fillId="8" borderId="3" xfId="1" applyFont="1" applyFill="1" applyBorder="1"/>
    <xf numFmtId="43" fontId="1" fillId="0" borderId="13" xfId="1" applyFont="1" applyFill="1" applyBorder="1" applyAlignment="1"/>
    <xf numFmtId="43" fontId="1" fillId="0" borderId="17" xfId="1" applyFont="1" applyFill="1" applyBorder="1" applyAlignment="1"/>
    <xf numFmtId="43" fontId="1" fillId="0" borderId="18" xfId="1" applyFont="1" applyFill="1" applyBorder="1" applyAlignment="1"/>
    <xf numFmtId="43" fontId="4" fillId="20" borderId="19" xfId="1" applyFont="1" applyFill="1" applyBorder="1" applyAlignment="1"/>
    <xf numFmtId="43" fontId="1" fillId="0" borderId="6" xfId="1" applyFont="1" applyFill="1" applyBorder="1" applyAlignment="1"/>
    <xf numFmtId="43" fontId="1" fillId="0" borderId="9" xfId="1" applyFont="1" applyFill="1" applyBorder="1" applyAlignment="1"/>
    <xf numFmtId="44" fontId="5" fillId="9" borderId="4" xfId="1" applyNumberFormat="1" applyFont="1" applyFill="1" applyBorder="1"/>
    <xf numFmtId="164" fontId="1" fillId="0" borderId="4" xfId="1" applyNumberFormat="1" applyFont="1" applyFill="1" applyBorder="1" applyAlignment="1">
      <alignment horizontal="center"/>
    </xf>
    <xf numFmtId="1" fontId="20" fillId="0" borderId="5" xfId="0" applyNumberFormat="1" applyFont="1" applyBorder="1" applyAlignment="1">
      <alignment horizontal="center"/>
    </xf>
    <xf numFmtId="43" fontId="12" fillId="10" borderId="0" xfId="1" applyFont="1" applyFill="1" applyBorder="1" applyAlignment="1">
      <alignment vertical="center"/>
    </xf>
    <xf numFmtId="1" fontId="1" fillId="0" borderId="5" xfId="0" applyNumberFormat="1" applyFont="1" applyBorder="1" applyAlignment="1">
      <alignment horizontal="left"/>
    </xf>
    <xf numFmtId="43" fontId="1" fillId="0" borderId="12" xfId="1" applyFont="1" applyFill="1" applyBorder="1" applyAlignment="1"/>
    <xf numFmtId="43" fontId="1" fillId="10" borderId="6" xfId="1" applyFont="1" applyFill="1" applyBorder="1" applyAlignment="1"/>
    <xf numFmtId="43" fontId="1" fillId="10" borderId="9" xfId="1" applyFont="1" applyFill="1" applyBorder="1" applyAlignment="1"/>
    <xf numFmtId="0" fontId="5" fillId="23" borderId="20" xfId="0" applyFont="1" applyFill="1" applyBorder="1" applyAlignment="1">
      <alignment vertical="center"/>
    </xf>
    <xf numFmtId="49" fontId="5" fillId="23" borderId="21" xfId="0" applyNumberFormat="1" applyFont="1" applyFill="1" applyBorder="1" applyAlignment="1">
      <alignment horizontal="center" vertical="center"/>
    </xf>
    <xf numFmtId="0" fontId="5" fillId="23" borderId="21" xfId="0" applyFont="1" applyFill="1" applyBorder="1" applyAlignment="1">
      <alignment horizontal="center" vertical="center"/>
    </xf>
    <xf numFmtId="0" fontId="5" fillId="23" borderId="22" xfId="0" applyFont="1" applyFill="1" applyBorder="1" applyAlignment="1">
      <alignment horizontal="center" vertical="center"/>
    </xf>
    <xf numFmtId="0" fontId="0" fillId="24" borderId="23" xfId="0" applyFill="1" applyBorder="1" applyAlignment="1">
      <alignment vertical="center"/>
    </xf>
    <xf numFmtId="0" fontId="0" fillId="24" borderId="24" xfId="0" applyFill="1" applyBorder="1" applyAlignment="1">
      <alignment vertical="center"/>
    </xf>
    <xf numFmtId="44" fontId="0" fillId="24" borderId="24" xfId="5" applyFont="1" applyFill="1" applyBorder="1" applyAlignment="1">
      <alignment horizontal="center" vertical="center"/>
    </xf>
    <xf numFmtId="0" fontId="0" fillId="24" borderId="24" xfId="0" applyFill="1" applyBorder="1" applyAlignment="1">
      <alignment horizontal="center" vertical="center"/>
    </xf>
    <xf numFmtId="14" fontId="0" fillId="24" borderId="24" xfId="0" applyNumberFormat="1" applyFill="1" applyBorder="1" applyAlignment="1">
      <alignment horizontal="center" vertical="center"/>
    </xf>
    <xf numFmtId="0" fontId="0" fillId="24" borderId="24" xfId="0" applyFill="1" applyBorder="1" applyAlignment="1">
      <alignment horizontal="left" vertical="center"/>
    </xf>
    <xf numFmtId="0" fontId="0" fillId="24" borderId="25" xfId="0" applyFill="1" applyBorder="1" applyAlignment="1">
      <alignment vertical="center"/>
    </xf>
    <xf numFmtId="0" fontId="0" fillId="25" borderId="23" xfId="0" applyFill="1" applyBorder="1" applyAlignment="1">
      <alignment vertical="center"/>
    </xf>
    <xf numFmtId="49" fontId="0" fillId="25" borderId="24" xfId="0" applyNumberFormat="1" applyFill="1" applyBorder="1" applyAlignment="1">
      <alignment vertical="center"/>
    </xf>
    <xf numFmtId="44" fontId="0" fillId="25" borderId="24" xfId="5" applyFont="1" applyFill="1" applyBorder="1" applyAlignment="1">
      <alignment horizontal="center" vertical="center"/>
    </xf>
    <xf numFmtId="14" fontId="0" fillId="25" borderId="24" xfId="0" applyNumberFormat="1" applyFill="1" applyBorder="1" applyAlignment="1">
      <alignment horizontal="center" vertical="center"/>
    </xf>
    <xf numFmtId="0" fontId="0" fillId="25" borderId="24" xfId="0" applyFill="1" applyBorder="1" applyAlignment="1">
      <alignment horizontal="left" vertical="center"/>
    </xf>
    <xf numFmtId="0" fontId="0" fillId="25" borderId="25" xfId="0" applyFill="1" applyBorder="1" applyAlignment="1">
      <alignment vertical="center"/>
    </xf>
    <xf numFmtId="49" fontId="0" fillId="24" borderId="24" xfId="0" applyNumberFormat="1" applyFill="1" applyBorder="1" applyAlignment="1">
      <alignment vertical="center"/>
    </xf>
    <xf numFmtId="49" fontId="0" fillId="25" borderId="24" xfId="0" applyNumberFormat="1" applyFill="1" applyBorder="1" applyAlignment="1">
      <alignment horizontal="center" vertical="center"/>
    </xf>
    <xf numFmtId="0" fontId="0" fillId="25" borderId="24" xfId="0" applyFill="1" applyBorder="1" applyAlignment="1">
      <alignment horizontal="center" vertical="center"/>
    </xf>
  </cellXfs>
  <cellStyles count="6">
    <cellStyle name="Hiperlink" xfId="4" builtinId="8"/>
    <cellStyle name="Moeda" xfId="5" builtinId="4"/>
    <cellStyle name="Normal" xfId="0" builtinId="0"/>
    <cellStyle name="Normal 2" xfId="2" xr:uid="{EBFD8F5D-09F2-4370-A866-F354BAFF3F73}"/>
    <cellStyle name="Vírgula" xfId="1" builtinId="3"/>
    <cellStyle name="Vírgula 2" xfId="3" xr:uid="{275FAA77-0EA5-4A4D-AA34-C3B227D2AC1B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FF"/>
      <color rgb="FFFFCC00"/>
      <color rgb="FFF78363"/>
      <color rgb="FFFF0000"/>
      <color rgb="FF0000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85723</xdr:colOff>
      <xdr:row>0</xdr:row>
      <xdr:rowOff>66676</xdr:rowOff>
    </xdr:from>
    <xdr:to>
      <xdr:col>3</xdr:col>
      <xdr:colOff>1266825</xdr:colOff>
      <xdr:row>3</xdr:row>
      <xdr:rowOff>228600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GESTOR">
              <a:extLst>
                <a:ext uri="{FF2B5EF4-FFF2-40B4-BE49-F238E27FC236}">
                  <a16:creationId xmlns:a16="http://schemas.microsoft.com/office/drawing/2014/main" id="{44D62E2D-D76F-4CDD-8176-98A1933E03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S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3" y="66676"/>
              <a:ext cx="5048252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STOR" xr10:uid="{80983408-0691-40ED-88AD-AF9A16600B3B}" sourceName="GESTOR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STOR" xr10:uid="{8099B1C5-EFEA-43A4-84CA-F7EAA3C45394}" cache="SegmentaçãodeDados_GESTOR" caption="GESTOR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ED33D-9A1F-4B59-8ECF-DADD45360DAA}" name="Tabela1" displayName="Tabela1" ref="B6:S513" totalsRowShown="0" headerRowDxfId="39" dataDxfId="37" headerRowBorderDxfId="38" tableBorderDxfId="36" totalsRowBorderDxfId="35" dataCellStyle="Vírgula">
  <autoFilter ref="B6:S513" xr:uid="{8ABED33D-9A1F-4B59-8ECF-DADD45360DAA}"/>
  <sortState xmlns:xlrd2="http://schemas.microsoft.com/office/spreadsheetml/2017/richdata2" ref="B7:S513">
    <sortCondition descending="1" ref="Q6:Q513"/>
  </sortState>
  <tableColumns count="18">
    <tableColumn id="1" xr3:uid="{0F608AD9-EDE4-4F6D-B716-A25E9DB8127A}" name="PORTADOR" dataDxfId="34"/>
    <tableColumn id="2" xr3:uid="{41132F03-1C7B-43DE-B226-9DC4920B7B3E}" name="CPF" dataDxfId="33"/>
    <tableColumn id="4" xr3:uid="{25A3F502-F044-4B5E-8A1C-1982C8F70FD0}" name="STATUS COLAB" dataDxfId="32"/>
    <tableColumn id="5" xr3:uid="{B5C6908D-C733-4BC1-B75E-0445A596BA72}" name="CENTRO CUSTO" dataDxfId="31"/>
    <tableColumn id="8" xr3:uid="{F432F3C0-F635-44BD-91D3-13A575D46501}" name="COD CENTRO CUSTO" dataDxfId="30"/>
    <tableColumn id="6" xr3:uid="{F76A4B27-4C16-4601-BBAF-EBD8816270DD}" name="GESTOR" dataDxfId="29"/>
    <tableColumn id="3" xr3:uid="{D77E7CF3-C8CC-4DCC-A44B-900EBE95AE60}" name="DIREÇÃO" dataDxfId="28"/>
    <tableColumn id="7" xr3:uid="{A8D91A84-0697-4155-AE2F-0D70D23BE5EA}" name="SALDO REEMBOLSAR" dataDxfId="27"/>
    <tableColumn id="17" xr3:uid="{2BCBE73A-65BF-41C3-A6E4-1E8721EE2ACE}" name="SALDO FINAL" dataDxfId="26" dataCellStyle="Vírgula"/>
    <tableColumn id="9" xr3:uid="{B68F3CA2-C4AF-438A-BBD3-3C8B0FF673DF}" name="1QZ DE DEZ 26" dataDxfId="17" dataCellStyle="Vírgula"/>
    <tableColumn id="10" xr3:uid="{B48EC416-4283-4F65-9587-9DED903138BF}" name="SALDO CARTAO" dataDxfId="25" dataCellStyle="Vírgula"/>
    <tableColumn id="11" xr3:uid="{3487D7B2-D5B7-4500-82E9-B9ECAD656EDE}" name="ADIANTAMENTO" dataDxfId="18" dataCellStyle="Vírgula"/>
    <tableColumn id="12" xr3:uid="{D193E035-C7E0-41E6-8930-9F56F6D84AB5}" name="CARGA PARCIAL" dataDxfId="24" dataCellStyle="Vírgula">
      <calculatedColumnFormula>Tabela1[[#This Row],[1QZ DE DEZ 26]]-Tabela1[[#This Row],[SALDO FINAL]]-Tabela1[[#This Row],[SALDO CARTAO]]-Tabela1[[#This Row],[ADIANTAMENTO]]</calculatedColumnFormula>
    </tableColumn>
    <tableColumn id="16" xr3:uid="{DA727568-5830-42CB-98B7-0F935B817BEA}" name="REEMBOLSO" dataDxfId="23" dataCellStyle="Vírgula">
      <calculatedColumnFormula>(-Tabela1[[#This Row],[SALDO REEMBOLSAR]]*$O$4)</calculatedColumnFormula>
    </tableColumn>
    <tableColumn id="14" xr3:uid="{1BA95277-3B95-4B64-979B-4AC870AFDC4A}" name="CARGA FINAL SEM REEMBOLSO" dataDxfId="22" dataCellStyle="Vírgula">
      <calculatedColumnFormula>IF(Tabela1[[#This Row],[CARGA PARCIAL]]&lt;0,0,Tabela1[[#This Row],[CARGA PARCIAL]])</calculatedColumnFormula>
    </tableColumn>
    <tableColumn id="13" xr3:uid="{9F2FE3DA-B0F4-4037-96B0-5AEB1D5725B0}" name="CARGA  FINAL REEMBOLSO" dataDxfId="21" dataCellStyle="Vírgula">
      <calculatedColumnFormula>IF(Tabela1[[#This Row],[CARGA PARCIAL]]&lt;0,0,Tabela1[[#This Row],[CARGA PARCIAL]])+Tabela1[[#This Row],[REEMBOLSO]]</calculatedColumnFormula>
    </tableColumn>
    <tableColumn id="21" xr3:uid="{03A02484-0E61-4A6F-A64B-C5CC7C8C2D5E}" name="STATUS DO CARTAO" dataDxfId="20" dataCellStyle="Vírgula"/>
    <tableColumn id="15" xr3:uid="{DB7FAEF1-8BD7-415C-8575-86EC04DE7DCC}" name="OBS " dataDxfId="19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6044" TargetMode="External"/><Relationship Id="rId21" Type="http://schemas.openxmlformats.org/officeDocument/2006/relationships/hyperlink" Target="https://amp.vexpenses.com/settings/membros-de-equipe/895963" TargetMode="External"/><Relationship Id="rId324" Type="http://schemas.openxmlformats.org/officeDocument/2006/relationships/hyperlink" Target="https://amp.vexpenses.com/settings/membros-de-equipe/896219" TargetMode="External"/><Relationship Id="rId531" Type="http://schemas.openxmlformats.org/officeDocument/2006/relationships/hyperlink" Target="https://amp.vexpenses.com/settings/membros-de-equipe/896387" TargetMode="External"/><Relationship Id="rId170" Type="http://schemas.openxmlformats.org/officeDocument/2006/relationships/hyperlink" Target="https://amp.vexpenses.com/settings/membros-de-equipe/896087" TargetMode="External"/><Relationship Id="rId268" Type="http://schemas.openxmlformats.org/officeDocument/2006/relationships/hyperlink" Target="https://amp.vexpenses.com/settings/membros-de-equipe/896174" TargetMode="External"/><Relationship Id="rId475" Type="http://schemas.openxmlformats.org/officeDocument/2006/relationships/hyperlink" Target="https://amp.vexpenses.com/settings/membros-de-equipe/917059" TargetMode="External"/><Relationship Id="rId32" Type="http://schemas.openxmlformats.org/officeDocument/2006/relationships/hyperlink" Target="https://amp.vexpenses.com/settings/membros-de-equipe/895970" TargetMode="External"/><Relationship Id="rId128" Type="http://schemas.openxmlformats.org/officeDocument/2006/relationships/hyperlink" Target="https://amp.vexpenses.com/settings/membros-de-equipe/896054" TargetMode="External"/><Relationship Id="rId335" Type="http://schemas.openxmlformats.org/officeDocument/2006/relationships/hyperlink" Target="https://amp.vexpenses.com/settings/membros-de-equipe/896225" TargetMode="External"/><Relationship Id="rId181" Type="http://schemas.openxmlformats.org/officeDocument/2006/relationships/hyperlink" Target="https://amp.vexpenses.com/settings/membros-de-equipe/896095" TargetMode="External"/><Relationship Id="rId402" Type="http://schemas.openxmlformats.org/officeDocument/2006/relationships/hyperlink" Target="https://amp.vexpenses.com/settings/membros-de-equipe/896279" TargetMode="External"/><Relationship Id="rId279" Type="http://schemas.openxmlformats.org/officeDocument/2006/relationships/hyperlink" Target="https://amp.vexpenses.com/settings/membros-de-equipe/896184" TargetMode="External"/><Relationship Id="rId486" Type="http://schemas.openxmlformats.org/officeDocument/2006/relationships/hyperlink" Target="https://amp.vexpenses.com/settings/membros-de-equipe/896348" TargetMode="External"/><Relationship Id="rId43" Type="http://schemas.openxmlformats.org/officeDocument/2006/relationships/hyperlink" Target="https://amp.vexpenses.com/settings/membros-de-equipe/934784" TargetMode="External"/><Relationship Id="rId139" Type="http://schemas.openxmlformats.org/officeDocument/2006/relationships/hyperlink" Target="https://amp.vexpenses.com/settings/membros-de-equipe/920852" TargetMode="External"/><Relationship Id="rId346" Type="http://schemas.openxmlformats.org/officeDocument/2006/relationships/hyperlink" Target="https://amp.vexpenses.com/settings/membros-de-equipe/896234" TargetMode="External"/><Relationship Id="rId85" Type="http://schemas.openxmlformats.org/officeDocument/2006/relationships/hyperlink" Target="https://amp.vexpenses.com/settings/membros-de-equipe/952397" TargetMode="External"/><Relationship Id="rId150" Type="http://schemas.openxmlformats.org/officeDocument/2006/relationships/hyperlink" Target="https://amp.vexpenses.com/settings/membros-de-equipe/896074" TargetMode="External"/><Relationship Id="rId192" Type="http://schemas.openxmlformats.org/officeDocument/2006/relationships/hyperlink" Target="https://amp.vexpenses.com/settings/membros-de-equipe/896107" TargetMode="External"/><Relationship Id="rId206" Type="http://schemas.openxmlformats.org/officeDocument/2006/relationships/hyperlink" Target="https://amp.vexpenses.com/settings/membros-de-equipe/896119" TargetMode="External"/><Relationship Id="rId413" Type="http://schemas.openxmlformats.org/officeDocument/2006/relationships/hyperlink" Target="https://amp.vexpenses.com/settings/membros-de-equipe/896288" TargetMode="External"/><Relationship Id="rId248" Type="http://schemas.openxmlformats.org/officeDocument/2006/relationships/hyperlink" Target="https://amp.vexpenses.com/settings/membros-de-equipe/896154" TargetMode="External"/><Relationship Id="rId455" Type="http://schemas.openxmlformats.org/officeDocument/2006/relationships/hyperlink" Target="https://amp.vexpenses.com/settings/membros-de-equipe/896319" TargetMode="External"/><Relationship Id="rId497" Type="http://schemas.openxmlformats.org/officeDocument/2006/relationships/hyperlink" Target="https://amp.vexpenses.com/settings/membros-de-equipe/896397" TargetMode="External"/><Relationship Id="rId12" Type="http://schemas.openxmlformats.org/officeDocument/2006/relationships/hyperlink" Target="https://amp.vexpenses.com/settings/membros-de-equipe/895956" TargetMode="External"/><Relationship Id="rId108" Type="http://schemas.openxmlformats.org/officeDocument/2006/relationships/hyperlink" Target="https://amp.vexpenses.com/settings/membros-de-equipe/917376" TargetMode="External"/><Relationship Id="rId315" Type="http://schemas.openxmlformats.org/officeDocument/2006/relationships/hyperlink" Target="https://amp.vexpenses.com/settings/membros-de-equipe/917049" TargetMode="External"/><Relationship Id="rId357" Type="http://schemas.openxmlformats.org/officeDocument/2006/relationships/hyperlink" Target="https://amp.vexpenses.com/settings/membros-de-equipe/933048" TargetMode="External"/><Relationship Id="rId522" Type="http://schemas.openxmlformats.org/officeDocument/2006/relationships/hyperlink" Target="https://amp.vexpenses.com/settings/membros-de-equipe/896379" TargetMode="External"/><Relationship Id="rId54" Type="http://schemas.openxmlformats.org/officeDocument/2006/relationships/hyperlink" Target="https://amp.vexpenses.com/settings/membros-de-equipe/895989" TargetMode="External"/><Relationship Id="rId96" Type="http://schemas.openxmlformats.org/officeDocument/2006/relationships/hyperlink" Target="https://amp.vexpenses.com/settings/membros-de-equipe/896031" TargetMode="External"/><Relationship Id="rId161" Type="http://schemas.openxmlformats.org/officeDocument/2006/relationships/hyperlink" Target="https://amp.vexpenses.com/settings/membros-de-equipe/896081" TargetMode="External"/><Relationship Id="rId217" Type="http://schemas.openxmlformats.org/officeDocument/2006/relationships/hyperlink" Target="https://amp.vexpenses.com/settings/membros-de-equipe/916374" TargetMode="External"/><Relationship Id="rId399" Type="http://schemas.openxmlformats.org/officeDocument/2006/relationships/hyperlink" Target="https://amp.vexpenses.com/settings/membros-de-equipe/896276" TargetMode="External"/><Relationship Id="rId259" Type="http://schemas.openxmlformats.org/officeDocument/2006/relationships/hyperlink" Target="https://amp.vexpenses.com/settings/membros-de-equipe/896164" TargetMode="External"/><Relationship Id="rId424" Type="http://schemas.openxmlformats.org/officeDocument/2006/relationships/hyperlink" Target="https://amp.vexpenses.com/settings/membros-de-equipe/896296" TargetMode="External"/><Relationship Id="rId466" Type="http://schemas.openxmlformats.org/officeDocument/2006/relationships/hyperlink" Target="https://amp.vexpenses.com/settings/membros-de-equipe/896330" TargetMode="External"/><Relationship Id="rId23" Type="http://schemas.openxmlformats.org/officeDocument/2006/relationships/hyperlink" Target="https://amp.vexpenses.com/settings/membros-de-equipe/895965" TargetMode="External"/><Relationship Id="rId119" Type="http://schemas.openxmlformats.org/officeDocument/2006/relationships/hyperlink" Target="https://amp.vexpenses.com/settings/membros-de-equipe/896045" TargetMode="External"/><Relationship Id="rId270" Type="http://schemas.openxmlformats.org/officeDocument/2006/relationships/hyperlink" Target="https://amp.vexpenses.com/settings/membros-de-equipe/916893" TargetMode="External"/><Relationship Id="rId326" Type="http://schemas.openxmlformats.org/officeDocument/2006/relationships/hyperlink" Target="https://amp.vexpenses.com/settings/membros-de-equipe/891904" TargetMode="External"/><Relationship Id="rId533" Type="http://schemas.openxmlformats.org/officeDocument/2006/relationships/hyperlink" Target="https://amp.vexpenses.com/settings/membros-de-equipe/896389" TargetMode="External"/><Relationship Id="rId65" Type="http://schemas.openxmlformats.org/officeDocument/2006/relationships/hyperlink" Target="https://amp.vexpenses.com/settings/membros-de-equipe/895999" TargetMode="External"/><Relationship Id="rId130" Type="http://schemas.openxmlformats.org/officeDocument/2006/relationships/hyperlink" Target="https://amp.vexpenses.com/settings/membros-de-equipe/896057" TargetMode="External"/><Relationship Id="rId368" Type="http://schemas.openxmlformats.org/officeDocument/2006/relationships/hyperlink" Target="https://amp.vexpenses.com/settings/membros-de-equipe/896249" TargetMode="External"/><Relationship Id="rId172" Type="http://schemas.openxmlformats.org/officeDocument/2006/relationships/hyperlink" Target="https://amp.vexpenses.com/settings/membros-de-equipe/896089" TargetMode="External"/><Relationship Id="rId228" Type="http://schemas.openxmlformats.org/officeDocument/2006/relationships/hyperlink" Target="https://amp.vexpenses.com/settings/membros-de-equipe/896136" TargetMode="External"/><Relationship Id="rId435" Type="http://schemas.openxmlformats.org/officeDocument/2006/relationships/hyperlink" Target="https://amp.vexpenses.com/settings/membros-de-equipe/923649" TargetMode="External"/><Relationship Id="rId477" Type="http://schemas.openxmlformats.org/officeDocument/2006/relationships/hyperlink" Target="https://amp.vexpenses.com/settings/membros-de-equipe/917364" TargetMode="External"/><Relationship Id="rId281" Type="http://schemas.openxmlformats.org/officeDocument/2006/relationships/hyperlink" Target="https://amp.vexpenses.com/settings/membros-de-equipe/896185" TargetMode="External"/><Relationship Id="rId337" Type="http://schemas.openxmlformats.org/officeDocument/2006/relationships/hyperlink" Target="https://amp.vexpenses.com/settings/membros-de-equipe/925993" TargetMode="External"/><Relationship Id="rId502" Type="http://schemas.openxmlformats.org/officeDocument/2006/relationships/hyperlink" Target="https://amp.vexpenses.com/settings/membros-de-equipe/896361" TargetMode="External"/><Relationship Id="rId34" Type="http://schemas.openxmlformats.org/officeDocument/2006/relationships/hyperlink" Target="https://amp.vexpenses.com/settings/membros-de-equipe/895972" TargetMode="External"/><Relationship Id="rId76" Type="http://schemas.openxmlformats.org/officeDocument/2006/relationships/hyperlink" Target="https://amp.vexpenses.com/settings/membros-de-equipe/896011" TargetMode="External"/><Relationship Id="rId141" Type="http://schemas.openxmlformats.org/officeDocument/2006/relationships/hyperlink" Target="https://amp.vexpenses.com/settings/membros-de-equipe/896066" TargetMode="External"/><Relationship Id="rId379" Type="http://schemas.openxmlformats.org/officeDocument/2006/relationships/hyperlink" Target="https://amp.vexpenses.com/settings/membros-de-equipe/896257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940437" TargetMode="External"/><Relationship Id="rId239" Type="http://schemas.openxmlformats.org/officeDocument/2006/relationships/hyperlink" Target="https://amp.vexpenses.com/settings/membros-de-equipe/958951" TargetMode="External"/><Relationship Id="rId390" Type="http://schemas.openxmlformats.org/officeDocument/2006/relationships/hyperlink" Target="https://amp.vexpenses.com/settings/membros-de-equipe/896267" TargetMode="External"/><Relationship Id="rId404" Type="http://schemas.openxmlformats.org/officeDocument/2006/relationships/hyperlink" Target="https://amp.vexpenses.com/settings/membros-de-equipe/916915" TargetMode="External"/><Relationship Id="rId446" Type="http://schemas.openxmlformats.org/officeDocument/2006/relationships/hyperlink" Target="https://amp.vexpenses.com/settings/membros-de-equipe/896313" TargetMode="External"/><Relationship Id="rId250" Type="http://schemas.openxmlformats.org/officeDocument/2006/relationships/hyperlink" Target="https://amp.vexpenses.com/settings/membros-de-equipe/896157" TargetMode="External"/><Relationship Id="rId292" Type="http://schemas.openxmlformats.org/officeDocument/2006/relationships/hyperlink" Target="https://amp.vexpenses.com/settings/membros-de-equipe/896198" TargetMode="External"/><Relationship Id="rId306" Type="http://schemas.openxmlformats.org/officeDocument/2006/relationships/hyperlink" Target="https://amp.vexpenses.com/settings/membros-de-equipe/896208" TargetMode="External"/><Relationship Id="rId488" Type="http://schemas.openxmlformats.org/officeDocument/2006/relationships/hyperlink" Target="https://amp.vexpenses.com/settings/membros-de-equipe/896350" TargetMode="External"/><Relationship Id="rId45" Type="http://schemas.openxmlformats.org/officeDocument/2006/relationships/hyperlink" Target="https://amp.vexpenses.com/settings/membros-de-equipe/895981" TargetMode="External"/><Relationship Id="rId87" Type="http://schemas.openxmlformats.org/officeDocument/2006/relationships/hyperlink" Target="https://amp.vexpenses.com/settings/membros-de-equipe/896021" TargetMode="External"/><Relationship Id="rId110" Type="http://schemas.openxmlformats.org/officeDocument/2006/relationships/hyperlink" Target="https://amp.vexpenses.com/settings/membros-de-equipe/916919" TargetMode="External"/><Relationship Id="rId348" Type="http://schemas.openxmlformats.org/officeDocument/2006/relationships/hyperlink" Target="https://amp.vexpenses.com/settings/membros-de-equipe/896236" TargetMode="External"/><Relationship Id="rId513" Type="http://schemas.openxmlformats.org/officeDocument/2006/relationships/hyperlink" Target="https://amp.vexpenses.com/settings/membros-de-equipe/922852" TargetMode="External"/><Relationship Id="rId152" Type="http://schemas.openxmlformats.org/officeDocument/2006/relationships/hyperlink" Target="https://amp.vexpenses.com/settings/membros-de-equipe/915374" TargetMode="External"/><Relationship Id="rId194" Type="http://schemas.openxmlformats.org/officeDocument/2006/relationships/hyperlink" Target="https://amp.vexpenses.com/settings/membros-de-equipe/896109" TargetMode="External"/><Relationship Id="rId208" Type="http://schemas.openxmlformats.org/officeDocument/2006/relationships/hyperlink" Target="https://amp.vexpenses.com/settings/membros-de-equipe/896120" TargetMode="External"/><Relationship Id="rId415" Type="http://schemas.openxmlformats.org/officeDocument/2006/relationships/hyperlink" Target="https://amp.vexpenses.com/settings/membros-de-equipe/896290" TargetMode="External"/><Relationship Id="rId457" Type="http://schemas.openxmlformats.org/officeDocument/2006/relationships/hyperlink" Target="https://amp.vexpenses.com/settings/membros-de-equipe/896322" TargetMode="External"/><Relationship Id="rId261" Type="http://schemas.openxmlformats.org/officeDocument/2006/relationships/hyperlink" Target="https://amp.vexpenses.com/settings/membros-de-equipe/896166" TargetMode="External"/><Relationship Id="rId499" Type="http://schemas.openxmlformats.org/officeDocument/2006/relationships/hyperlink" Target="https://amp.vexpenses.com/settings/membros-de-equipe/930440" TargetMode="External"/><Relationship Id="rId14" Type="http://schemas.openxmlformats.org/officeDocument/2006/relationships/hyperlink" Target="https://amp.vexpenses.com/settings/membros-de-equipe/895957" TargetMode="External"/><Relationship Id="rId56" Type="http://schemas.openxmlformats.org/officeDocument/2006/relationships/hyperlink" Target="https://amp.vexpenses.com/settings/membros-de-equipe/895992" TargetMode="External"/><Relationship Id="rId317" Type="http://schemas.openxmlformats.org/officeDocument/2006/relationships/hyperlink" Target="https://amp.vexpenses.com/settings/membros-de-equipe/961469" TargetMode="External"/><Relationship Id="rId359" Type="http://schemas.openxmlformats.org/officeDocument/2006/relationships/hyperlink" Target="https://amp.vexpenses.com/settings/membros-de-equipe/917057" TargetMode="External"/><Relationship Id="rId524" Type="http://schemas.openxmlformats.org/officeDocument/2006/relationships/hyperlink" Target="https://amp.vexpenses.com/settings/membros-de-equipe/923842" TargetMode="External"/><Relationship Id="rId98" Type="http://schemas.openxmlformats.org/officeDocument/2006/relationships/hyperlink" Target="https://amp.vexpenses.com/settings/membros-de-equipe/896033" TargetMode="External"/><Relationship Id="rId121" Type="http://schemas.openxmlformats.org/officeDocument/2006/relationships/hyperlink" Target="https://amp.vexpenses.com/settings/membros-de-equipe/896047" TargetMode="External"/><Relationship Id="rId163" Type="http://schemas.openxmlformats.org/officeDocument/2006/relationships/hyperlink" Target="https://amp.vexpenses.com/settings/membros-de-equipe/896082" TargetMode="External"/><Relationship Id="rId219" Type="http://schemas.openxmlformats.org/officeDocument/2006/relationships/hyperlink" Target="https://amp.vexpenses.com/settings/membros-de-equipe/896128" TargetMode="External"/><Relationship Id="rId370" Type="http://schemas.openxmlformats.org/officeDocument/2006/relationships/hyperlink" Target="https://amp.vexpenses.com/settings/membros-de-equipe/913936" TargetMode="External"/><Relationship Id="rId426" Type="http://schemas.openxmlformats.org/officeDocument/2006/relationships/hyperlink" Target="https://amp.vexpenses.com/settings/membros-de-equipe/920083" TargetMode="External"/><Relationship Id="rId230" Type="http://schemas.openxmlformats.org/officeDocument/2006/relationships/hyperlink" Target="https://amp.vexpenses.com/settings/membros-de-equipe/954733" TargetMode="External"/><Relationship Id="rId468" Type="http://schemas.openxmlformats.org/officeDocument/2006/relationships/hyperlink" Target="https://amp.vexpenses.com/settings/membros-de-equipe/896331" TargetMode="External"/><Relationship Id="rId25" Type="http://schemas.openxmlformats.org/officeDocument/2006/relationships/hyperlink" Target="https://amp.vexpenses.com/settings/membros-de-equipe/895966" TargetMode="External"/><Relationship Id="rId67" Type="http://schemas.openxmlformats.org/officeDocument/2006/relationships/hyperlink" Target="https://amp.vexpenses.com/settings/membros-de-equipe/896001" TargetMode="External"/><Relationship Id="rId272" Type="http://schemas.openxmlformats.org/officeDocument/2006/relationships/hyperlink" Target="https://amp.vexpenses.com/settings/membros-de-equipe/896176" TargetMode="External"/><Relationship Id="rId328" Type="http://schemas.openxmlformats.org/officeDocument/2006/relationships/hyperlink" Target="https://amp.vexpenses.com/settings/membros-de-equipe/896221" TargetMode="External"/><Relationship Id="rId535" Type="http://schemas.openxmlformats.org/officeDocument/2006/relationships/hyperlink" Target="https://amp.vexpenses.com/settings/membros-de-equipe/896391" TargetMode="External"/><Relationship Id="rId132" Type="http://schemas.openxmlformats.org/officeDocument/2006/relationships/hyperlink" Target="https://amp.vexpenses.com/settings/membros-de-equipe/896059" TargetMode="External"/><Relationship Id="rId174" Type="http://schemas.openxmlformats.org/officeDocument/2006/relationships/hyperlink" Target="https://amp.vexpenses.com/settings/membros-de-equipe/896420" TargetMode="External"/><Relationship Id="rId381" Type="http://schemas.openxmlformats.org/officeDocument/2006/relationships/hyperlink" Target="https://amp.vexpenses.com/settings/membros-de-equipe/896259" TargetMode="External"/><Relationship Id="rId241" Type="http://schemas.openxmlformats.org/officeDocument/2006/relationships/hyperlink" Target="https://amp.vexpenses.com/settings/membros-de-equipe/896148" TargetMode="External"/><Relationship Id="rId437" Type="http://schemas.openxmlformats.org/officeDocument/2006/relationships/hyperlink" Target="https://amp.vexpenses.com/settings/membros-de-equipe/921795" TargetMode="External"/><Relationship Id="rId479" Type="http://schemas.openxmlformats.org/officeDocument/2006/relationships/hyperlink" Target="https://amp.vexpenses.com/settings/membros-de-equipe/896340" TargetMode="External"/><Relationship Id="rId36" Type="http://schemas.openxmlformats.org/officeDocument/2006/relationships/hyperlink" Target="https://amp.vexpenses.com/settings/membros-de-equipe/929757" TargetMode="External"/><Relationship Id="rId283" Type="http://schemas.openxmlformats.org/officeDocument/2006/relationships/hyperlink" Target="https://amp.vexpenses.com/settings/membros-de-equipe/896188" TargetMode="External"/><Relationship Id="rId339" Type="http://schemas.openxmlformats.org/officeDocument/2006/relationships/hyperlink" Target="https://amp.vexpenses.com/settings/membros-de-equipe/896228" TargetMode="External"/><Relationship Id="rId490" Type="http://schemas.openxmlformats.org/officeDocument/2006/relationships/hyperlink" Target="https://amp.vexpenses.com/settings/membros-de-equipe/896352" TargetMode="External"/><Relationship Id="rId504" Type="http://schemas.openxmlformats.org/officeDocument/2006/relationships/hyperlink" Target="https://amp.vexpenses.com/settings/membros-de-equipe/896362" TargetMode="External"/><Relationship Id="rId78" Type="http://schemas.openxmlformats.org/officeDocument/2006/relationships/hyperlink" Target="https://amp.vexpenses.com/settings/membros-de-equipe/896014" TargetMode="External"/><Relationship Id="rId101" Type="http://schemas.openxmlformats.org/officeDocument/2006/relationships/hyperlink" Target="https://amp.vexpenses.com/settings/membros-de-equipe/896034" TargetMode="External"/><Relationship Id="rId143" Type="http://schemas.openxmlformats.org/officeDocument/2006/relationships/hyperlink" Target="https://amp.vexpenses.com/settings/membros-de-equipe/896068" TargetMode="External"/><Relationship Id="rId185" Type="http://schemas.openxmlformats.org/officeDocument/2006/relationships/hyperlink" Target="https://amp.vexpenses.com/settings/membros-de-equipe/896101" TargetMode="External"/><Relationship Id="rId350" Type="http://schemas.openxmlformats.org/officeDocument/2006/relationships/hyperlink" Target="https://amp.vexpenses.com/settings/membros-de-equipe/916912" TargetMode="External"/><Relationship Id="rId406" Type="http://schemas.openxmlformats.org/officeDocument/2006/relationships/hyperlink" Target="https://amp.vexpenses.com/settings/membros-de-equipe/896282" TargetMode="External"/><Relationship Id="rId9" Type="http://schemas.openxmlformats.org/officeDocument/2006/relationships/hyperlink" Target="https://amp.vexpenses.com/settings/membros-de-equipe/895952" TargetMode="External"/><Relationship Id="rId210" Type="http://schemas.openxmlformats.org/officeDocument/2006/relationships/hyperlink" Target="https://amp.vexpenses.com/settings/membros-de-equipe/916905" TargetMode="External"/><Relationship Id="rId392" Type="http://schemas.openxmlformats.org/officeDocument/2006/relationships/hyperlink" Target="https://amp.vexpenses.com/settings/membros-de-equipe/896270" TargetMode="External"/><Relationship Id="rId448" Type="http://schemas.openxmlformats.org/officeDocument/2006/relationships/hyperlink" Target="https://amp.vexpenses.com/settings/membros-de-equipe/917081" TargetMode="External"/><Relationship Id="rId252" Type="http://schemas.openxmlformats.org/officeDocument/2006/relationships/hyperlink" Target="https://amp.vexpenses.com/settings/membros-de-equipe/931414" TargetMode="External"/><Relationship Id="rId294" Type="http://schemas.openxmlformats.org/officeDocument/2006/relationships/hyperlink" Target="https://amp.vexpenses.com/settings/membros-de-equipe/896200" TargetMode="External"/><Relationship Id="rId308" Type="http://schemas.openxmlformats.org/officeDocument/2006/relationships/hyperlink" Target="https://amp.vexpenses.com/settings/membros-de-equipe/896210" TargetMode="External"/><Relationship Id="rId515" Type="http://schemas.openxmlformats.org/officeDocument/2006/relationships/hyperlink" Target="https://amp.vexpenses.com/settings/membros-de-equipe/896373" TargetMode="External"/><Relationship Id="rId47" Type="http://schemas.openxmlformats.org/officeDocument/2006/relationships/hyperlink" Target="https://amp.vexpenses.com/settings/membros-de-equipe/895983" TargetMode="External"/><Relationship Id="rId89" Type="http://schemas.openxmlformats.org/officeDocument/2006/relationships/hyperlink" Target="https://amp.vexpenses.com/settings/membros-de-equipe/896024" TargetMode="External"/><Relationship Id="rId112" Type="http://schemas.openxmlformats.org/officeDocument/2006/relationships/hyperlink" Target="https://amp.vexpenses.com/settings/membros-de-equipe/923635" TargetMode="External"/><Relationship Id="rId154" Type="http://schemas.openxmlformats.org/officeDocument/2006/relationships/hyperlink" Target="https://amp.vexpenses.com/settings/membros-de-equipe/920845" TargetMode="External"/><Relationship Id="rId361" Type="http://schemas.openxmlformats.org/officeDocument/2006/relationships/hyperlink" Target="https://amp.vexpenses.com/settings/membros-de-equipe/896244" TargetMode="External"/><Relationship Id="rId196" Type="http://schemas.openxmlformats.org/officeDocument/2006/relationships/hyperlink" Target="https://amp.vexpenses.com/settings/membros-de-equipe/896111" TargetMode="External"/><Relationship Id="rId417" Type="http://schemas.openxmlformats.org/officeDocument/2006/relationships/hyperlink" Target="https://amp.vexpenses.com/settings/membros-de-equipe/896291" TargetMode="External"/><Relationship Id="rId459" Type="http://schemas.openxmlformats.org/officeDocument/2006/relationships/hyperlink" Target="https://amp.vexpenses.com/settings/membros-de-equipe/896324" TargetMode="External"/><Relationship Id="rId16" Type="http://schemas.openxmlformats.org/officeDocument/2006/relationships/hyperlink" Target="https://amp.vexpenses.com/settings/membros-de-equipe/929763" TargetMode="External"/><Relationship Id="rId221" Type="http://schemas.openxmlformats.org/officeDocument/2006/relationships/hyperlink" Target="https://amp.vexpenses.com/settings/membros-de-equipe/896131" TargetMode="External"/><Relationship Id="rId263" Type="http://schemas.openxmlformats.org/officeDocument/2006/relationships/hyperlink" Target="https://amp.vexpenses.com/settings/membros-de-equipe/896168" TargetMode="External"/><Relationship Id="rId319" Type="http://schemas.openxmlformats.org/officeDocument/2006/relationships/hyperlink" Target="https://amp.vexpenses.com/settings/membros-de-equipe/896217" TargetMode="External"/><Relationship Id="rId470" Type="http://schemas.openxmlformats.org/officeDocument/2006/relationships/hyperlink" Target="https://amp.vexpenses.com/settings/membros-de-equipe/896357" TargetMode="External"/><Relationship Id="rId526" Type="http://schemas.openxmlformats.org/officeDocument/2006/relationships/hyperlink" Target="https://amp.vexpenses.com/settings/membros-de-equipe/896381" TargetMode="External"/><Relationship Id="rId58" Type="http://schemas.openxmlformats.org/officeDocument/2006/relationships/hyperlink" Target="https://amp.vexpenses.com/settings/membros-de-equipe/895994" TargetMode="External"/><Relationship Id="rId123" Type="http://schemas.openxmlformats.org/officeDocument/2006/relationships/hyperlink" Target="https://amp.vexpenses.com/settings/membros-de-equipe/896049" TargetMode="External"/><Relationship Id="rId330" Type="http://schemas.openxmlformats.org/officeDocument/2006/relationships/hyperlink" Target="https://amp.vexpenses.com/settings/membros-de-equipe/896222" TargetMode="External"/><Relationship Id="rId165" Type="http://schemas.openxmlformats.org/officeDocument/2006/relationships/hyperlink" Target="https://amp.vexpenses.com/settings/membros-de-equipe/930420" TargetMode="External"/><Relationship Id="rId372" Type="http://schemas.openxmlformats.org/officeDocument/2006/relationships/hyperlink" Target="https://amp.vexpenses.com/settings/membros-de-equipe/896425" TargetMode="External"/><Relationship Id="rId428" Type="http://schemas.openxmlformats.org/officeDocument/2006/relationships/hyperlink" Target="https://amp.vexpenses.com/settings/membros-de-equipe/891978" TargetMode="External"/><Relationship Id="rId232" Type="http://schemas.openxmlformats.org/officeDocument/2006/relationships/hyperlink" Target="https://amp.vexpenses.com/settings/membros-de-equipe/896140" TargetMode="External"/><Relationship Id="rId274" Type="http://schemas.openxmlformats.org/officeDocument/2006/relationships/hyperlink" Target="https://amp.vexpenses.com/settings/membros-de-equipe/896178" TargetMode="External"/><Relationship Id="rId481" Type="http://schemas.openxmlformats.org/officeDocument/2006/relationships/hyperlink" Target="https://amp.vexpenses.com/settings/membros-de-equipe/896342" TargetMode="External"/><Relationship Id="rId27" Type="http://schemas.openxmlformats.org/officeDocument/2006/relationships/hyperlink" Target="https://amp.vexpenses.com/settings/membros-de-equipe/916897" TargetMode="External"/><Relationship Id="rId69" Type="http://schemas.openxmlformats.org/officeDocument/2006/relationships/hyperlink" Target="https://amp.vexpenses.com/settings/membros-de-equipe/896003" TargetMode="External"/><Relationship Id="rId134" Type="http://schemas.openxmlformats.org/officeDocument/2006/relationships/hyperlink" Target="https://amp.vexpenses.com/settings/membros-de-equipe/896061" TargetMode="External"/><Relationship Id="rId537" Type="http://schemas.openxmlformats.org/officeDocument/2006/relationships/hyperlink" Target="https://amp.vexpenses.com/settings/membros-de-equipe/896393" TargetMode="External"/><Relationship Id="rId80" Type="http://schemas.openxmlformats.org/officeDocument/2006/relationships/hyperlink" Target="https://amp.vexpenses.com/settings/membros-de-equipe/930924" TargetMode="External"/><Relationship Id="rId176" Type="http://schemas.openxmlformats.org/officeDocument/2006/relationships/hyperlink" Target="https://amp.vexpenses.com/settings/membros-de-equipe/917078" TargetMode="External"/><Relationship Id="rId341" Type="http://schemas.openxmlformats.org/officeDocument/2006/relationships/hyperlink" Target="https://amp.vexpenses.com/settings/membros-de-equipe/896230" TargetMode="External"/><Relationship Id="rId383" Type="http://schemas.openxmlformats.org/officeDocument/2006/relationships/hyperlink" Target="https://amp.vexpenses.com/settings/membros-de-equipe/891980" TargetMode="External"/><Relationship Id="rId439" Type="http://schemas.openxmlformats.org/officeDocument/2006/relationships/hyperlink" Target="https://amp.vexpenses.com/settings/membros-de-equipe/917065" TargetMode="External"/><Relationship Id="rId201" Type="http://schemas.openxmlformats.org/officeDocument/2006/relationships/hyperlink" Target="https://amp.vexpenses.com/settings/membros-de-equipe/896115" TargetMode="External"/><Relationship Id="rId243" Type="http://schemas.openxmlformats.org/officeDocument/2006/relationships/hyperlink" Target="https://amp.vexpenses.com/settings/membros-de-equipe/896150" TargetMode="External"/><Relationship Id="rId285" Type="http://schemas.openxmlformats.org/officeDocument/2006/relationships/hyperlink" Target="https://amp.vexpenses.com/settings/membros-de-equipe/958523" TargetMode="External"/><Relationship Id="rId450" Type="http://schemas.openxmlformats.org/officeDocument/2006/relationships/hyperlink" Target="https://amp.vexpenses.com/settings/membros-de-equipe/922275" TargetMode="External"/><Relationship Id="rId506" Type="http://schemas.openxmlformats.org/officeDocument/2006/relationships/hyperlink" Target="https://amp.vexpenses.com/settings/membros-de-equipe/896364" TargetMode="External"/><Relationship Id="rId38" Type="http://schemas.openxmlformats.org/officeDocument/2006/relationships/hyperlink" Target="https://amp.vexpenses.com/settings/membros-de-equipe/895976" TargetMode="External"/><Relationship Id="rId103" Type="http://schemas.openxmlformats.org/officeDocument/2006/relationships/hyperlink" Target="https://amp.vexpenses.com/settings/membros-de-equipe/896035" TargetMode="External"/><Relationship Id="rId310" Type="http://schemas.openxmlformats.org/officeDocument/2006/relationships/hyperlink" Target="https://amp.vexpenses.com/settings/membros-de-equipe/922276" TargetMode="External"/><Relationship Id="rId492" Type="http://schemas.openxmlformats.org/officeDocument/2006/relationships/hyperlink" Target="https://amp.vexpenses.com/settings/membros-de-equipe/920862" TargetMode="External"/><Relationship Id="rId91" Type="http://schemas.openxmlformats.org/officeDocument/2006/relationships/hyperlink" Target="https://amp.vexpenses.com/settings/membros-de-equipe/896026" TargetMode="External"/><Relationship Id="rId145" Type="http://schemas.openxmlformats.org/officeDocument/2006/relationships/hyperlink" Target="https://amp.vexpenses.com/settings/membros-de-equipe/930406" TargetMode="External"/><Relationship Id="rId187" Type="http://schemas.openxmlformats.org/officeDocument/2006/relationships/hyperlink" Target="https://amp.vexpenses.com/settings/membros-de-equipe/896102" TargetMode="External"/><Relationship Id="rId352" Type="http://schemas.openxmlformats.org/officeDocument/2006/relationships/hyperlink" Target="https://amp.vexpenses.com/settings/membros-de-equipe/896239" TargetMode="External"/><Relationship Id="rId394" Type="http://schemas.openxmlformats.org/officeDocument/2006/relationships/hyperlink" Target="https://amp.vexpenses.com/settings/membros-de-equipe/896271" TargetMode="External"/><Relationship Id="rId408" Type="http://schemas.openxmlformats.org/officeDocument/2006/relationships/hyperlink" Target="https://amp.vexpenses.com/settings/membros-de-equipe/896284" TargetMode="External"/><Relationship Id="rId212" Type="http://schemas.openxmlformats.org/officeDocument/2006/relationships/hyperlink" Target="https://amp.vexpenses.com/settings/membros-de-equipe/929761" TargetMode="External"/><Relationship Id="rId254" Type="http://schemas.openxmlformats.org/officeDocument/2006/relationships/hyperlink" Target="https://amp.vexpenses.com/settings/membros-de-equipe/930413" TargetMode="External"/><Relationship Id="rId49" Type="http://schemas.openxmlformats.org/officeDocument/2006/relationships/hyperlink" Target="https://amp.vexpenses.com/settings/membros-de-equipe/895985" TargetMode="External"/><Relationship Id="rId114" Type="http://schemas.openxmlformats.org/officeDocument/2006/relationships/hyperlink" Target="https://amp.vexpenses.com/settings/membros-de-equipe/896041" TargetMode="External"/><Relationship Id="rId296" Type="http://schemas.openxmlformats.org/officeDocument/2006/relationships/hyperlink" Target="https://amp.vexpenses.com/settings/membros-de-equipe/896202" TargetMode="External"/><Relationship Id="rId461" Type="http://schemas.openxmlformats.org/officeDocument/2006/relationships/hyperlink" Target="https://amp.vexpenses.com/settings/membros-de-equipe/896326" TargetMode="External"/><Relationship Id="rId517" Type="http://schemas.openxmlformats.org/officeDocument/2006/relationships/hyperlink" Target="https://amp.vexpenses.com/settings/membros-de-equipe/917368" TargetMode="External"/><Relationship Id="rId60" Type="http://schemas.openxmlformats.org/officeDocument/2006/relationships/hyperlink" Target="https://amp.vexpenses.com/settings/membros-de-equipe/895996" TargetMode="External"/><Relationship Id="rId156" Type="http://schemas.openxmlformats.org/officeDocument/2006/relationships/hyperlink" Target="https://amp.vexpenses.com/settings/membros-de-equipe/946535" TargetMode="External"/><Relationship Id="rId198" Type="http://schemas.openxmlformats.org/officeDocument/2006/relationships/hyperlink" Target="https://amp.vexpenses.com/settings/membros-de-equipe/896112" TargetMode="External"/><Relationship Id="rId321" Type="http://schemas.openxmlformats.org/officeDocument/2006/relationships/hyperlink" Target="https://amp.vexpenses.com/settings/membros-de-equipe/916906" TargetMode="External"/><Relationship Id="rId363" Type="http://schemas.openxmlformats.org/officeDocument/2006/relationships/hyperlink" Target="https://amp.vexpenses.com/settings/membros-de-equipe/896245" TargetMode="External"/><Relationship Id="rId419" Type="http://schemas.openxmlformats.org/officeDocument/2006/relationships/hyperlink" Target="https://amp.vexpenses.com/settings/membros-de-equipe/896293" TargetMode="External"/><Relationship Id="rId223" Type="http://schemas.openxmlformats.org/officeDocument/2006/relationships/hyperlink" Target="https://amp.vexpenses.com/settings/membros-de-equipe/917353" TargetMode="External"/><Relationship Id="rId430" Type="http://schemas.openxmlformats.org/officeDocument/2006/relationships/hyperlink" Target="https://amp.vexpenses.com/settings/membros-de-equipe/896299" TargetMode="External"/><Relationship Id="rId18" Type="http://schemas.openxmlformats.org/officeDocument/2006/relationships/hyperlink" Target="https://amp.vexpenses.com/settings/membros-de-equipe/950625" TargetMode="External"/><Relationship Id="rId265" Type="http://schemas.openxmlformats.org/officeDocument/2006/relationships/hyperlink" Target="https://amp.vexpenses.com/settings/membros-de-equipe/896171" TargetMode="External"/><Relationship Id="rId472" Type="http://schemas.openxmlformats.org/officeDocument/2006/relationships/hyperlink" Target="https://amp.vexpenses.com/settings/membros-de-equipe/928097" TargetMode="External"/><Relationship Id="rId528" Type="http://schemas.openxmlformats.org/officeDocument/2006/relationships/hyperlink" Target="https://amp.vexpenses.com/settings/membros-de-equipe/896384" TargetMode="External"/><Relationship Id="rId125" Type="http://schemas.openxmlformats.org/officeDocument/2006/relationships/hyperlink" Target="https://amp.vexpenses.com/settings/membros-de-equipe/896051" TargetMode="External"/><Relationship Id="rId167" Type="http://schemas.openxmlformats.org/officeDocument/2006/relationships/hyperlink" Target="https://amp.vexpenses.com/settings/membros-de-equipe/896085" TargetMode="External"/><Relationship Id="rId332" Type="http://schemas.openxmlformats.org/officeDocument/2006/relationships/hyperlink" Target="https://amp.vexpenses.com/settings/membros-de-equipe/917361" TargetMode="External"/><Relationship Id="rId374" Type="http://schemas.openxmlformats.org/officeDocument/2006/relationships/hyperlink" Target="https://amp.vexpenses.com/settings/membros-de-equipe/896253" TargetMode="External"/><Relationship Id="rId71" Type="http://schemas.openxmlformats.org/officeDocument/2006/relationships/hyperlink" Target="https://amp.vexpenses.com/settings/membros-de-equipe/896005" TargetMode="External"/><Relationship Id="rId234" Type="http://schemas.openxmlformats.org/officeDocument/2006/relationships/hyperlink" Target="https://amp.vexpenses.com/settings/membros-de-equipe/896142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917318" TargetMode="External"/><Relationship Id="rId276" Type="http://schemas.openxmlformats.org/officeDocument/2006/relationships/hyperlink" Target="https://amp.vexpenses.com/settings/membros-de-equipe/896180" TargetMode="External"/><Relationship Id="rId441" Type="http://schemas.openxmlformats.org/officeDocument/2006/relationships/hyperlink" Target="https://amp.vexpenses.com/settings/membros-de-equipe/896306" TargetMode="External"/><Relationship Id="rId483" Type="http://schemas.openxmlformats.org/officeDocument/2006/relationships/hyperlink" Target="https://amp.vexpenses.com/settings/membros-de-equipe/896344" TargetMode="External"/><Relationship Id="rId539" Type="http://schemas.openxmlformats.org/officeDocument/2006/relationships/hyperlink" Target="https://amp.vexpenses.com/settings/membros-de-equipe/916366" TargetMode="External"/><Relationship Id="rId40" Type="http://schemas.openxmlformats.org/officeDocument/2006/relationships/hyperlink" Target="https://amp.vexpenses.com/settings/membros-de-equipe/895977" TargetMode="External"/><Relationship Id="rId136" Type="http://schemas.openxmlformats.org/officeDocument/2006/relationships/hyperlink" Target="https://amp.vexpenses.com/settings/membros-de-equipe/927175" TargetMode="External"/><Relationship Id="rId178" Type="http://schemas.openxmlformats.org/officeDocument/2006/relationships/hyperlink" Target="https://amp.vexpenses.com/settings/membros-de-equipe/896092" TargetMode="External"/><Relationship Id="rId301" Type="http://schemas.openxmlformats.org/officeDocument/2006/relationships/hyperlink" Target="https://amp.vexpenses.com/settings/membros-de-equipe/896205" TargetMode="External"/><Relationship Id="rId343" Type="http://schemas.openxmlformats.org/officeDocument/2006/relationships/hyperlink" Target="https://amp.vexpenses.com/settings/membros-de-equipe/916932" TargetMode="External"/><Relationship Id="rId82" Type="http://schemas.openxmlformats.org/officeDocument/2006/relationships/hyperlink" Target="https://amp.vexpenses.com/settings/membros-de-equipe/917342" TargetMode="External"/><Relationship Id="rId203" Type="http://schemas.openxmlformats.org/officeDocument/2006/relationships/hyperlink" Target="https://amp.vexpenses.com/settings/membros-de-equipe/896117" TargetMode="External"/><Relationship Id="rId385" Type="http://schemas.openxmlformats.org/officeDocument/2006/relationships/hyperlink" Target="https://amp.vexpenses.com/settings/membros-de-equipe/896264" TargetMode="External"/><Relationship Id="rId245" Type="http://schemas.openxmlformats.org/officeDocument/2006/relationships/hyperlink" Target="https://amp.vexpenses.com/settings/membros-de-equipe/896151" TargetMode="External"/><Relationship Id="rId287" Type="http://schemas.openxmlformats.org/officeDocument/2006/relationships/hyperlink" Target="https://amp.vexpenses.com/settings/membros-de-equipe/896192" TargetMode="External"/><Relationship Id="rId410" Type="http://schemas.openxmlformats.org/officeDocument/2006/relationships/hyperlink" Target="https://amp.vexpenses.com/settings/membros-de-equipe/896286" TargetMode="External"/><Relationship Id="rId452" Type="http://schemas.openxmlformats.org/officeDocument/2006/relationships/hyperlink" Target="https://amp.vexpenses.com/settings/membros-de-equipe/896316" TargetMode="External"/><Relationship Id="rId494" Type="http://schemas.openxmlformats.org/officeDocument/2006/relationships/hyperlink" Target="https://amp.vexpenses.com/settings/membros-de-equipe/896355" TargetMode="External"/><Relationship Id="rId508" Type="http://schemas.openxmlformats.org/officeDocument/2006/relationships/hyperlink" Target="https://amp.vexpenses.com/settings/membros-de-equipe/917052" TargetMode="External"/><Relationship Id="rId105" Type="http://schemas.openxmlformats.org/officeDocument/2006/relationships/hyperlink" Target="https://amp.vexpenses.com/settings/membros-de-equipe/890792" TargetMode="External"/><Relationship Id="rId147" Type="http://schemas.openxmlformats.org/officeDocument/2006/relationships/hyperlink" Target="https://amp.vexpenses.com/settings/membros-de-equipe/896071" TargetMode="External"/><Relationship Id="rId312" Type="http://schemas.openxmlformats.org/officeDocument/2006/relationships/hyperlink" Target="https://amp.vexpenses.com/settings/membros-de-equipe/896213" TargetMode="External"/><Relationship Id="rId354" Type="http://schemas.openxmlformats.org/officeDocument/2006/relationships/hyperlink" Target="https://amp.vexpenses.com/settings/membros-de-equipe/896241" TargetMode="External"/><Relationship Id="rId51" Type="http://schemas.openxmlformats.org/officeDocument/2006/relationships/hyperlink" Target="https://amp.vexpenses.com/settings/membros-de-equipe/895986" TargetMode="External"/><Relationship Id="rId93" Type="http://schemas.openxmlformats.org/officeDocument/2006/relationships/hyperlink" Target="https://amp.vexpenses.com/settings/membros-de-equipe/896028" TargetMode="External"/><Relationship Id="rId189" Type="http://schemas.openxmlformats.org/officeDocument/2006/relationships/hyperlink" Target="https://amp.vexpenses.com/settings/membros-de-equipe/896104" TargetMode="External"/><Relationship Id="rId396" Type="http://schemas.openxmlformats.org/officeDocument/2006/relationships/hyperlink" Target="https://amp.vexpenses.com/settings/membros-de-equipe/896273" TargetMode="External"/><Relationship Id="rId214" Type="http://schemas.openxmlformats.org/officeDocument/2006/relationships/hyperlink" Target="https://amp.vexpenses.com/settings/membros-de-equipe/896123" TargetMode="External"/><Relationship Id="rId256" Type="http://schemas.openxmlformats.org/officeDocument/2006/relationships/hyperlink" Target="https://amp.vexpenses.com/settings/membros-de-equipe/896162" TargetMode="External"/><Relationship Id="rId298" Type="http://schemas.openxmlformats.org/officeDocument/2006/relationships/hyperlink" Target="https://amp.vexpenses.com/settings/membros-de-equipe/896204" TargetMode="External"/><Relationship Id="rId421" Type="http://schemas.openxmlformats.org/officeDocument/2006/relationships/hyperlink" Target="https://amp.vexpenses.com/settings/membros-de-equipe/896294" TargetMode="External"/><Relationship Id="rId463" Type="http://schemas.openxmlformats.org/officeDocument/2006/relationships/hyperlink" Target="https://amp.vexpenses.com/settings/membros-de-equipe/896328" TargetMode="External"/><Relationship Id="rId519" Type="http://schemas.openxmlformats.org/officeDocument/2006/relationships/hyperlink" Target="https://amp.vexpenses.com/settings/membros-de-equipe/896376" TargetMode="External"/><Relationship Id="rId116" Type="http://schemas.openxmlformats.org/officeDocument/2006/relationships/hyperlink" Target="https://amp.vexpenses.com/settings/membros-de-equipe/896043" TargetMode="External"/><Relationship Id="rId158" Type="http://schemas.openxmlformats.org/officeDocument/2006/relationships/hyperlink" Target="https://amp.vexpenses.com/settings/membros-de-equipe/922738" TargetMode="External"/><Relationship Id="rId323" Type="http://schemas.openxmlformats.org/officeDocument/2006/relationships/hyperlink" Target="https://amp.vexpenses.com/settings/membros-de-equipe/916930" TargetMode="External"/><Relationship Id="rId530" Type="http://schemas.openxmlformats.org/officeDocument/2006/relationships/hyperlink" Target="https://amp.vexpenses.com/settings/membros-de-equipe/896386" TargetMode="External"/><Relationship Id="rId20" Type="http://schemas.openxmlformats.org/officeDocument/2006/relationships/hyperlink" Target="https://amp.vexpenses.com/settings/membros-de-equipe/895962" TargetMode="External"/><Relationship Id="rId62" Type="http://schemas.openxmlformats.org/officeDocument/2006/relationships/hyperlink" Target="https://amp.vexpenses.com/settings/membros-de-equipe/917085" TargetMode="External"/><Relationship Id="rId365" Type="http://schemas.openxmlformats.org/officeDocument/2006/relationships/hyperlink" Target="https://amp.vexpenses.com/settings/membros-de-equipe/929759" TargetMode="External"/><Relationship Id="rId225" Type="http://schemas.openxmlformats.org/officeDocument/2006/relationships/hyperlink" Target="https://amp.vexpenses.com/settings/membros-de-equipe/922784" TargetMode="External"/><Relationship Id="rId267" Type="http://schemas.openxmlformats.org/officeDocument/2006/relationships/hyperlink" Target="https://amp.vexpenses.com/settings/membros-de-equipe/896173" TargetMode="External"/><Relationship Id="rId432" Type="http://schemas.openxmlformats.org/officeDocument/2006/relationships/hyperlink" Target="https://amp.vexpenses.com/settings/membros-de-equipe/896301" TargetMode="External"/><Relationship Id="rId474" Type="http://schemas.openxmlformats.org/officeDocument/2006/relationships/hyperlink" Target="https://amp.vexpenses.com/settings/membros-de-equipe/896336" TargetMode="External"/><Relationship Id="rId127" Type="http://schemas.openxmlformats.org/officeDocument/2006/relationships/hyperlink" Target="https://amp.vexpenses.com/settings/membros-de-equipe/896053" TargetMode="External"/><Relationship Id="rId31" Type="http://schemas.openxmlformats.org/officeDocument/2006/relationships/hyperlink" Target="https://amp.vexpenses.com/settings/membros-de-equipe/918852" TargetMode="External"/><Relationship Id="rId73" Type="http://schemas.openxmlformats.org/officeDocument/2006/relationships/hyperlink" Target="https://amp.vexpenses.com/settings/membros-de-equipe/896007" TargetMode="External"/><Relationship Id="rId169" Type="http://schemas.openxmlformats.org/officeDocument/2006/relationships/hyperlink" Target="https://amp.vexpenses.com/settings/membros-de-equipe/946138" TargetMode="External"/><Relationship Id="rId334" Type="http://schemas.openxmlformats.org/officeDocument/2006/relationships/hyperlink" Target="https://amp.vexpenses.com/settings/membros-de-equipe/896224" TargetMode="External"/><Relationship Id="rId376" Type="http://schemas.openxmlformats.org/officeDocument/2006/relationships/hyperlink" Target="https://amp.vexpenses.com/settings/membros-de-equipe/896333" TargetMode="External"/><Relationship Id="rId541" Type="http://schemas.openxmlformats.org/officeDocument/2006/relationships/hyperlink" Target="https://amp.vexpenses.com/settings/membros-de-equipe/896395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94" TargetMode="External"/><Relationship Id="rId236" Type="http://schemas.openxmlformats.org/officeDocument/2006/relationships/hyperlink" Target="https://amp.vexpenses.com/settings/membros-de-equipe/923893" TargetMode="External"/><Relationship Id="rId278" Type="http://schemas.openxmlformats.org/officeDocument/2006/relationships/hyperlink" Target="https://amp.vexpenses.com/settings/membros-de-equipe/896183" TargetMode="External"/><Relationship Id="rId401" Type="http://schemas.openxmlformats.org/officeDocument/2006/relationships/hyperlink" Target="https://amp.vexpenses.com/settings/membros-de-equipe/896278" TargetMode="External"/><Relationship Id="rId443" Type="http://schemas.openxmlformats.org/officeDocument/2006/relationships/hyperlink" Target="https://amp.vexpenses.com/settings/membros-de-equipe/896310" TargetMode="External"/><Relationship Id="rId303" Type="http://schemas.openxmlformats.org/officeDocument/2006/relationships/hyperlink" Target="https://amp.vexpenses.com/settings/membros-de-equipe/896206" TargetMode="External"/><Relationship Id="rId485" Type="http://schemas.openxmlformats.org/officeDocument/2006/relationships/hyperlink" Target="https://amp.vexpenses.com/settings/membros-de-equipe/896347" TargetMode="External"/><Relationship Id="rId42" Type="http://schemas.openxmlformats.org/officeDocument/2006/relationships/hyperlink" Target="https://amp.vexpenses.com/settings/membros-de-equipe/952448" TargetMode="External"/><Relationship Id="rId84" Type="http://schemas.openxmlformats.org/officeDocument/2006/relationships/hyperlink" Target="https://amp.vexpenses.com/settings/membros-de-equipe/896019" TargetMode="External"/><Relationship Id="rId138" Type="http://schemas.openxmlformats.org/officeDocument/2006/relationships/hyperlink" Target="https://amp.vexpenses.com/settings/membros-de-equipe/896064" TargetMode="External"/><Relationship Id="rId345" Type="http://schemas.openxmlformats.org/officeDocument/2006/relationships/hyperlink" Target="https://amp.vexpenses.com/settings/membros-de-equipe/896233" TargetMode="External"/><Relationship Id="rId387" Type="http://schemas.openxmlformats.org/officeDocument/2006/relationships/hyperlink" Target="https://amp.vexpenses.com/settings/membros-de-equipe/896266" TargetMode="External"/><Relationship Id="rId510" Type="http://schemas.openxmlformats.org/officeDocument/2006/relationships/hyperlink" Target="https://amp.vexpenses.com/settings/membros-de-equipe/896367" TargetMode="External"/><Relationship Id="rId191" Type="http://schemas.openxmlformats.org/officeDocument/2006/relationships/hyperlink" Target="https://amp.vexpenses.com/settings/membros-de-equipe/896106" TargetMode="External"/><Relationship Id="rId205" Type="http://schemas.openxmlformats.org/officeDocument/2006/relationships/hyperlink" Target="https://amp.vexpenses.com/settings/membros-de-equipe/896118" TargetMode="External"/><Relationship Id="rId247" Type="http://schemas.openxmlformats.org/officeDocument/2006/relationships/hyperlink" Target="https://amp.vexpenses.com/settings/membros-de-equipe/896153" TargetMode="External"/><Relationship Id="rId412" Type="http://schemas.openxmlformats.org/officeDocument/2006/relationships/hyperlink" Target="https://amp.vexpenses.com/settings/membros-de-equipe/896287" TargetMode="External"/><Relationship Id="rId107" Type="http://schemas.openxmlformats.org/officeDocument/2006/relationships/hyperlink" Target="https://amp.vexpenses.com/settings/membros-de-equipe/896037" TargetMode="External"/><Relationship Id="rId289" Type="http://schemas.openxmlformats.org/officeDocument/2006/relationships/hyperlink" Target="https://amp.vexpenses.com/settings/membros-de-equipe/896195" TargetMode="External"/><Relationship Id="rId454" Type="http://schemas.openxmlformats.org/officeDocument/2006/relationships/hyperlink" Target="https://amp.vexpenses.com/settings/membros-de-equipe/896318" TargetMode="External"/><Relationship Id="rId496" Type="http://schemas.openxmlformats.org/officeDocument/2006/relationships/hyperlink" Target="https://amp.vexpenses.com/settings/membros-de-equipe/896356" TargetMode="External"/><Relationship Id="rId11" Type="http://schemas.openxmlformats.org/officeDocument/2006/relationships/hyperlink" Target="https://amp.vexpenses.com/settings/membros-de-equipe/895955" TargetMode="External"/><Relationship Id="rId53" Type="http://schemas.openxmlformats.org/officeDocument/2006/relationships/hyperlink" Target="https://amp.vexpenses.com/settings/membros-de-equipe/895988" TargetMode="External"/><Relationship Id="rId149" Type="http://schemas.openxmlformats.org/officeDocument/2006/relationships/hyperlink" Target="https://amp.vexpenses.com/settings/membros-de-equipe/896073" TargetMode="External"/><Relationship Id="rId314" Type="http://schemas.openxmlformats.org/officeDocument/2006/relationships/hyperlink" Target="https://amp.vexpenses.com/settings/membros-de-equipe/896214" TargetMode="External"/><Relationship Id="rId356" Type="http://schemas.openxmlformats.org/officeDocument/2006/relationships/hyperlink" Target="https://amp.vexpenses.com/settings/membros-de-equipe/896243" TargetMode="External"/><Relationship Id="rId398" Type="http://schemas.openxmlformats.org/officeDocument/2006/relationships/hyperlink" Target="https://amp.vexpenses.com/settings/membros-de-equipe/896275" TargetMode="External"/><Relationship Id="rId521" Type="http://schemas.openxmlformats.org/officeDocument/2006/relationships/hyperlink" Target="https://amp.vexpenses.com/settings/membros-de-equipe/896378" TargetMode="External"/><Relationship Id="rId95" Type="http://schemas.openxmlformats.org/officeDocument/2006/relationships/hyperlink" Target="https://amp.vexpenses.com/settings/membros-de-equipe/896030" TargetMode="External"/><Relationship Id="rId160" Type="http://schemas.openxmlformats.org/officeDocument/2006/relationships/hyperlink" Target="https://amp.vexpenses.com/settings/membros-de-equipe/961468" TargetMode="External"/><Relationship Id="rId216" Type="http://schemas.openxmlformats.org/officeDocument/2006/relationships/hyperlink" Target="https://amp.vexpenses.com/settings/membros-de-equipe/896125" TargetMode="External"/><Relationship Id="rId423" Type="http://schemas.openxmlformats.org/officeDocument/2006/relationships/hyperlink" Target="https://amp.vexpenses.com/settings/membros-de-equipe/920825" TargetMode="External"/><Relationship Id="rId258" Type="http://schemas.openxmlformats.org/officeDocument/2006/relationships/hyperlink" Target="https://amp.vexpenses.com/settings/membros-de-equipe/916884" TargetMode="External"/><Relationship Id="rId465" Type="http://schemas.openxmlformats.org/officeDocument/2006/relationships/hyperlink" Target="https://amp.vexpenses.com/settings/membros-de-equipe/896329" TargetMode="External"/><Relationship Id="rId22" Type="http://schemas.openxmlformats.org/officeDocument/2006/relationships/hyperlink" Target="https://amp.vexpenses.com/settings/membros-de-equipe/895964" TargetMode="External"/><Relationship Id="rId64" Type="http://schemas.openxmlformats.org/officeDocument/2006/relationships/hyperlink" Target="https://amp.vexpenses.com/settings/membros-de-equipe/930416" TargetMode="External"/><Relationship Id="rId118" Type="http://schemas.openxmlformats.org/officeDocument/2006/relationships/hyperlink" Target="https://amp.vexpenses.com/settings/membros-de-equipe/917345" TargetMode="External"/><Relationship Id="rId325" Type="http://schemas.openxmlformats.org/officeDocument/2006/relationships/hyperlink" Target="https://amp.vexpenses.com/settings/membros-de-equipe/896220" TargetMode="External"/><Relationship Id="rId367" Type="http://schemas.openxmlformats.org/officeDocument/2006/relationships/hyperlink" Target="https://amp.vexpenses.com/settings/membros-de-equipe/896248" TargetMode="External"/><Relationship Id="rId532" Type="http://schemas.openxmlformats.org/officeDocument/2006/relationships/hyperlink" Target="https://amp.vexpenses.com/settings/membros-de-equipe/896388" TargetMode="External"/><Relationship Id="rId171" Type="http://schemas.openxmlformats.org/officeDocument/2006/relationships/hyperlink" Target="https://amp.vexpenses.com/settings/membros-de-equipe/896088" TargetMode="External"/><Relationship Id="rId227" Type="http://schemas.openxmlformats.org/officeDocument/2006/relationships/hyperlink" Target="https://amp.vexpenses.com/settings/membros-de-equipe/896135" TargetMode="External"/><Relationship Id="rId269" Type="http://schemas.openxmlformats.org/officeDocument/2006/relationships/hyperlink" Target="https://amp.vexpenses.com/settings/membros-de-equipe/957803" TargetMode="External"/><Relationship Id="rId434" Type="http://schemas.openxmlformats.org/officeDocument/2006/relationships/hyperlink" Target="https://amp.vexpenses.com/settings/membros-de-equipe/896303" TargetMode="External"/><Relationship Id="rId476" Type="http://schemas.openxmlformats.org/officeDocument/2006/relationships/hyperlink" Target="https://amp.vexpenses.com/settings/membros-de-equipe/896338" TargetMode="External"/><Relationship Id="rId33" Type="http://schemas.openxmlformats.org/officeDocument/2006/relationships/hyperlink" Target="https://amp.vexpenses.com/settings/membros-de-equipe/895971" TargetMode="External"/><Relationship Id="rId129" Type="http://schemas.openxmlformats.org/officeDocument/2006/relationships/hyperlink" Target="https://amp.vexpenses.com/settings/membros-de-equipe/896055" TargetMode="External"/><Relationship Id="rId280" Type="http://schemas.openxmlformats.org/officeDocument/2006/relationships/hyperlink" Target="https://amp.vexpenses.com/settings/membros-de-equipe/921535" TargetMode="External"/><Relationship Id="rId336" Type="http://schemas.openxmlformats.org/officeDocument/2006/relationships/hyperlink" Target="https://amp.vexpenses.com/settings/membros-de-equipe/896226" TargetMode="External"/><Relationship Id="rId501" Type="http://schemas.openxmlformats.org/officeDocument/2006/relationships/hyperlink" Target="https://amp.vexpenses.com/settings/membros-de-equipe/896360" TargetMode="External"/><Relationship Id="rId75" Type="http://schemas.openxmlformats.org/officeDocument/2006/relationships/hyperlink" Target="https://amp.vexpenses.com/settings/membros-de-equipe/896009" TargetMode="External"/><Relationship Id="rId140" Type="http://schemas.openxmlformats.org/officeDocument/2006/relationships/hyperlink" Target="https://amp.vexpenses.com/settings/membros-de-equipe/896065" TargetMode="External"/><Relationship Id="rId182" Type="http://schemas.openxmlformats.org/officeDocument/2006/relationships/hyperlink" Target="https://amp.vexpenses.com/settings/membros-de-equipe/896096" TargetMode="External"/><Relationship Id="rId378" Type="http://schemas.openxmlformats.org/officeDocument/2006/relationships/hyperlink" Target="https://amp.vexpenses.com/settings/membros-de-equipe/896256" TargetMode="External"/><Relationship Id="rId403" Type="http://schemas.openxmlformats.org/officeDocument/2006/relationships/hyperlink" Target="https://amp.vexpenses.com/settings/membros-de-equipe/896280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45" TargetMode="External"/><Relationship Id="rId445" Type="http://schemas.openxmlformats.org/officeDocument/2006/relationships/hyperlink" Target="https://amp.vexpenses.com/settings/membros-de-equipe/896312" TargetMode="External"/><Relationship Id="rId487" Type="http://schemas.openxmlformats.org/officeDocument/2006/relationships/hyperlink" Target="https://amp.vexpenses.com/settings/membros-de-equipe/896349" TargetMode="External"/><Relationship Id="rId291" Type="http://schemas.openxmlformats.org/officeDocument/2006/relationships/hyperlink" Target="https://amp.vexpenses.com/settings/membros-de-equipe/896197" TargetMode="External"/><Relationship Id="rId305" Type="http://schemas.openxmlformats.org/officeDocument/2006/relationships/hyperlink" Target="https://amp.vexpenses.com/settings/membros-de-equipe/916936" TargetMode="External"/><Relationship Id="rId347" Type="http://schemas.openxmlformats.org/officeDocument/2006/relationships/hyperlink" Target="https://amp.vexpenses.com/settings/membros-de-equipe/896235" TargetMode="External"/><Relationship Id="rId512" Type="http://schemas.openxmlformats.org/officeDocument/2006/relationships/hyperlink" Target="https://amp.vexpenses.com/settings/membros-de-equipe/931255" TargetMode="External"/><Relationship Id="rId44" Type="http://schemas.openxmlformats.org/officeDocument/2006/relationships/hyperlink" Target="https://amp.vexpenses.com/settings/membros-de-equipe/917324" TargetMode="External"/><Relationship Id="rId86" Type="http://schemas.openxmlformats.org/officeDocument/2006/relationships/hyperlink" Target="https://amp.vexpenses.com/settings/membros-de-equipe/896020" TargetMode="External"/><Relationship Id="rId151" Type="http://schemas.openxmlformats.org/officeDocument/2006/relationships/hyperlink" Target="https://amp.vexpenses.com/settings/membros-de-equipe/896075" TargetMode="External"/><Relationship Id="rId389" Type="http://schemas.openxmlformats.org/officeDocument/2006/relationships/hyperlink" Target="https://amp.vexpenses.com/settings/membros-de-equipe/917363" TargetMode="External"/><Relationship Id="rId193" Type="http://schemas.openxmlformats.org/officeDocument/2006/relationships/hyperlink" Target="https://amp.vexpenses.com/settings/membros-de-equipe/917075" TargetMode="External"/><Relationship Id="rId207" Type="http://schemas.openxmlformats.org/officeDocument/2006/relationships/hyperlink" Target="https://amp.vexpenses.com/settings/membros-de-equipe/929756" TargetMode="External"/><Relationship Id="rId249" Type="http://schemas.openxmlformats.org/officeDocument/2006/relationships/hyperlink" Target="https://amp.vexpenses.com/settings/membros-de-equipe/896156" TargetMode="External"/><Relationship Id="rId414" Type="http://schemas.openxmlformats.org/officeDocument/2006/relationships/hyperlink" Target="https://amp.vexpenses.com/settings/membros-de-equipe/896289" TargetMode="External"/><Relationship Id="rId456" Type="http://schemas.openxmlformats.org/officeDocument/2006/relationships/hyperlink" Target="https://amp.vexpenses.com/settings/membros-de-equipe/896321" TargetMode="External"/><Relationship Id="rId498" Type="http://schemas.openxmlformats.org/officeDocument/2006/relationships/hyperlink" Target="https://amp.vexpenses.com/settings/membros-de-equipe/896358" TargetMode="External"/><Relationship Id="rId13" Type="http://schemas.openxmlformats.org/officeDocument/2006/relationships/hyperlink" Target="https://amp.vexpenses.com/settings/membros-de-equipe/916910" TargetMode="External"/><Relationship Id="rId109" Type="http://schemas.openxmlformats.org/officeDocument/2006/relationships/hyperlink" Target="https://amp.vexpenses.com/settings/membros-de-equipe/930913" TargetMode="External"/><Relationship Id="rId260" Type="http://schemas.openxmlformats.org/officeDocument/2006/relationships/hyperlink" Target="https://amp.vexpenses.com/settings/membros-de-equipe/896165" TargetMode="External"/><Relationship Id="rId316" Type="http://schemas.openxmlformats.org/officeDocument/2006/relationships/hyperlink" Target="https://amp.vexpenses.com/settings/membros-de-equipe/896215" TargetMode="External"/><Relationship Id="rId523" Type="http://schemas.openxmlformats.org/officeDocument/2006/relationships/hyperlink" Target="https://amp.vexpenses.com/settings/membros-de-equipe/957806" TargetMode="External"/><Relationship Id="rId55" Type="http://schemas.openxmlformats.org/officeDocument/2006/relationships/hyperlink" Target="https://amp.vexpenses.com/settings/membros-de-equipe/895991" TargetMode="External"/><Relationship Id="rId97" Type="http://schemas.openxmlformats.org/officeDocument/2006/relationships/hyperlink" Target="https://amp.vexpenses.com/settings/membros-de-equipe/896032" TargetMode="External"/><Relationship Id="rId120" Type="http://schemas.openxmlformats.org/officeDocument/2006/relationships/hyperlink" Target="https://amp.vexpenses.com/settings/membros-de-equipe/896046" TargetMode="External"/><Relationship Id="rId358" Type="http://schemas.openxmlformats.org/officeDocument/2006/relationships/hyperlink" Target="https://amp.vexpenses.com/settings/membros-de-equipe/928767" TargetMode="External"/><Relationship Id="rId162" Type="http://schemas.openxmlformats.org/officeDocument/2006/relationships/hyperlink" Target="https://amp.vexpenses.com/settings/membros-de-equipe/920872" TargetMode="External"/><Relationship Id="rId218" Type="http://schemas.openxmlformats.org/officeDocument/2006/relationships/hyperlink" Target="https://amp.vexpenses.com/settings/membros-de-equipe/896127" TargetMode="External"/><Relationship Id="rId425" Type="http://schemas.openxmlformats.org/officeDocument/2006/relationships/hyperlink" Target="https://amp.vexpenses.com/settings/membros-de-equipe/896297" TargetMode="External"/><Relationship Id="rId467" Type="http://schemas.openxmlformats.org/officeDocument/2006/relationships/hyperlink" Target="https://amp.vexpenses.com/settings/membros-de-equipe/963612" TargetMode="External"/><Relationship Id="rId271" Type="http://schemas.openxmlformats.org/officeDocument/2006/relationships/hyperlink" Target="https://amp.vexpenses.com/settings/membros-de-equipe/896175" TargetMode="External"/><Relationship Id="rId24" Type="http://schemas.openxmlformats.org/officeDocument/2006/relationships/hyperlink" Target="https://amp.vexpenses.com/settings/membros-de-equipe/917314" TargetMode="External"/><Relationship Id="rId66" Type="http://schemas.openxmlformats.org/officeDocument/2006/relationships/hyperlink" Target="https://amp.vexpenses.com/settings/membros-de-equipe/896000" TargetMode="External"/><Relationship Id="rId131" Type="http://schemas.openxmlformats.org/officeDocument/2006/relationships/hyperlink" Target="https://amp.vexpenses.com/settings/membros-de-equipe/896058" TargetMode="External"/><Relationship Id="rId327" Type="http://schemas.openxmlformats.org/officeDocument/2006/relationships/hyperlink" Target="https://amp.vexpenses.com/settings/membros-de-equipe/940725" TargetMode="External"/><Relationship Id="rId369" Type="http://schemas.openxmlformats.org/officeDocument/2006/relationships/hyperlink" Target="https://amp.vexpenses.com/settings/membros-de-equipe/896250" TargetMode="External"/><Relationship Id="rId534" Type="http://schemas.openxmlformats.org/officeDocument/2006/relationships/hyperlink" Target="https://amp.vexpenses.com/settings/membros-de-equipe/896390" TargetMode="External"/><Relationship Id="rId173" Type="http://schemas.openxmlformats.org/officeDocument/2006/relationships/hyperlink" Target="https://amp.vexpenses.com/settings/membros-de-equipe/896090" TargetMode="External"/><Relationship Id="rId229" Type="http://schemas.openxmlformats.org/officeDocument/2006/relationships/hyperlink" Target="https://amp.vexpenses.com/settings/membros-de-equipe/896137" TargetMode="External"/><Relationship Id="rId380" Type="http://schemas.openxmlformats.org/officeDocument/2006/relationships/hyperlink" Target="https://amp.vexpenses.com/settings/membros-de-equipe/896258" TargetMode="External"/><Relationship Id="rId436" Type="http://schemas.openxmlformats.org/officeDocument/2006/relationships/hyperlink" Target="https://amp.vexpenses.com/settings/membros-de-equipe/896304" TargetMode="External"/><Relationship Id="rId240" Type="http://schemas.openxmlformats.org/officeDocument/2006/relationships/hyperlink" Target="https://amp.vexpenses.com/settings/membros-de-equipe/896147" TargetMode="External"/><Relationship Id="rId478" Type="http://schemas.openxmlformats.org/officeDocument/2006/relationships/hyperlink" Target="https://amp.vexpenses.com/settings/membros-de-equipe/896339" TargetMode="External"/><Relationship Id="rId35" Type="http://schemas.openxmlformats.org/officeDocument/2006/relationships/hyperlink" Target="https://amp.vexpenses.com/settings/membros-de-equipe/895974" TargetMode="External"/><Relationship Id="rId77" Type="http://schemas.openxmlformats.org/officeDocument/2006/relationships/hyperlink" Target="https://amp.vexpenses.com/settings/membros-de-equipe/896012" TargetMode="External"/><Relationship Id="rId100" Type="http://schemas.openxmlformats.org/officeDocument/2006/relationships/hyperlink" Target="https://amp.vexpenses.com/settings/membros-de-equipe/935041" TargetMode="External"/><Relationship Id="rId282" Type="http://schemas.openxmlformats.org/officeDocument/2006/relationships/hyperlink" Target="https://amp.vexpenses.com/settings/membros-de-equipe/896186" TargetMode="External"/><Relationship Id="rId338" Type="http://schemas.openxmlformats.org/officeDocument/2006/relationships/hyperlink" Target="https://amp.vexpenses.com/settings/membros-de-equipe/896227" TargetMode="External"/><Relationship Id="rId503" Type="http://schemas.openxmlformats.org/officeDocument/2006/relationships/hyperlink" Target="https://amp.vexpenses.com/settings/membros-de-equipe/920855" TargetMode="External"/><Relationship Id="rId8" Type="http://schemas.openxmlformats.org/officeDocument/2006/relationships/hyperlink" Target="https://amp.vexpenses.com/settings/membros-de-equipe/895950" TargetMode="External"/><Relationship Id="rId142" Type="http://schemas.openxmlformats.org/officeDocument/2006/relationships/hyperlink" Target="https://amp.vexpenses.com/settings/membros-de-equipe/896067" TargetMode="External"/><Relationship Id="rId184" Type="http://schemas.openxmlformats.org/officeDocument/2006/relationships/hyperlink" Target="https://amp.vexpenses.com/settings/membros-de-equipe/896099" TargetMode="External"/><Relationship Id="rId391" Type="http://schemas.openxmlformats.org/officeDocument/2006/relationships/hyperlink" Target="https://amp.vexpenses.com/settings/membros-de-equipe/896269" TargetMode="External"/><Relationship Id="rId405" Type="http://schemas.openxmlformats.org/officeDocument/2006/relationships/hyperlink" Target="https://amp.vexpenses.com/settings/membros-de-equipe/896281" TargetMode="External"/><Relationship Id="rId447" Type="http://schemas.openxmlformats.org/officeDocument/2006/relationships/hyperlink" Target="https://amp.vexpenses.com/settings/membros-de-equipe/896314" TargetMode="External"/><Relationship Id="rId251" Type="http://schemas.openxmlformats.org/officeDocument/2006/relationships/hyperlink" Target="https://amp.vexpenses.com/settings/membros-de-equipe/896158" TargetMode="External"/><Relationship Id="rId489" Type="http://schemas.openxmlformats.org/officeDocument/2006/relationships/hyperlink" Target="https://amp.vexpenses.com/settings/membros-de-equipe/896351" TargetMode="External"/><Relationship Id="rId46" Type="http://schemas.openxmlformats.org/officeDocument/2006/relationships/hyperlink" Target="https://amp.vexpenses.com/settings/membros-de-equipe/895982" TargetMode="External"/><Relationship Id="rId293" Type="http://schemas.openxmlformats.org/officeDocument/2006/relationships/hyperlink" Target="https://amp.vexpenses.com/settings/membros-de-equipe/896199" TargetMode="External"/><Relationship Id="rId307" Type="http://schemas.openxmlformats.org/officeDocument/2006/relationships/hyperlink" Target="https://amp.vexpenses.com/settings/membros-de-equipe/896209" TargetMode="External"/><Relationship Id="rId349" Type="http://schemas.openxmlformats.org/officeDocument/2006/relationships/hyperlink" Target="https://amp.vexpenses.com/settings/membros-de-equipe/896237" TargetMode="External"/><Relationship Id="rId514" Type="http://schemas.openxmlformats.org/officeDocument/2006/relationships/hyperlink" Target="https://amp.vexpenses.com/settings/membros-de-equipe/896372" TargetMode="External"/><Relationship Id="rId88" Type="http://schemas.openxmlformats.org/officeDocument/2006/relationships/hyperlink" Target="https://amp.vexpenses.com/settings/membros-de-equipe/896023" TargetMode="External"/><Relationship Id="rId111" Type="http://schemas.openxmlformats.org/officeDocument/2006/relationships/hyperlink" Target="https://amp.vexpenses.com/settings/membros-de-equipe/896040" TargetMode="External"/><Relationship Id="rId153" Type="http://schemas.openxmlformats.org/officeDocument/2006/relationships/hyperlink" Target="https://amp.vexpenses.com/settings/membros-de-equipe/896076" TargetMode="External"/><Relationship Id="rId195" Type="http://schemas.openxmlformats.org/officeDocument/2006/relationships/hyperlink" Target="https://amp.vexpenses.com/settings/membros-de-equipe/917058" TargetMode="External"/><Relationship Id="rId209" Type="http://schemas.openxmlformats.org/officeDocument/2006/relationships/hyperlink" Target="https://amp.vexpenses.com/settings/membros-de-equipe/896121" TargetMode="External"/><Relationship Id="rId360" Type="http://schemas.openxmlformats.org/officeDocument/2006/relationships/hyperlink" Target="https://amp.vexpenses.com/settings/membros-de-equipe/917365" TargetMode="External"/><Relationship Id="rId416" Type="http://schemas.openxmlformats.org/officeDocument/2006/relationships/hyperlink" Target="https://amp.vexpenses.com/settings/membros-de-equipe/954642" TargetMode="External"/><Relationship Id="rId220" Type="http://schemas.openxmlformats.org/officeDocument/2006/relationships/hyperlink" Target="https://amp.vexpenses.com/settings/membros-de-equipe/896129" TargetMode="External"/><Relationship Id="rId458" Type="http://schemas.openxmlformats.org/officeDocument/2006/relationships/hyperlink" Target="https://amp.vexpenses.com/settings/membros-de-equipe/930412" TargetMode="External"/><Relationship Id="rId15" Type="http://schemas.openxmlformats.org/officeDocument/2006/relationships/hyperlink" Target="https://amp.vexpenses.com/settings/membros-de-equipe/895958" TargetMode="External"/><Relationship Id="rId57" Type="http://schemas.openxmlformats.org/officeDocument/2006/relationships/hyperlink" Target="https://amp.vexpenses.com/settings/membros-de-equipe/895993" TargetMode="External"/><Relationship Id="rId262" Type="http://schemas.openxmlformats.org/officeDocument/2006/relationships/hyperlink" Target="https://amp.vexpenses.com/settings/membros-de-equipe/921956" TargetMode="External"/><Relationship Id="rId318" Type="http://schemas.openxmlformats.org/officeDocument/2006/relationships/hyperlink" Target="https://amp.vexpenses.com/settings/membros-de-equipe/896216" TargetMode="External"/><Relationship Id="rId525" Type="http://schemas.openxmlformats.org/officeDocument/2006/relationships/hyperlink" Target="https://amp.vexpenses.com/settings/membros-de-equipe/896380" TargetMode="External"/><Relationship Id="rId99" Type="http://schemas.openxmlformats.org/officeDocument/2006/relationships/hyperlink" Target="https://amp.vexpenses.com/settings/membros-de-equipe/930403" TargetMode="External"/><Relationship Id="rId122" Type="http://schemas.openxmlformats.org/officeDocument/2006/relationships/hyperlink" Target="https://amp.vexpenses.com/settings/membros-de-equipe/896048" TargetMode="External"/><Relationship Id="rId164" Type="http://schemas.openxmlformats.org/officeDocument/2006/relationships/hyperlink" Target="https://amp.vexpenses.com/settings/membros-de-equipe/896083" TargetMode="External"/><Relationship Id="rId371" Type="http://schemas.openxmlformats.org/officeDocument/2006/relationships/hyperlink" Target="https://amp.vexpenses.com/settings/membros-de-equipe/896251" TargetMode="External"/><Relationship Id="rId427" Type="http://schemas.openxmlformats.org/officeDocument/2006/relationships/hyperlink" Target="https://amp.vexpenses.com/settings/membros-de-equipe/896298" TargetMode="External"/><Relationship Id="rId469" Type="http://schemas.openxmlformats.org/officeDocument/2006/relationships/hyperlink" Target="https://amp.vexpenses.com/settings/membros-de-equipe/896332" TargetMode="External"/><Relationship Id="rId26" Type="http://schemas.openxmlformats.org/officeDocument/2006/relationships/hyperlink" Target="https://amp.vexpenses.com/settings/membros-de-equipe/895967" TargetMode="External"/><Relationship Id="rId231" Type="http://schemas.openxmlformats.org/officeDocument/2006/relationships/hyperlink" Target="https://amp.vexpenses.com/settings/membros-de-equipe/896138" TargetMode="External"/><Relationship Id="rId273" Type="http://schemas.openxmlformats.org/officeDocument/2006/relationships/hyperlink" Target="https://amp.vexpenses.com/settings/membros-de-equipe/896177" TargetMode="External"/><Relationship Id="rId329" Type="http://schemas.openxmlformats.org/officeDocument/2006/relationships/hyperlink" Target="https://amp.vexpenses.com/settings/membros-de-equipe/923895" TargetMode="External"/><Relationship Id="rId480" Type="http://schemas.openxmlformats.org/officeDocument/2006/relationships/hyperlink" Target="https://amp.vexpenses.com/settings/membros-de-equipe/896341" TargetMode="External"/><Relationship Id="rId536" Type="http://schemas.openxmlformats.org/officeDocument/2006/relationships/hyperlink" Target="https://amp.vexpenses.com/settings/membros-de-equipe/896392" TargetMode="External"/><Relationship Id="rId68" Type="http://schemas.openxmlformats.org/officeDocument/2006/relationships/hyperlink" Target="https://amp.vexpenses.com/settings/membros-de-equipe/896002" TargetMode="External"/><Relationship Id="rId133" Type="http://schemas.openxmlformats.org/officeDocument/2006/relationships/hyperlink" Target="https://amp.vexpenses.com/settings/membros-de-equipe/896060" TargetMode="External"/><Relationship Id="rId175" Type="http://schemas.openxmlformats.org/officeDocument/2006/relationships/hyperlink" Target="https://amp.vexpenses.com/settings/membros-de-equipe/944251" TargetMode="External"/><Relationship Id="rId340" Type="http://schemas.openxmlformats.org/officeDocument/2006/relationships/hyperlink" Target="https://amp.vexpenses.com/settings/membros-de-equipe/896229" TargetMode="External"/><Relationship Id="rId200" Type="http://schemas.openxmlformats.org/officeDocument/2006/relationships/hyperlink" Target="https://amp.vexpenses.com/settings/membros-de-equipe/930400" TargetMode="External"/><Relationship Id="rId382" Type="http://schemas.openxmlformats.org/officeDocument/2006/relationships/hyperlink" Target="https://amp.vexpenses.com/settings/membros-de-equipe/946419" TargetMode="External"/><Relationship Id="rId438" Type="http://schemas.openxmlformats.org/officeDocument/2006/relationships/hyperlink" Target="https://amp.vexpenses.com/settings/membros-de-equipe/896305" TargetMode="External"/><Relationship Id="rId242" Type="http://schemas.openxmlformats.org/officeDocument/2006/relationships/hyperlink" Target="https://amp.vexpenses.com/settings/membros-de-equipe/896149" TargetMode="External"/><Relationship Id="rId284" Type="http://schemas.openxmlformats.org/officeDocument/2006/relationships/hyperlink" Target="https://amp.vexpenses.com/settings/membros-de-equipe/896189" TargetMode="External"/><Relationship Id="rId491" Type="http://schemas.openxmlformats.org/officeDocument/2006/relationships/hyperlink" Target="https://amp.vexpenses.com/settings/membros-de-equipe/896353" TargetMode="External"/><Relationship Id="rId505" Type="http://schemas.openxmlformats.org/officeDocument/2006/relationships/hyperlink" Target="https://amp.vexpenses.com/settings/membros-de-equipe/896363" TargetMode="External"/><Relationship Id="rId37" Type="http://schemas.openxmlformats.org/officeDocument/2006/relationships/hyperlink" Target="https://amp.vexpenses.com/settings/membros-de-equipe/895975" TargetMode="External"/><Relationship Id="rId79" Type="http://schemas.openxmlformats.org/officeDocument/2006/relationships/hyperlink" Target="https://amp.vexpenses.com/settings/membros-de-equipe/896015" TargetMode="External"/><Relationship Id="rId102" Type="http://schemas.openxmlformats.org/officeDocument/2006/relationships/hyperlink" Target="https://amp.vexpenses.com/settings/membros-de-equipe/921947" TargetMode="External"/><Relationship Id="rId144" Type="http://schemas.openxmlformats.org/officeDocument/2006/relationships/hyperlink" Target="https://amp.vexpenses.com/settings/membros-de-equipe/896069" TargetMode="External"/><Relationship Id="rId90" Type="http://schemas.openxmlformats.org/officeDocument/2006/relationships/hyperlink" Target="https://amp.vexpenses.com/settings/membros-de-equipe/896025" TargetMode="External"/><Relationship Id="rId186" Type="http://schemas.openxmlformats.org/officeDocument/2006/relationships/hyperlink" Target="https://amp.vexpenses.com/settings/membros-de-equipe/961342" TargetMode="External"/><Relationship Id="rId351" Type="http://schemas.openxmlformats.org/officeDocument/2006/relationships/hyperlink" Target="https://amp.vexpenses.com/settings/membros-de-equipe/896238" TargetMode="External"/><Relationship Id="rId393" Type="http://schemas.openxmlformats.org/officeDocument/2006/relationships/hyperlink" Target="https://amp.vexpenses.com/settings/membros-de-equipe/943299" TargetMode="External"/><Relationship Id="rId407" Type="http://schemas.openxmlformats.org/officeDocument/2006/relationships/hyperlink" Target="https://amp.vexpenses.com/settings/membros-de-equipe/896283" TargetMode="External"/><Relationship Id="rId449" Type="http://schemas.openxmlformats.org/officeDocument/2006/relationships/hyperlink" Target="https://amp.vexpenses.com/settings/membros-de-equipe/896315" TargetMode="External"/><Relationship Id="rId211" Type="http://schemas.openxmlformats.org/officeDocument/2006/relationships/hyperlink" Target="https://amp.vexpenses.com/settings/membros-de-equipe/896122" TargetMode="External"/><Relationship Id="rId253" Type="http://schemas.openxmlformats.org/officeDocument/2006/relationships/hyperlink" Target="https://amp.vexpenses.com/settings/membros-de-equipe/896159" TargetMode="External"/><Relationship Id="rId295" Type="http://schemas.openxmlformats.org/officeDocument/2006/relationships/hyperlink" Target="https://amp.vexpenses.com/settings/membros-de-equipe/896201" TargetMode="External"/><Relationship Id="rId309" Type="http://schemas.openxmlformats.org/officeDocument/2006/relationships/hyperlink" Target="https://amp.vexpenses.com/settings/membros-de-equipe/896211" TargetMode="External"/><Relationship Id="rId460" Type="http://schemas.openxmlformats.org/officeDocument/2006/relationships/hyperlink" Target="https://amp.vexpenses.com/settings/membros-de-equipe/896325" TargetMode="External"/><Relationship Id="rId516" Type="http://schemas.openxmlformats.org/officeDocument/2006/relationships/hyperlink" Target="https://amp.vexpenses.com/settings/membros-de-equipe/920868" TargetMode="External"/><Relationship Id="rId48" Type="http://schemas.openxmlformats.org/officeDocument/2006/relationships/hyperlink" Target="https://amp.vexpenses.com/settings/membros-de-equipe/895984" TargetMode="External"/><Relationship Id="rId113" Type="http://schemas.openxmlformats.org/officeDocument/2006/relationships/hyperlink" Target="https://amp.vexpenses.com/settings/membros-de-equipe/896419" TargetMode="External"/><Relationship Id="rId320" Type="http://schemas.openxmlformats.org/officeDocument/2006/relationships/hyperlink" Target="https://amp.vexpenses.com/settings/membros-de-equipe/896218" TargetMode="External"/><Relationship Id="rId155" Type="http://schemas.openxmlformats.org/officeDocument/2006/relationships/hyperlink" Target="https://amp.vexpenses.com/settings/membros-de-equipe/896077" TargetMode="External"/><Relationship Id="rId197" Type="http://schemas.openxmlformats.org/officeDocument/2006/relationships/hyperlink" Target="https://amp.vexpenses.com/settings/membros-de-equipe/927567" TargetMode="External"/><Relationship Id="rId362" Type="http://schemas.openxmlformats.org/officeDocument/2006/relationships/hyperlink" Target="https://amp.vexpenses.com/settings/membros-de-equipe/935493" TargetMode="External"/><Relationship Id="rId418" Type="http://schemas.openxmlformats.org/officeDocument/2006/relationships/hyperlink" Target="https://amp.vexpenses.com/settings/membros-de-equipe/896292" TargetMode="External"/><Relationship Id="rId222" Type="http://schemas.openxmlformats.org/officeDocument/2006/relationships/hyperlink" Target="https://amp.vexpenses.com/settings/membros-de-equipe/896132" TargetMode="External"/><Relationship Id="rId264" Type="http://schemas.openxmlformats.org/officeDocument/2006/relationships/hyperlink" Target="https://amp.vexpenses.com/settings/membros-de-equipe/896170" TargetMode="External"/><Relationship Id="rId471" Type="http://schemas.openxmlformats.org/officeDocument/2006/relationships/hyperlink" Target="https://amp.vexpenses.com/settings/membros-de-equipe/896335" TargetMode="External"/><Relationship Id="rId17" Type="http://schemas.openxmlformats.org/officeDocument/2006/relationships/hyperlink" Target="https://amp.vexpenses.com/settings/membros-de-equipe/895959" TargetMode="External"/><Relationship Id="rId59" Type="http://schemas.openxmlformats.org/officeDocument/2006/relationships/hyperlink" Target="https://amp.vexpenses.com/settings/membros-de-equipe/920071" TargetMode="External"/><Relationship Id="rId124" Type="http://schemas.openxmlformats.org/officeDocument/2006/relationships/hyperlink" Target="https://amp.vexpenses.com/settings/membros-de-equipe/896050" TargetMode="External"/><Relationship Id="rId527" Type="http://schemas.openxmlformats.org/officeDocument/2006/relationships/hyperlink" Target="https://amp.vexpenses.com/settings/membros-de-equipe/896383" TargetMode="External"/><Relationship Id="rId70" Type="http://schemas.openxmlformats.org/officeDocument/2006/relationships/hyperlink" Target="https://amp.vexpenses.com/settings/membros-de-equipe/896004" TargetMode="External"/><Relationship Id="rId166" Type="http://schemas.openxmlformats.org/officeDocument/2006/relationships/hyperlink" Target="https://amp.vexpenses.com/settings/membros-de-equipe/896084" TargetMode="External"/><Relationship Id="rId331" Type="http://schemas.openxmlformats.org/officeDocument/2006/relationships/hyperlink" Target="https://amp.vexpenses.com/settings/membros-de-equipe/896423" TargetMode="External"/><Relationship Id="rId373" Type="http://schemas.openxmlformats.org/officeDocument/2006/relationships/hyperlink" Target="https://amp.vexpenses.com/settings/membros-de-equipe/896252" TargetMode="External"/><Relationship Id="rId429" Type="http://schemas.openxmlformats.org/officeDocument/2006/relationships/hyperlink" Target="https://amp.vexpenses.com/settings/membros-de-equipe/918849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41" TargetMode="External"/><Relationship Id="rId440" Type="http://schemas.openxmlformats.org/officeDocument/2006/relationships/hyperlink" Target="https://amp.vexpenses.com/settings/membros-de-equipe/928994" TargetMode="External"/><Relationship Id="rId28" Type="http://schemas.openxmlformats.org/officeDocument/2006/relationships/hyperlink" Target="https://amp.vexpenses.com/settings/membros-de-equipe/895968" TargetMode="External"/><Relationship Id="rId275" Type="http://schemas.openxmlformats.org/officeDocument/2006/relationships/hyperlink" Target="https://amp.vexpenses.com/settings/membros-de-equipe/896179" TargetMode="External"/><Relationship Id="rId300" Type="http://schemas.openxmlformats.org/officeDocument/2006/relationships/hyperlink" Target="https://amp.vexpenses.com/settings/membros-de-equipe/923628" TargetMode="External"/><Relationship Id="rId482" Type="http://schemas.openxmlformats.org/officeDocument/2006/relationships/hyperlink" Target="https://amp.vexpenses.com/settings/membros-de-equipe/896343" TargetMode="External"/><Relationship Id="rId538" Type="http://schemas.openxmlformats.org/officeDocument/2006/relationships/hyperlink" Target="https://amp.vexpenses.com/settings/membros-de-equipe/896394" TargetMode="External"/><Relationship Id="rId81" Type="http://schemas.openxmlformats.org/officeDocument/2006/relationships/hyperlink" Target="https://amp.vexpenses.com/settings/membros-de-equipe/896017" TargetMode="External"/><Relationship Id="rId135" Type="http://schemas.openxmlformats.org/officeDocument/2006/relationships/hyperlink" Target="https://amp.vexpenses.com/settings/membros-de-equipe/896062" TargetMode="External"/><Relationship Id="rId177" Type="http://schemas.openxmlformats.org/officeDocument/2006/relationships/hyperlink" Target="https://amp.vexpenses.com/settings/membros-de-equipe/896091" TargetMode="External"/><Relationship Id="rId342" Type="http://schemas.openxmlformats.org/officeDocument/2006/relationships/hyperlink" Target="https://amp.vexpenses.com/settings/membros-de-equipe/896231" TargetMode="External"/><Relationship Id="rId384" Type="http://schemas.openxmlformats.org/officeDocument/2006/relationships/hyperlink" Target="https://amp.vexpenses.com/settings/membros-de-equipe/896262" TargetMode="External"/><Relationship Id="rId202" Type="http://schemas.openxmlformats.org/officeDocument/2006/relationships/hyperlink" Target="https://amp.vexpenses.com/settings/membros-de-equipe/896116" TargetMode="External"/><Relationship Id="rId244" Type="http://schemas.openxmlformats.org/officeDocument/2006/relationships/hyperlink" Target="https://amp.vexpenses.com/settings/membros-de-equipe/923651" TargetMode="External"/><Relationship Id="rId39" Type="http://schemas.openxmlformats.org/officeDocument/2006/relationships/hyperlink" Target="https://amp.vexpenses.com/settings/membros-de-equipe/891979" TargetMode="External"/><Relationship Id="rId286" Type="http://schemas.openxmlformats.org/officeDocument/2006/relationships/hyperlink" Target="https://amp.vexpenses.com/settings/membros-de-equipe/896191" TargetMode="External"/><Relationship Id="rId451" Type="http://schemas.openxmlformats.org/officeDocument/2006/relationships/hyperlink" Target="https://amp.vexpenses.com/settings/membros-de-equipe/950558" TargetMode="External"/><Relationship Id="rId493" Type="http://schemas.openxmlformats.org/officeDocument/2006/relationships/hyperlink" Target="https://amp.vexpenses.com/settings/membros-de-equipe/896354" TargetMode="External"/><Relationship Id="rId507" Type="http://schemas.openxmlformats.org/officeDocument/2006/relationships/hyperlink" Target="https://amp.vexpenses.com/settings/membros-de-equipe/896365" TargetMode="External"/><Relationship Id="rId50" Type="http://schemas.openxmlformats.org/officeDocument/2006/relationships/hyperlink" Target="https://amp.vexpenses.com/settings/membros-de-equipe/916889" TargetMode="External"/><Relationship Id="rId104" Type="http://schemas.openxmlformats.org/officeDocument/2006/relationships/hyperlink" Target="https://amp.vexpenses.com/settings/membros-de-equipe/896036" TargetMode="External"/><Relationship Id="rId146" Type="http://schemas.openxmlformats.org/officeDocument/2006/relationships/hyperlink" Target="https://amp.vexpenses.com/settings/membros-de-equipe/896070" TargetMode="External"/><Relationship Id="rId188" Type="http://schemas.openxmlformats.org/officeDocument/2006/relationships/hyperlink" Target="https://amp.vexpenses.com/settings/membros-de-equipe/896103" TargetMode="External"/><Relationship Id="rId311" Type="http://schemas.openxmlformats.org/officeDocument/2006/relationships/hyperlink" Target="https://amp.vexpenses.com/settings/membros-de-equipe/896212" TargetMode="External"/><Relationship Id="rId353" Type="http://schemas.openxmlformats.org/officeDocument/2006/relationships/hyperlink" Target="https://amp.vexpenses.com/settings/membros-de-equipe/896240" TargetMode="External"/><Relationship Id="rId395" Type="http://schemas.openxmlformats.org/officeDocument/2006/relationships/hyperlink" Target="https://amp.vexpenses.com/settings/membros-de-equipe/896272" TargetMode="External"/><Relationship Id="rId409" Type="http://schemas.openxmlformats.org/officeDocument/2006/relationships/hyperlink" Target="https://amp.vexpenses.com/settings/membros-de-equipe/896285" TargetMode="External"/><Relationship Id="rId92" Type="http://schemas.openxmlformats.org/officeDocument/2006/relationships/hyperlink" Target="https://amp.vexpenses.com/settings/membros-de-equipe/896027" TargetMode="External"/><Relationship Id="rId213" Type="http://schemas.openxmlformats.org/officeDocument/2006/relationships/hyperlink" Target="https://amp.vexpenses.com/settings/membros-de-equipe/951179" TargetMode="External"/><Relationship Id="rId420" Type="http://schemas.openxmlformats.org/officeDocument/2006/relationships/hyperlink" Target="https://amp.vexpenses.com/settings/membros-de-equipe/950243" TargetMode="External"/><Relationship Id="rId255" Type="http://schemas.openxmlformats.org/officeDocument/2006/relationships/hyperlink" Target="https://amp.vexpenses.com/settings/membros-de-equipe/896161" TargetMode="External"/><Relationship Id="rId297" Type="http://schemas.openxmlformats.org/officeDocument/2006/relationships/hyperlink" Target="https://amp.vexpenses.com/settings/membros-de-equipe/896203" TargetMode="External"/><Relationship Id="rId462" Type="http://schemas.openxmlformats.org/officeDocument/2006/relationships/hyperlink" Target="https://amp.vexpenses.com/settings/membros-de-equipe/896327" TargetMode="External"/><Relationship Id="rId518" Type="http://schemas.openxmlformats.org/officeDocument/2006/relationships/hyperlink" Target="https://amp.vexpenses.com/settings/membros-de-equipe/896424" TargetMode="External"/><Relationship Id="rId115" Type="http://schemas.openxmlformats.org/officeDocument/2006/relationships/hyperlink" Target="https://amp.vexpenses.com/settings/membros-de-equipe/917060" TargetMode="External"/><Relationship Id="rId157" Type="http://schemas.openxmlformats.org/officeDocument/2006/relationships/hyperlink" Target="https://amp.vexpenses.com/settings/membros-de-equipe/896079" TargetMode="External"/><Relationship Id="rId322" Type="http://schemas.openxmlformats.org/officeDocument/2006/relationships/hyperlink" Target="https://amp.vexpenses.com/settings/membros-de-equipe/917357" TargetMode="External"/><Relationship Id="rId364" Type="http://schemas.openxmlformats.org/officeDocument/2006/relationships/hyperlink" Target="https://amp.vexpenses.com/settings/membros-de-equipe/948926" TargetMode="External"/><Relationship Id="rId61" Type="http://schemas.openxmlformats.org/officeDocument/2006/relationships/hyperlink" Target="https://amp.vexpenses.com/settings/membros-de-equipe/895997" TargetMode="External"/><Relationship Id="rId199" Type="http://schemas.openxmlformats.org/officeDocument/2006/relationships/hyperlink" Target="https://amp.vexpenses.com/settings/membros-de-equipe/896113" TargetMode="External"/><Relationship Id="rId19" Type="http://schemas.openxmlformats.org/officeDocument/2006/relationships/hyperlink" Target="https://amp.vexpenses.com/settings/membros-de-equipe/895961" TargetMode="External"/><Relationship Id="rId224" Type="http://schemas.openxmlformats.org/officeDocument/2006/relationships/hyperlink" Target="https://amp.vexpenses.com/settings/membros-de-equipe/896133" TargetMode="External"/><Relationship Id="rId266" Type="http://schemas.openxmlformats.org/officeDocument/2006/relationships/hyperlink" Target="https://amp.vexpenses.com/settings/membros-de-equipe/896172" TargetMode="External"/><Relationship Id="rId431" Type="http://schemas.openxmlformats.org/officeDocument/2006/relationships/hyperlink" Target="https://amp.vexpenses.com/settings/membros-de-equipe/896300" TargetMode="External"/><Relationship Id="rId473" Type="http://schemas.openxmlformats.org/officeDocument/2006/relationships/hyperlink" Target="https://amp.vexpenses.com/settings/membros-de-equipe/921961" TargetMode="External"/><Relationship Id="rId529" Type="http://schemas.openxmlformats.org/officeDocument/2006/relationships/hyperlink" Target="https://amp.vexpenses.com/settings/membros-de-equipe/896385" TargetMode="External"/><Relationship Id="rId30" Type="http://schemas.openxmlformats.org/officeDocument/2006/relationships/hyperlink" Target="https://amp.vexpenses.com/settings/membros-de-equipe/895969" TargetMode="External"/><Relationship Id="rId126" Type="http://schemas.openxmlformats.org/officeDocument/2006/relationships/hyperlink" Target="https://amp.vexpenses.com/settings/membros-de-equipe/896052" TargetMode="External"/><Relationship Id="rId168" Type="http://schemas.openxmlformats.org/officeDocument/2006/relationships/hyperlink" Target="https://amp.vexpenses.com/settings/membros-de-equipe/896086" TargetMode="External"/><Relationship Id="rId333" Type="http://schemas.openxmlformats.org/officeDocument/2006/relationships/hyperlink" Target="https://amp.vexpenses.com/settings/membros-de-equipe/896223" TargetMode="External"/><Relationship Id="rId540" Type="http://schemas.openxmlformats.org/officeDocument/2006/relationships/hyperlink" Target="https://amp.vexpenses.com/settings/membros-de-equipe/921921" TargetMode="External"/><Relationship Id="rId72" Type="http://schemas.openxmlformats.org/officeDocument/2006/relationships/hyperlink" Target="https://amp.vexpenses.com/settings/membros-de-equipe/896006" TargetMode="External"/><Relationship Id="rId375" Type="http://schemas.openxmlformats.org/officeDocument/2006/relationships/hyperlink" Target="https://amp.vexpenses.com/settings/membros-de-equipe/896254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43" TargetMode="External"/><Relationship Id="rId277" Type="http://schemas.openxmlformats.org/officeDocument/2006/relationships/hyperlink" Target="https://amp.vexpenses.com/settings/membros-de-equipe/896181" TargetMode="External"/><Relationship Id="rId400" Type="http://schemas.openxmlformats.org/officeDocument/2006/relationships/hyperlink" Target="https://amp.vexpenses.com/settings/membros-de-equipe/896277" TargetMode="External"/><Relationship Id="rId442" Type="http://schemas.openxmlformats.org/officeDocument/2006/relationships/hyperlink" Target="https://amp.vexpenses.com/settings/membros-de-equipe/896308" TargetMode="External"/><Relationship Id="rId484" Type="http://schemas.openxmlformats.org/officeDocument/2006/relationships/hyperlink" Target="https://amp.vexpenses.com/settings/membros-de-equipe/896346" TargetMode="External"/><Relationship Id="rId137" Type="http://schemas.openxmlformats.org/officeDocument/2006/relationships/hyperlink" Target="https://amp.vexpenses.com/settings/membros-de-equipe/896063" TargetMode="External"/><Relationship Id="rId302" Type="http://schemas.openxmlformats.org/officeDocument/2006/relationships/hyperlink" Target="https://amp.vexpenses.com/settings/membros-de-equipe/921952" TargetMode="External"/><Relationship Id="rId344" Type="http://schemas.openxmlformats.org/officeDocument/2006/relationships/hyperlink" Target="https://amp.vexpenses.com/settings/membros-de-equipe/896232" TargetMode="External"/><Relationship Id="rId41" Type="http://schemas.openxmlformats.org/officeDocument/2006/relationships/hyperlink" Target="https://amp.vexpenses.com/settings/membros-de-equipe/895978" TargetMode="External"/><Relationship Id="rId83" Type="http://schemas.openxmlformats.org/officeDocument/2006/relationships/hyperlink" Target="https://amp.vexpenses.com/settings/membros-de-equipe/896018" TargetMode="External"/><Relationship Id="rId179" Type="http://schemas.openxmlformats.org/officeDocument/2006/relationships/hyperlink" Target="https://amp.vexpenses.com/settings/membros-de-equipe/896093" TargetMode="External"/><Relationship Id="rId386" Type="http://schemas.openxmlformats.org/officeDocument/2006/relationships/hyperlink" Target="https://amp.vexpenses.com/settings/membros-de-equipe/896265" TargetMode="External"/><Relationship Id="rId190" Type="http://schemas.openxmlformats.org/officeDocument/2006/relationships/hyperlink" Target="https://amp.vexpenses.com/settings/membros-de-equipe/896105" TargetMode="External"/><Relationship Id="rId204" Type="http://schemas.openxmlformats.org/officeDocument/2006/relationships/hyperlink" Target="https://amp.vexpenses.com/settings/membros-de-equipe/896421" TargetMode="External"/><Relationship Id="rId246" Type="http://schemas.openxmlformats.org/officeDocument/2006/relationships/hyperlink" Target="https://amp.vexpenses.com/settings/membros-de-equipe/896152" TargetMode="External"/><Relationship Id="rId288" Type="http://schemas.openxmlformats.org/officeDocument/2006/relationships/hyperlink" Target="https://amp.vexpenses.com/settings/membros-de-equipe/896193" TargetMode="External"/><Relationship Id="rId411" Type="http://schemas.openxmlformats.org/officeDocument/2006/relationships/hyperlink" Target="https://amp.vexpenses.com/settings/membros-de-equipe/921927" TargetMode="External"/><Relationship Id="rId453" Type="http://schemas.openxmlformats.org/officeDocument/2006/relationships/hyperlink" Target="https://amp.vexpenses.com/settings/membros-de-equipe/896317" TargetMode="External"/><Relationship Id="rId509" Type="http://schemas.openxmlformats.org/officeDocument/2006/relationships/hyperlink" Target="https://amp.vexpenses.com/settings/membros-de-equipe/896366" TargetMode="External"/><Relationship Id="rId106" Type="http://schemas.openxmlformats.org/officeDocument/2006/relationships/hyperlink" Target="https://amp.vexpenses.com/settings/membros-de-equipe/919653" TargetMode="External"/><Relationship Id="rId313" Type="http://schemas.openxmlformats.org/officeDocument/2006/relationships/hyperlink" Target="https://amp.vexpenses.com/settings/membros-de-equipe/923302" TargetMode="External"/><Relationship Id="rId495" Type="http://schemas.openxmlformats.org/officeDocument/2006/relationships/hyperlink" Target="https://amp.vexpenses.com/settings/membros-de-equipe/917051" TargetMode="External"/><Relationship Id="rId10" Type="http://schemas.openxmlformats.org/officeDocument/2006/relationships/hyperlink" Target="https://amp.vexpenses.com/settings/membros-de-equipe/895954" TargetMode="External"/><Relationship Id="rId52" Type="http://schemas.openxmlformats.org/officeDocument/2006/relationships/hyperlink" Target="https://amp.vexpenses.com/settings/membros-de-equipe/891977" TargetMode="External"/><Relationship Id="rId94" Type="http://schemas.openxmlformats.org/officeDocument/2006/relationships/hyperlink" Target="https://amp.vexpenses.com/settings/membros-de-equipe/896029" TargetMode="External"/><Relationship Id="rId148" Type="http://schemas.openxmlformats.org/officeDocument/2006/relationships/hyperlink" Target="https://amp.vexpenses.com/settings/membros-de-equipe/896072" TargetMode="External"/><Relationship Id="rId355" Type="http://schemas.openxmlformats.org/officeDocument/2006/relationships/hyperlink" Target="https://amp.vexpenses.com/settings/membros-de-equipe/896242" TargetMode="External"/><Relationship Id="rId397" Type="http://schemas.openxmlformats.org/officeDocument/2006/relationships/hyperlink" Target="https://amp.vexpenses.com/settings/membros-de-equipe/896274" TargetMode="External"/><Relationship Id="rId520" Type="http://schemas.openxmlformats.org/officeDocument/2006/relationships/hyperlink" Target="https://amp.vexpenses.com/settings/membros-de-equipe/896377" TargetMode="External"/><Relationship Id="rId215" Type="http://schemas.openxmlformats.org/officeDocument/2006/relationships/hyperlink" Target="https://amp.vexpenses.com/settings/membros-de-equipe/896124" TargetMode="External"/><Relationship Id="rId257" Type="http://schemas.openxmlformats.org/officeDocument/2006/relationships/hyperlink" Target="https://amp.vexpenses.com/settings/membros-de-equipe/896163" TargetMode="External"/><Relationship Id="rId422" Type="http://schemas.openxmlformats.org/officeDocument/2006/relationships/hyperlink" Target="https://amp.vexpenses.com/settings/membros-de-equipe/896295" TargetMode="External"/><Relationship Id="rId464" Type="http://schemas.openxmlformats.org/officeDocument/2006/relationships/hyperlink" Target="https://amp.vexpenses.com/settings/membros-de-equipe/917069" TargetMode="External"/><Relationship Id="rId299" Type="http://schemas.openxmlformats.org/officeDocument/2006/relationships/hyperlink" Target="https://amp.vexpenses.com/settings/membros-de-equipe/896422" TargetMode="External"/><Relationship Id="rId63" Type="http://schemas.openxmlformats.org/officeDocument/2006/relationships/hyperlink" Target="https://amp.vexpenses.com/settings/membros-de-equipe/895998" TargetMode="External"/><Relationship Id="rId159" Type="http://schemas.openxmlformats.org/officeDocument/2006/relationships/hyperlink" Target="https://amp.vexpenses.com/settings/membros-de-equipe/896080" TargetMode="External"/><Relationship Id="rId366" Type="http://schemas.openxmlformats.org/officeDocument/2006/relationships/hyperlink" Target="https://amp.vexpenses.com/settings/membros-de-equipe/896246" TargetMode="External"/><Relationship Id="rId226" Type="http://schemas.openxmlformats.org/officeDocument/2006/relationships/hyperlink" Target="https://amp.vexpenses.com/settings/membros-de-equipe/916921" TargetMode="External"/><Relationship Id="rId433" Type="http://schemas.openxmlformats.org/officeDocument/2006/relationships/hyperlink" Target="https://amp.vexpenses.com/settings/membros-de-equipe/896302" TargetMode="External"/><Relationship Id="rId74" Type="http://schemas.openxmlformats.org/officeDocument/2006/relationships/hyperlink" Target="https://amp.vexpenses.com/settings/membros-de-equipe/896008" TargetMode="External"/><Relationship Id="rId377" Type="http://schemas.openxmlformats.org/officeDocument/2006/relationships/hyperlink" Target="https://amp.vexpenses.com/settings/membros-de-equipe/896255" TargetMode="External"/><Relationship Id="rId500" Type="http://schemas.openxmlformats.org/officeDocument/2006/relationships/hyperlink" Target="https://amp.vexpenses.com/settings/membros-de-equipe/896359" TargetMode="External"/><Relationship Id="rId5" Type="http://schemas.openxmlformats.org/officeDocument/2006/relationships/hyperlink" Target="https://amp.vexpenses.com/settings/membros-de-equipe/895947" TargetMode="External"/><Relationship Id="rId237" Type="http://schemas.openxmlformats.org/officeDocument/2006/relationships/hyperlink" Target="https://amp.vexpenses.com/settings/membros-de-equipe/896144" TargetMode="External"/><Relationship Id="rId444" Type="http://schemas.openxmlformats.org/officeDocument/2006/relationships/hyperlink" Target="https://amp.vexpenses.com/settings/membros-de-equipe/896311" TargetMode="External"/><Relationship Id="rId290" Type="http://schemas.openxmlformats.org/officeDocument/2006/relationships/hyperlink" Target="https://amp.vexpenses.com/settings/membros-de-equipe/896196" TargetMode="External"/><Relationship Id="rId304" Type="http://schemas.openxmlformats.org/officeDocument/2006/relationships/hyperlink" Target="https://amp.vexpenses.com/settings/membros-de-equipe/896207" TargetMode="External"/><Relationship Id="rId388" Type="http://schemas.openxmlformats.org/officeDocument/2006/relationships/hyperlink" Target="https://amp.vexpenses.com/settings/membros-de-equipe/924050" TargetMode="External"/><Relationship Id="rId511" Type="http://schemas.openxmlformats.org/officeDocument/2006/relationships/hyperlink" Target="https://amp.vexpenses.com/settings/membros-de-equipe/896369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917345" TargetMode="External"/><Relationship Id="rId21" Type="http://schemas.openxmlformats.org/officeDocument/2006/relationships/hyperlink" Target="https://amp.vexpenses.com/settings/membros-de-equipe/895964" TargetMode="External"/><Relationship Id="rId324" Type="http://schemas.openxmlformats.org/officeDocument/2006/relationships/hyperlink" Target="https://amp.vexpenses.com/settings/membros-de-equipe/923895" TargetMode="External"/><Relationship Id="rId531" Type="http://schemas.openxmlformats.org/officeDocument/2006/relationships/hyperlink" Target="https://amp.vexpenses.com/settings/membros-de-equipe/896189" TargetMode="External"/><Relationship Id="rId170" Type="http://schemas.openxmlformats.org/officeDocument/2006/relationships/hyperlink" Target="https://amp.vexpenses.com/settings/membros-de-equipe/896088" TargetMode="External"/><Relationship Id="rId268" Type="http://schemas.openxmlformats.org/officeDocument/2006/relationships/hyperlink" Target="https://amp.vexpenses.com/settings/membros-de-equipe/896177" TargetMode="External"/><Relationship Id="rId475" Type="http://schemas.openxmlformats.org/officeDocument/2006/relationships/hyperlink" Target="https://amp.vexpenses.com/settings/membros-de-equipe/896352" TargetMode="External"/><Relationship Id="rId32" Type="http://schemas.openxmlformats.org/officeDocument/2006/relationships/hyperlink" Target="https://amp.vexpenses.com/settings/membros-de-equipe/895971" TargetMode="External"/><Relationship Id="rId128" Type="http://schemas.openxmlformats.org/officeDocument/2006/relationships/hyperlink" Target="https://amp.vexpenses.com/settings/membros-de-equipe/896055" TargetMode="External"/><Relationship Id="rId335" Type="http://schemas.openxmlformats.org/officeDocument/2006/relationships/hyperlink" Target="https://amp.vexpenses.com/settings/membros-de-equipe/896229" TargetMode="External"/><Relationship Id="rId5" Type="http://schemas.openxmlformats.org/officeDocument/2006/relationships/hyperlink" Target="https://amp.vexpenses.com/settings/membros-de-equipe/895947" TargetMode="External"/><Relationship Id="rId181" Type="http://schemas.openxmlformats.org/officeDocument/2006/relationships/hyperlink" Target="https://amp.vexpenses.com/settings/membros-de-equipe/896096" TargetMode="External"/><Relationship Id="rId237" Type="http://schemas.openxmlformats.org/officeDocument/2006/relationships/hyperlink" Target="https://amp.vexpenses.com/settings/membros-de-equipe/896149" TargetMode="External"/><Relationship Id="rId402" Type="http://schemas.openxmlformats.org/officeDocument/2006/relationships/hyperlink" Target="https://amp.vexpenses.com/settings/membros-de-equipe/896284" TargetMode="External"/><Relationship Id="rId279" Type="http://schemas.openxmlformats.org/officeDocument/2006/relationships/hyperlink" Target="https://amp.vexpenses.com/settings/membros-de-equipe/896187" TargetMode="External"/><Relationship Id="rId444" Type="http://schemas.openxmlformats.org/officeDocument/2006/relationships/hyperlink" Target="https://amp.vexpenses.com/settings/membros-de-equipe/896316" TargetMode="External"/><Relationship Id="rId486" Type="http://schemas.openxmlformats.org/officeDocument/2006/relationships/hyperlink" Target="https://amp.vexpenses.com/settings/membros-de-equipe/896354" TargetMode="External"/><Relationship Id="rId43" Type="http://schemas.openxmlformats.org/officeDocument/2006/relationships/hyperlink" Target="https://amp.vexpenses.com/settings/membros-de-equipe/895981" TargetMode="External"/><Relationship Id="rId139" Type="http://schemas.openxmlformats.org/officeDocument/2006/relationships/hyperlink" Target="https://amp.vexpenses.com/settings/membros-de-equipe/896065" TargetMode="External"/><Relationship Id="rId290" Type="http://schemas.openxmlformats.org/officeDocument/2006/relationships/hyperlink" Target="https://amp.vexpenses.com/settings/membros-de-equipe/896200" TargetMode="External"/><Relationship Id="rId304" Type="http://schemas.openxmlformats.org/officeDocument/2006/relationships/hyperlink" Target="https://amp.vexpenses.com/settings/membros-de-equipe/896210" TargetMode="External"/><Relationship Id="rId346" Type="http://schemas.openxmlformats.org/officeDocument/2006/relationships/hyperlink" Target="https://amp.vexpenses.com/settings/membros-de-equipe/896238" TargetMode="External"/><Relationship Id="rId388" Type="http://schemas.openxmlformats.org/officeDocument/2006/relationships/hyperlink" Target="https://amp.vexpenses.com/settings/membros-de-equipe/896271" TargetMode="External"/><Relationship Id="rId511" Type="http://schemas.openxmlformats.org/officeDocument/2006/relationships/hyperlink" Target="https://amp.vexpenses.com/settings/membros-de-equipe/896378" TargetMode="External"/><Relationship Id="rId85" Type="http://schemas.openxmlformats.org/officeDocument/2006/relationships/hyperlink" Target="https://amp.vexpenses.com/settings/membros-de-equipe/896021" TargetMode="External"/><Relationship Id="rId150" Type="http://schemas.openxmlformats.org/officeDocument/2006/relationships/hyperlink" Target="https://amp.vexpenses.com/settings/membros-de-equipe/896075" TargetMode="External"/><Relationship Id="rId192" Type="http://schemas.openxmlformats.org/officeDocument/2006/relationships/hyperlink" Target="https://amp.vexpenses.com/settings/membros-de-equipe/896109" TargetMode="External"/><Relationship Id="rId206" Type="http://schemas.openxmlformats.org/officeDocument/2006/relationships/hyperlink" Target="https://amp.vexpenses.com/settings/membros-de-equipe/896120" TargetMode="External"/><Relationship Id="rId413" Type="http://schemas.openxmlformats.org/officeDocument/2006/relationships/hyperlink" Target="https://amp.vexpenses.com/settings/membros-de-equipe/896294" TargetMode="External"/><Relationship Id="rId248" Type="http://schemas.openxmlformats.org/officeDocument/2006/relationships/hyperlink" Target="https://amp.vexpenses.com/settings/membros-de-equipe/896159" TargetMode="External"/><Relationship Id="rId455" Type="http://schemas.openxmlformats.org/officeDocument/2006/relationships/hyperlink" Target="https://amp.vexpenses.com/settings/membros-de-equipe/896335" TargetMode="External"/><Relationship Id="rId497" Type="http://schemas.openxmlformats.org/officeDocument/2006/relationships/hyperlink" Target="https://amp.vexpenses.com/settings/membros-de-equipe/896362" TargetMode="External"/><Relationship Id="rId12" Type="http://schemas.openxmlformats.org/officeDocument/2006/relationships/hyperlink" Target="https://amp.vexpenses.com/settings/membros-de-equipe/895956" TargetMode="External"/><Relationship Id="rId108" Type="http://schemas.openxmlformats.org/officeDocument/2006/relationships/hyperlink" Target="https://amp.vexpenses.com/settings/membros-de-equipe/930913" TargetMode="External"/><Relationship Id="rId315" Type="http://schemas.openxmlformats.org/officeDocument/2006/relationships/hyperlink" Target="https://amp.vexpenses.com/settings/membros-de-equipe/896218" TargetMode="External"/><Relationship Id="rId357" Type="http://schemas.openxmlformats.org/officeDocument/2006/relationships/hyperlink" Target="https://amp.vexpenses.com/settings/membros-de-equipe/935493" TargetMode="External"/><Relationship Id="rId522" Type="http://schemas.openxmlformats.org/officeDocument/2006/relationships/hyperlink" Target="https://amp.vexpenses.com/settings/membros-de-equipe/896390" TargetMode="External"/><Relationship Id="rId54" Type="http://schemas.openxmlformats.org/officeDocument/2006/relationships/hyperlink" Target="https://amp.vexpenses.com/settings/membros-de-equipe/895991" TargetMode="External"/><Relationship Id="rId96" Type="http://schemas.openxmlformats.org/officeDocument/2006/relationships/hyperlink" Target="https://amp.vexpenses.com/settings/membros-de-equipe/896032" TargetMode="External"/><Relationship Id="rId161" Type="http://schemas.openxmlformats.org/officeDocument/2006/relationships/hyperlink" Target="https://amp.vexpenses.com/settings/membros-de-equipe/920872" TargetMode="External"/><Relationship Id="rId217" Type="http://schemas.openxmlformats.org/officeDocument/2006/relationships/hyperlink" Target="https://amp.vexpenses.com/settings/membros-de-equipe/896129" TargetMode="External"/><Relationship Id="rId399" Type="http://schemas.openxmlformats.org/officeDocument/2006/relationships/hyperlink" Target="https://amp.vexpenses.com/settings/membros-de-equipe/896281" TargetMode="External"/><Relationship Id="rId259" Type="http://schemas.openxmlformats.org/officeDocument/2006/relationships/hyperlink" Target="https://amp.vexpenses.com/settings/membros-de-equipe/896168" TargetMode="External"/><Relationship Id="rId424" Type="http://schemas.openxmlformats.org/officeDocument/2006/relationships/hyperlink" Target="https://amp.vexpenses.com/settings/membros-de-equipe/933590" TargetMode="External"/><Relationship Id="rId466" Type="http://schemas.openxmlformats.org/officeDocument/2006/relationships/hyperlink" Target="https://amp.vexpenses.com/settings/membros-de-equipe/896344" TargetMode="External"/><Relationship Id="rId23" Type="http://schemas.openxmlformats.org/officeDocument/2006/relationships/hyperlink" Target="https://amp.vexpenses.com/settings/membros-de-equipe/917314" TargetMode="External"/><Relationship Id="rId119" Type="http://schemas.openxmlformats.org/officeDocument/2006/relationships/hyperlink" Target="https://amp.vexpenses.com/settings/membros-de-equipe/896046" TargetMode="External"/><Relationship Id="rId270" Type="http://schemas.openxmlformats.org/officeDocument/2006/relationships/hyperlink" Target="https://amp.vexpenses.com/settings/membros-de-equipe/896179" TargetMode="External"/><Relationship Id="rId326" Type="http://schemas.openxmlformats.org/officeDocument/2006/relationships/hyperlink" Target="https://amp.vexpenses.com/settings/membros-de-equipe/896423" TargetMode="External"/><Relationship Id="rId65" Type="http://schemas.openxmlformats.org/officeDocument/2006/relationships/hyperlink" Target="https://amp.vexpenses.com/settings/membros-de-equipe/896000" TargetMode="External"/><Relationship Id="rId130" Type="http://schemas.openxmlformats.org/officeDocument/2006/relationships/hyperlink" Target="https://amp.vexpenses.com/settings/membros-de-equipe/896058" TargetMode="External"/><Relationship Id="rId368" Type="http://schemas.openxmlformats.org/officeDocument/2006/relationships/hyperlink" Target="https://amp.vexpenses.com/settings/membros-de-equipe/896253" TargetMode="External"/><Relationship Id="rId172" Type="http://schemas.openxmlformats.org/officeDocument/2006/relationships/hyperlink" Target="https://amp.vexpenses.com/settings/membros-de-equipe/896090" TargetMode="External"/><Relationship Id="rId228" Type="http://schemas.openxmlformats.org/officeDocument/2006/relationships/hyperlink" Target="https://amp.vexpenses.com/settings/membros-de-equipe/896140" TargetMode="External"/><Relationship Id="rId435" Type="http://schemas.openxmlformats.org/officeDocument/2006/relationships/hyperlink" Target="https://amp.vexpenses.com/settings/membros-de-equipe/896308" TargetMode="External"/><Relationship Id="rId477" Type="http://schemas.openxmlformats.org/officeDocument/2006/relationships/hyperlink" Target="https://amp.vexpenses.com/settings/membros-de-equipe/896217" TargetMode="External"/><Relationship Id="rId281" Type="http://schemas.openxmlformats.org/officeDocument/2006/relationships/hyperlink" Target="https://amp.vexpenses.com/settings/membros-de-equipe/896189" TargetMode="External"/><Relationship Id="rId337" Type="http://schemas.openxmlformats.org/officeDocument/2006/relationships/hyperlink" Target="https://amp.vexpenses.com/settings/membros-de-equipe/896231" TargetMode="External"/><Relationship Id="rId502" Type="http://schemas.openxmlformats.org/officeDocument/2006/relationships/hyperlink" Target="https://amp.vexpenses.com/settings/membros-de-equipe/922852" TargetMode="External"/><Relationship Id="rId34" Type="http://schemas.openxmlformats.org/officeDocument/2006/relationships/hyperlink" Target="https://amp.vexpenses.com/settings/membros-de-equipe/895974" TargetMode="External"/><Relationship Id="rId76" Type="http://schemas.openxmlformats.org/officeDocument/2006/relationships/hyperlink" Target="https://amp.vexpenses.com/settings/membros-de-equipe/896012" TargetMode="External"/><Relationship Id="rId141" Type="http://schemas.openxmlformats.org/officeDocument/2006/relationships/hyperlink" Target="https://amp.vexpenses.com/settings/membros-de-equipe/896067" TargetMode="External"/><Relationship Id="rId379" Type="http://schemas.openxmlformats.org/officeDocument/2006/relationships/hyperlink" Target="https://amp.vexpenses.com/settings/membros-de-equipe/896264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896099" TargetMode="External"/><Relationship Id="rId239" Type="http://schemas.openxmlformats.org/officeDocument/2006/relationships/hyperlink" Target="https://amp.vexpenses.com/settings/membros-de-equipe/923651" TargetMode="External"/><Relationship Id="rId390" Type="http://schemas.openxmlformats.org/officeDocument/2006/relationships/hyperlink" Target="https://amp.vexpenses.com/settings/membros-de-equipe/896273" TargetMode="External"/><Relationship Id="rId404" Type="http://schemas.openxmlformats.org/officeDocument/2006/relationships/hyperlink" Target="https://amp.vexpenses.com/settings/membros-de-equipe/896286" TargetMode="External"/><Relationship Id="rId446" Type="http://schemas.openxmlformats.org/officeDocument/2006/relationships/hyperlink" Target="https://amp.vexpenses.com/settings/membros-de-equipe/896318" TargetMode="External"/><Relationship Id="rId250" Type="http://schemas.openxmlformats.org/officeDocument/2006/relationships/hyperlink" Target="https://amp.vexpenses.com/settings/membros-de-equipe/930413" TargetMode="External"/><Relationship Id="rId292" Type="http://schemas.openxmlformats.org/officeDocument/2006/relationships/hyperlink" Target="https://amp.vexpenses.com/settings/membros-de-equipe/896202" TargetMode="External"/><Relationship Id="rId306" Type="http://schemas.openxmlformats.org/officeDocument/2006/relationships/hyperlink" Target="https://amp.vexpenses.com/settings/membros-de-equipe/922276" TargetMode="External"/><Relationship Id="rId488" Type="http://schemas.openxmlformats.org/officeDocument/2006/relationships/hyperlink" Target="https://amp.vexpenses.com/settings/membros-de-equipe/896358" TargetMode="External"/><Relationship Id="rId45" Type="http://schemas.openxmlformats.org/officeDocument/2006/relationships/hyperlink" Target="https://amp.vexpenses.com/settings/membros-de-equipe/895983" TargetMode="External"/><Relationship Id="rId87" Type="http://schemas.openxmlformats.org/officeDocument/2006/relationships/hyperlink" Target="https://amp.vexpenses.com/settings/membros-de-equipe/896023" TargetMode="External"/><Relationship Id="rId110" Type="http://schemas.openxmlformats.org/officeDocument/2006/relationships/hyperlink" Target="https://amp.vexpenses.com/settings/membros-de-equipe/896040" TargetMode="External"/><Relationship Id="rId348" Type="http://schemas.openxmlformats.org/officeDocument/2006/relationships/hyperlink" Target="https://amp.vexpenses.com/settings/membros-de-equipe/896240" TargetMode="External"/><Relationship Id="rId513" Type="http://schemas.openxmlformats.org/officeDocument/2006/relationships/hyperlink" Target="https://amp.vexpenses.com/settings/membros-de-equipe/896380" TargetMode="External"/><Relationship Id="rId152" Type="http://schemas.openxmlformats.org/officeDocument/2006/relationships/hyperlink" Target="https://amp.vexpenses.com/settings/membros-de-equipe/896076" TargetMode="External"/><Relationship Id="rId194" Type="http://schemas.openxmlformats.org/officeDocument/2006/relationships/hyperlink" Target="https://amp.vexpenses.com/settings/membros-de-equipe/896111" TargetMode="External"/><Relationship Id="rId208" Type="http://schemas.openxmlformats.org/officeDocument/2006/relationships/hyperlink" Target="https://amp.vexpenses.com/settings/membros-de-equipe/916905" TargetMode="External"/><Relationship Id="rId415" Type="http://schemas.openxmlformats.org/officeDocument/2006/relationships/hyperlink" Target="https://amp.vexpenses.com/settings/membros-de-equipe/920825" TargetMode="External"/><Relationship Id="rId457" Type="http://schemas.openxmlformats.org/officeDocument/2006/relationships/hyperlink" Target="https://amp.vexpenses.com/settings/membros-de-equipe/896336" TargetMode="External"/><Relationship Id="rId261" Type="http://schemas.openxmlformats.org/officeDocument/2006/relationships/hyperlink" Target="https://amp.vexpenses.com/settings/membros-de-equipe/896171" TargetMode="External"/><Relationship Id="rId499" Type="http://schemas.openxmlformats.org/officeDocument/2006/relationships/hyperlink" Target="https://amp.vexpenses.com/settings/membros-de-equipe/917052" TargetMode="External"/><Relationship Id="rId14" Type="http://schemas.openxmlformats.org/officeDocument/2006/relationships/hyperlink" Target="https://amp.vexpenses.com/settings/membros-de-equipe/895957" TargetMode="External"/><Relationship Id="rId56" Type="http://schemas.openxmlformats.org/officeDocument/2006/relationships/hyperlink" Target="https://amp.vexpenses.com/settings/membros-de-equipe/895993" TargetMode="External"/><Relationship Id="rId317" Type="http://schemas.openxmlformats.org/officeDocument/2006/relationships/hyperlink" Target="https://amp.vexpenses.com/settings/membros-de-equipe/917357" TargetMode="External"/><Relationship Id="rId359" Type="http://schemas.openxmlformats.org/officeDocument/2006/relationships/hyperlink" Target="https://amp.vexpenses.com/settings/membros-de-equipe/929759" TargetMode="External"/><Relationship Id="rId524" Type="http://schemas.openxmlformats.org/officeDocument/2006/relationships/hyperlink" Target="https://amp.vexpenses.com/settings/membros-de-equipe/896392" TargetMode="External"/><Relationship Id="rId98" Type="http://schemas.openxmlformats.org/officeDocument/2006/relationships/hyperlink" Target="https://amp.vexpenses.com/settings/membros-de-equipe/930403" TargetMode="External"/><Relationship Id="rId121" Type="http://schemas.openxmlformats.org/officeDocument/2006/relationships/hyperlink" Target="https://amp.vexpenses.com/settings/membros-de-equipe/896048" TargetMode="External"/><Relationship Id="rId163" Type="http://schemas.openxmlformats.org/officeDocument/2006/relationships/hyperlink" Target="https://amp.vexpenses.com/settings/membros-de-equipe/896083" TargetMode="External"/><Relationship Id="rId219" Type="http://schemas.openxmlformats.org/officeDocument/2006/relationships/hyperlink" Target="https://amp.vexpenses.com/settings/membros-de-equipe/896132" TargetMode="External"/><Relationship Id="rId370" Type="http://schemas.openxmlformats.org/officeDocument/2006/relationships/hyperlink" Target="https://amp.vexpenses.com/settings/membros-de-equipe/896333" TargetMode="External"/><Relationship Id="rId426" Type="http://schemas.openxmlformats.org/officeDocument/2006/relationships/hyperlink" Target="https://amp.vexpenses.com/settings/membros-de-equipe/896302" TargetMode="External"/><Relationship Id="rId230" Type="http://schemas.openxmlformats.org/officeDocument/2006/relationships/hyperlink" Target="https://amp.vexpenses.com/settings/membros-de-equipe/896142" TargetMode="External"/><Relationship Id="rId468" Type="http://schemas.openxmlformats.org/officeDocument/2006/relationships/hyperlink" Target="https://amp.vexpenses.com/settings/membros-de-equipe/896257" TargetMode="External"/><Relationship Id="rId25" Type="http://schemas.openxmlformats.org/officeDocument/2006/relationships/hyperlink" Target="https://amp.vexpenses.com/settings/membros-de-equipe/895967" TargetMode="External"/><Relationship Id="rId67" Type="http://schemas.openxmlformats.org/officeDocument/2006/relationships/hyperlink" Target="https://amp.vexpenses.com/settings/membros-de-equipe/896002" TargetMode="External"/><Relationship Id="rId272" Type="http://schemas.openxmlformats.org/officeDocument/2006/relationships/hyperlink" Target="https://amp.vexpenses.com/settings/membros-de-equipe/896181" TargetMode="External"/><Relationship Id="rId328" Type="http://schemas.openxmlformats.org/officeDocument/2006/relationships/hyperlink" Target="https://amp.vexpenses.com/settings/membros-de-equipe/896223" TargetMode="External"/><Relationship Id="rId132" Type="http://schemas.openxmlformats.org/officeDocument/2006/relationships/hyperlink" Target="https://amp.vexpenses.com/settings/membros-de-equipe/896060" TargetMode="External"/><Relationship Id="rId174" Type="http://schemas.openxmlformats.org/officeDocument/2006/relationships/hyperlink" Target="https://amp.vexpenses.com/settings/membros-de-equipe/944251" TargetMode="External"/><Relationship Id="rId381" Type="http://schemas.openxmlformats.org/officeDocument/2006/relationships/hyperlink" Target="https://amp.vexpenses.com/settings/membros-de-equipe/896266" TargetMode="External"/><Relationship Id="rId241" Type="http://schemas.openxmlformats.org/officeDocument/2006/relationships/hyperlink" Target="https://amp.vexpenses.com/settings/membros-de-equipe/896152" TargetMode="External"/><Relationship Id="rId437" Type="http://schemas.openxmlformats.org/officeDocument/2006/relationships/hyperlink" Target="https://amp.vexpenses.com/settings/membros-de-equipe/896311" TargetMode="External"/><Relationship Id="rId479" Type="http://schemas.openxmlformats.org/officeDocument/2006/relationships/hyperlink" Target="https://amp.vexpenses.com/settings/membros-de-equipe/896034" TargetMode="External"/><Relationship Id="rId36" Type="http://schemas.openxmlformats.org/officeDocument/2006/relationships/hyperlink" Target="https://amp.vexpenses.com/settings/membros-de-equipe/895975" TargetMode="External"/><Relationship Id="rId283" Type="http://schemas.openxmlformats.org/officeDocument/2006/relationships/hyperlink" Target="https://amp.vexpenses.com/settings/membros-de-equipe/896192" TargetMode="External"/><Relationship Id="rId339" Type="http://schemas.openxmlformats.org/officeDocument/2006/relationships/hyperlink" Target="https://amp.vexpenses.com/settings/membros-de-equipe/896232" TargetMode="External"/><Relationship Id="rId490" Type="http://schemas.openxmlformats.org/officeDocument/2006/relationships/hyperlink" Target="https://amp.vexpenses.com/settings/membros-de-equipe/930440" TargetMode="External"/><Relationship Id="rId504" Type="http://schemas.openxmlformats.org/officeDocument/2006/relationships/hyperlink" Target="https://amp.vexpenses.com/settings/membros-de-equipe/896373" TargetMode="External"/><Relationship Id="rId78" Type="http://schemas.openxmlformats.org/officeDocument/2006/relationships/hyperlink" Target="https://amp.vexpenses.com/settings/membros-de-equipe/896015" TargetMode="External"/><Relationship Id="rId101" Type="http://schemas.openxmlformats.org/officeDocument/2006/relationships/hyperlink" Target="https://amp.vexpenses.com/settings/membros-de-equipe/921947" TargetMode="External"/><Relationship Id="rId143" Type="http://schemas.openxmlformats.org/officeDocument/2006/relationships/hyperlink" Target="https://amp.vexpenses.com/settings/membros-de-equipe/896069" TargetMode="External"/><Relationship Id="rId185" Type="http://schemas.openxmlformats.org/officeDocument/2006/relationships/hyperlink" Target="https://amp.vexpenses.com/settings/membros-de-equipe/896102" TargetMode="External"/><Relationship Id="rId350" Type="http://schemas.openxmlformats.org/officeDocument/2006/relationships/hyperlink" Target="https://amp.vexpenses.com/settings/membros-de-equipe/896242" TargetMode="External"/><Relationship Id="rId406" Type="http://schemas.openxmlformats.org/officeDocument/2006/relationships/hyperlink" Target="https://amp.vexpenses.com/settings/membros-de-equipe/896287" TargetMode="External"/><Relationship Id="rId9" Type="http://schemas.openxmlformats.org/officeDocument/2006/relationships/hyperlink" Target="https://amp.vexpenses.com/settings/membros-de-equipe/895952" TargetMode="External"/><Relationship Id="rId210" Type="http://schemas.openxmlformats.org/officeDocument/2006/relationships/hyperlink" Target="https://amp.vexpenses.com/settings/membros-de-equipe/929761" TargetMode="External"/><Relationship Id="rId392" Type="http://schemas.openxmlformats.org/officeDocument/2006/relationships/hyperlink" Target="https://amp.vexpenses.com/settings/membros-de-equipe/896275" TargetMode="External"/><Relationship Id="rId448" Type="http://schemas.openxmlformats.org/officeDocument/2006/relationships/hyperlink" Target="https://amp.vexpenses.com/settings/membros-de-equipe/896321" TargetMode="External"/><Relationship Id="rId252" Type="http://schemas.openxmlformats.org/officeDocument/2006/relationships/hyperlink" Target="https://amp.vexpenses.com/settings/membros-de-equipe/896162" TargetMode="External"/><Relationship Id="rId294" Type="http://schemas.openxmlformats.org/officeDocument/2006/relationships/hyperlink" Target="https://amp.vexpenses.com/settings/membros-de-equipe/896204" TargetMode="External"/><Relationship Id="rId308" Type="http://schemas.openxmlformats.org/officeDocument/2006/relationships/hyperlink" Target="https://amp.vexpenses.com/settings/membros-de-equipe/896213" TargetMode="External"/><Relationship Id="rId515" Type="http://schemas.openxmlformats.org/officeDocument/2006/relationships/hyperlink" Target="https://amp.vexpenses.com/settings/membros-de-equipe/896383" TargetMode="External"/><Relationship Id="rId47" Type="http://schemas.openxmlformats.org/officeDocument/2006/relationships/hyperlink" Target="https://amp.vexpenses.com/settings/membros-de-equipe/895985" TargetMode="External"/><Relationship Id="rId89" Type="http://schemas.openxmlformats.org/officeDocument/2006/relationships/hyperlink" Target="https://amp.vexpenses.com/settings/membros-de-equipe/896025" TargetMode="External"/><Relationship Id="rId112" Type="http://schemas.openxmlformats.org/officeDocument/2006/relationships/hyperlink" Target="https://amp.vexpenses.com/settings/membros-de-equipe/896419" TargetMode="External"/><Relationship Id="rId154" Type="http://schemas.openxmlformats.org/officeDocument/2006/relationships/hyperlink" Target="https://amp.vexpenses.com/settings/membros-de-equipe/896077" TargetMode="External"/><Relationship Id="rId361" Type="http://schemas.openxmlformats.org/officeDocument/2006/relationships/hyperlink" Target="https://amp.vexpenses.com/settings/membros-de-equipe/896248" TargetMode="External"/><Relationship Id="rId196" Type="http://schemas.openxmlformats.org/officeDocument/2006/relationships/hyperlink" Target="https://amp.vexpenses.com/settings/membros-de-equipe/896112" TargetMode="External"/><Relationship Id="rId417" Type="http://schemas.openxmlformats.org/officeDocument/2006/relationships/hyperlink" Target="https://amp.vexpenses.com/settings/membros-de-equipe/896297" TargetMode="External"/><Relationship Id="rId459" Type="http://schemas.openxmlformats.org/officeDocument/2006/relationships/hyperlink" Target="https://amp.vexpenses.com/settings/membros-de-equipe/917059" TargetMode="External"/><Relationship Id="rId16" Type="http://schemas.openxmlformats.org/officeDocument/2006/relationships/hyperlink" Target="https://amp.vexpenses.com/settings/membros-de-equipe/929763" TargetMode="External"/><Relationship Id="rId221" Type="http://schemas.openxmlformats.org/officeDocument/2006/relationships/hyperlink" Target="https://amp.vexpenses.com/settings/membros-de-equipe/896133" TargetMode="External"/><Relationship Id="rId263" Type="http://schemas.openxmlformats.org/officeDocument/2006/relationships/hyperlink" Target="https://amp.vexpenses.com/settings/membros-de-equipe/896173" TargetMode="External"/><Relationship Id="rId319" Type="http://schemas.openxmlformats.org/officeDocument/2006/relationships/hyperlink" Target="https://amp.vexpenses.com/settings/membros-de-equipe/896219" TargetMode="External"/><Relationship Id="rId470" Type="http://schemas.openxmlformats.org/officeDocument/2006/relationships/hyperlink" Target="https://amp.vexpenses.com/settings/membros-de-equipe/896347" TargetMode="External"/><Relationship Id="rId526" Type="http://schemas.openxmlformats.org/officeDocument/2006/relationships/hyperlink" Target="https://amp.vexpenses.com/settings/membros-de-equipe/896393" TargetMode="External"/><Relationship Id="rId58" Type="http://schemas.openxmlformats.org/officeDocument/2006/relationships/hyperlink" Target="https://amp.vexpenses.com/settings/membros-de-equipe/920071" TargetMode="External"/><Relationship Id="rId123" Type="http://schemas.openxmlformats.org/officeDocument/2006/relationships/hyperlink" Target="https://amp.vexpenses.com/settings/membros-de-equipe/896050" TargetMode="External"/><Relationship Id="rId330" Type="http://schemas.openxmlformats.org/officeDocument/2006/relationships/hyperlink" Target="https://amp.vexpenses.com/settings/membros-de-equipe/896225" TargetMode="External"/><Relationship Id="rId165" Type="http://schemas.openxmlformats.org/officeDocument/2006/relationships/hyperlink" Target="https://amp.vexpenses.com/settings/membros-de-equipe/896084" TargetMode="External"/><Relationship Id="rId372" Type="http://schemas.openxmlformats.org/officeDocument/2006/relationships/hyperlink" Target="https://amp.vexpenses.com/settings/membros-de-equipe/896256" TargetMode="External"/><Relationship Id="rId428" Type="http://schemas.openxmlformats.org/officeDocument/2006/relationships/hyperlink" Target="https://amp.vexpenses.com/settings/membros-de-equipe/923649" TargetMode="External"/><Relationship Id="rId232" Type="http://schemas.openxmlformats.org/officeDocument/2006/relationships/hyperlink" Target="https://amp.vexpenses.com/settings/membros-de-equipe/923893" TargetMode="External"/><Relationship Id="rId274" Type="http://schemas.openxmlformats.org/officeDocument/2006/relationships/hyperlink" Target="https://amp.vexpenses.com/settings/membros-de-equipe/896183" TargetMode="External"/><Relationship Id="rId481" Type="http://schemas.openxmlformats.org/officeDocument/2006/relationships/hyperlink" Target="https://amp.vexpenses.com/settings/membros-de-equipe/896394" TargetMode="External"/><Relationship Id="rId27" Type="http://schemas.openxmlformats.org/officeDocument/2006/relationships/hyperlink" Target="https://amp.vexpenses.com/settings/membros-de-equipe/895968" TargetMode="External"/><Relationship Id="rId69" Type="http://schemas.openxmlformats.org/officeDocument/2006/relationships/hyperlink" Target="https://amp.vexpenses.com/settings/membros-de-equipe/896004" TargetMode="External"/><Relationship Id="rId134" Type="http://schemas.openxmlformats.org/officeDocument/2006/relationships/hyperlink" Target="https://amp.vexpenses.com/settings/membros-de-equipe/896062" TargetMode="External"/><Relationship Id="rId80" Type="http://schemas.openxmlformats.org/officeDocument/2006/relationships/hyperlink" Target="https://amp.vexpenses.com/settings/membros-de-equipe/896017" TargetMode="External"/><Relationship Id="rId176" Type="http://schemas.openxmlformats.org/officeDocument/2006/relationships/hyperlink" Target="https://amp.vexpenses.com/settings/membros-de-equipe/896091" TargetMode="External"/><Relationship Id="rId341" Type="http://schemas.openxmlformats.org/officeDocument/2006/relationships/hyperlink" Target="https://amp.vexpenses.com/settings/membros-de-equipe/896234" TargetMode="External"/><Relationship Id="rId383" Type="http://schemas.openxmlformats.org/officeDocument/2006/relationships/hyperlink" Target="https://amp.vexpenses.com/settings/membros-de-equipe/917363" TargetMode="External"/><Relationship Id="rId439" Type="http://schemas.openxmlformats.org/officeDocument/2006/relationships/hyperlink" Target="https://amp.vexpenses.com/settings/membros-de-equipe/896313" TargetMode="External"/><Relationship Id="rId201" Type="http://schemas.openxmlformats.org/officeDocument/2006/relationships/hyperlink" Target="https://amp.vexpenses.com/settings/membros-de-equipe/896117" TargetMode="External"/><Relationship Id="rId243" Type="http://schemas.openxmlformats.org/officeDocument/2006/relationships/hyperlink" Target="https://amp.vexpenses.com/settings/membros-de-equipe/896154" TargetMode="External"/><Relationship Id="rId285" Type="http://schemas.openxmlformats.org/officeDocument/2006/relationships/hyperlink" Target="https://amp.vexpenses.com/settings/membros-de-equipe/896195" TargetMode="External"/><Relationship Id="rId450" Type="http://schemas.openxmlformats.org/officeDocument/2006/relationships/hyperlink" Target="https://amp.vexpenses.com/settings/membros-de-equipe/930412" TargetMode="External"/><Relationship Id="rId506" Type="http://schemas.openxmlformats.org/officeDocument/2006/relationships/hyperlink" Target="https://amp.vexpenses.com/settings/membros-de-equipe/896366" TargetMode="External"/><Relationship Id="rId38" Type="http://schemas.openxmlformats.org/officeDocument/2006/relationships/hyperlink" Target="https://amp.vexpenses.com/settings/membros-de-equipe/891979" TargetMode="External"/><Relationship Id="rId103" Type="http://schemas.openxmlformats.org/officeDocument/2006/relationships/hyperlink" Target="https://amp.vexpenses.com/settings/membros-de-equipe/896036" TargetMode="External"/><Relationship Id="rId310" Type="http://schemas.openxmlformats.org/officeDocument/2006/relationships/hyperlink" Target="https://amp.vexpenses.com/settings/membros-de-equipe/896214" TargetMode="External"/><Relationship Id="rId492" Type="http://schemas.openxmlformats.org/officeDocument/2006/relationships/hyperlink" Target="https://amp.vexpenses.com/settings/membros-de-equipe/896360" TargetMode="External"/><Relationship Id="rId91" Type="http://schemas.openxmlformats.org/officeDocument/2006/relationships/hyperlink" Target="https://amp.vexpenses.com/settings/membros-de-equipe/896027" TargetMode="External"/><Relationship Id="rId145" Type="http://schemas.openxmlformats.org/officeDocument/2006/relationships/hyperlink" Target="https://amp.vexpenses.com/settings/membros-de-equipe/896070" TargetMode="External"/><Relationship Id="rId187" Type="http://schemas.openxmlformats.org/officeDocument/2006/relationships/hyperlink" Target="https://amp.vexpenses.com/settings/membros-de-equipe/896104" TargetMode="External"/><Relationship Id="rId352" Type="http://schemas.openxmlformats.org/officeDocument/2006/relationships/hyperlink" Target="https://amp.vexpenses.com/settings/membros-de-equipe/933048" TargetMode="External"/><Relationship Id="rId394" Type="http://schemas.openxmlformats.org/officeDocument/2006/relationships/hyperlink" Target="https://amp.vexpenses.com/settings/membros-de-equipe/896277" TargetMode="External"/><Relationship Id="rId408" Type="http://schemas.openxmlformats.org/officeDocument/2006/relationships/hyperlink" Target="https://amp.vexpenses.com/settings/membros-de-equipe/896289" TargetMode="External"/><Relationship Id="rId212" Type="http://schemas.openxmlformats.org/officeDocument/2006/relationships/hyperlink" Target="https://amp.vexpenses.com/settings/membros-de-equipe/896124" TargetMode="External"/><Relationship Id="rId254" Type="http://schemas.openxmlformats.org/officeDocument/2006/relationships/hyperlink" Target="https://amp.vexpenses.com/settings/membros-de-equipe/916884" TargetMode="External"/><Relationship Id="rId49" Type="http://schemas.openxmlformats.org/officeDocument/2006/relationships/hyperlink" Target="https://amp.vexpenses.com/settings/membros-de-equipe/895986" TargetMode="External"/><Relationship Id="rId114" Type="http://schemas.openxmlformats.org/officeDocument/2006/relationships/hyperlink" Target="https://amp.vexpenses.com/settings/membros-de-equipe/917060" TargetMode="External"/><Relationship Id="rId296" Type="http://schemas.openxmlformats.org/officeDocument/2006/relationships/hyperlink" Target="https://amp.vexpenses.com/settings/membros-de-equipe/923628" TargetMode="External"/><Relationship Id="rId461" Type="http://schemas.openxmlformats.org/officeDocument/2006/relationships/hyperlink" Target="https://amp.vexpenses.com/settings/membros-de-equipe/896338" TargetMode="External"/><Relationship Id="rId517" Type="http://schemas.openxmlformats.org/officeDocument/2006/relationships/hyperlink" Target="https://amp.vexpenses.com/settings/membros-de-equipe/896384" TargetMode="External"/><Relationship Id="rId60" Type="http://schemas.openxmlformats.org/officeDocument/2006/relationships/hyperlink" Target="https://amp.vexpenses.com/settings/membros-de-equipe/895997" TargetMode="External"/><Relationship Id="rId156" Type="http://schemas.openxmlformats.org/officeDocument/2006/relationships/hyperlink" Target="https://amp.vexpenses.com/settings/membros-de-equipe/896079" TargetMode="External"/><Relationship Id="rId198" Type="http://schemas.openxmlformats.org/officeDocument/2006/relationships/hyperlink" Target="https://amp.vexpenses.com/settings/membros-de-equipe/930400" TargetMode="External"/><Relationship Id="rId321" Type="http://schemas.openxmlformats.org/officeDocument/2006/relationships/hyperlink" Target="https://amp.vexpenses.com/settings/membros-de-equipe/891904" TargetMode="External"/><Relationship Id="rId363" Type="http://schemas.openxmlformats.org/officeDocument/2006/relationships/hyperlink" Target="https://amp.vexpenses.com/settings/membros-de-equipe/896250" TargetMode="External"/><Relationship Id="rId419" Type="http://schemas.openxmlformats.org/officeDocument/2006/relationships/hyperlink" Target="https://amp.vexpenses.com/settings/membros-de-equipe/896298" TargetMode="External"/><Relationship Id="rId223" Type="http://schemas.openxmlformats.org/officeDocument/2006/relationships/hyperlink" Target="https://amp.vexpenses.com/settings/membros-de-equipe/916921" TargetMode="External"/><Relationship Id="rId430" Type="http://schemas.openxmlformats.org/officeDocument/2006/relationships/hyperlink" Target="https://amp.vexpenses.com/settings/membros-de-equipe/921795" TargetMode="External"/><Relationship Id="rId18" Type="http://schemas.openxmlformats.org/officeDocument/2006/relationships/hyperlink" Target="https://amp.vexpenses.com/settings/membros-de-equipe/895961" TargetMode="External"/><Relationship Id="rId265" Type="http://schemas.openxmlformats.org/officeDocument/2006/relationships/hyperlink" Target="https://amp.vexpenses.com/settings/membros-de-equipe/916893" TargetMode="External"/><Relationship Id="rId472" Type="http://schemas.openxmlformats.org/officeDocument/2006/relationships/hyperlink" Target="https://amp.vexpenses.com/settings/membros-de-equipe/896349" TargetMode="External"/><Relationship Id="rId528" Type="http://schemas.openxmlformats.org/officeDocument/2006/relationships/hyperlink" Target="https://amp.vexpenses.com/settings/membros-de-equipe/921921" TargetMode="External"/><Relationship Id="rId125" Type="http://schemas.openxmlformats.org/officeDocument/2006/relationships/hyperlink" Target="https://amp.vexpenses.com/settings/membros-de-equipe/896052" TargetMode="External"/><Relationship Id="rId167" Type="http://schemas.openxmlformats.org/officeDocument/2006/relationships/hyperlink" Target="https://amp.vexpenses.com/settings/membros-de-equipe/896086" TargetMode="External"/><Relationship Id="rId332" Type="http://schemas.openxmlformats.org/officeDocument/2006/relationships/hyperlink" Target="https://amp.vexpenses.com/settings/membros-de-equipe/925993" TargetMode="External"/><Relationship Id="rId374" Type="http://schemas.openxmlformats.org/officeDocument/2006/relationships/hyperlink" Target="https://amp.vexpenses.com/settings/membros-de-equipe/896258" TargetMode="External"/><Relationship Id="rId71" Type="http://schemas.openxmlformats.org/officeDocument/2006/relationships/hyperlink" Target="https://amp.vexpenses.com/settings/membros-de-equipe/896006" TargetMode="External"/><Relationship Id="rId234" Type="http://schemas.openxmlformats.org/officeDocument/2006/relationships/hyperlink" Target="https://amp.vexpenses.com/settings/membros-de-equipe/896145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9" TargetMode="External"/><Relationship Id="rId276" Type="http://schemas.openxmlformats.org/officeDocument/2006/relationships/hyperlink" Target="https://amp.vexpenses.com/settings/membros-de-equipe/921535" TargetMode="External"/><Relationship Id="rId441" Type="http://schemas.openxmlformats.org/officeDocument/2006/relationships/hyperlink" Target="https://amp.vexpenses.com/settings/membros-de-equipe/917081" TargetMode="External"/><Relationship Id="rId483" Type="http://schemas.openxmlformats.org/officeDocument/2006/relationships/hyperlink" Target="https://amp.vexpenses.com/settings/membros-de-equipe/920862" TargetMode="External"/><Relationship Id="rId40" Type="http://schemas.openxmlformats.org/officeDocument/2006/relationships/hyperlink" Target="https://amp.vexpenses.com/settings/membros-de-equipe/895978" TargetMode="External"/><Relationship Id="rId136" Type="http://schemas.openxmlformats.org/officeDocument/2006/relationships/hyperlink" Target="https://amp.vexpenses.com/settings/membros-de-equipe/896063" TargetMode="External"/><Relationship Id="rId178" Type="http://schemas.openxmlformats.org/officeDocument/2006/relationships/hyperlink" Target="https://amp.vexpenses.com/settings/membros-de-equipe/896093" TargetMode="External"/><Relationship Id="rId301" Type="http://schemas.openxmlformats.org/officeDocument/2006/relationships/hyperlink" Target="https://amp.vexpenses.com/settings/membros-de-equipe/916936" TargetMode="External"/><Relationship Id="rId343" Type="http://schemas.openxmlformats.org/officeDocument/2006/relationships/hyperlink" Target="https://amp.vexpenses.com/settings/membros-de-equipe/896236" TargetMode="External"/><Relationship Id="rId82" Type="http://schemas.openxmlformats.org/officeDocument/2006/relationships/hyperlink" Target="https://amp.vexpenses.com/settings/membros-de-equipe/896018" TargetMode="External"/><Relationship Id="rId203" Type="http://schemas.openxmlformats.org/officeDocument/2006/relationships/hyperlink" Target="https://amp.vexpenses.com/settings/membros-de-equipe/896118" TargetMode="External"/><Relationship Id="rId385" Type="http://schemas.openxmlformats.org/officeDocument/2006/relationships/hyperlink" Target="https://amp.vexpenses.com/settings/membros-de-equipe/896269" TargetMode="External"/><Relationship Id="rId245" Type="http://schemas.openxmlformats.org/officeDocument/2006/relationships/hyperlink" Target="https://amp.vexpenses.com/settings/membros-de-equipe/896157" TargetMode="External"/><Relationship Id="rId287" Type="http://schemas.openxmlformats.org/officeDocument/2006/relationships/hyperlink" Target="https://amp.vexpenses.com/settings/membros-de-equipe/896197" TargetMode="External"/><Relationship Id="rId410" Type="http://schemas.openxmlformats.org/officeDocument/2006/relationships/hyperlink" Target="https://amp.vexpenses.com/settings/membros-de-equipe/896291" TargetMode="External"/><Relationship Id="rId452" Type="http://schemas.openxmlformats.org/officeDocument/2006/relationships/hyperlink" Target="https://amp.vexpenses.com/settings/membros-de-equipe/896332" TargetMode="External"/><Relationship Id="rId494" Type="http://schemas.openxmlformats.org/officeDocument/2006/relationships/hyperlink" Target="https://amp.vexpenses.com/settings/membros-de-equipe/896364" TargetMode="External"/><Relationship Id="rId508" Type="http://schemas.openxmlformats.org/officeDocument/2006/relationships/hyperlink" Target="https://amp.vexpenses.com/settings/membros-de-equipe/896424" TargetMode="External"/><Relationship Id="rId105" Type="http://schemas.openxmlformats.org/officeDocument/2006/relationships/hyperlink" Target="https://amp.vexpenses.com/settings/membros-de-equipe/919653" TargetMode="External"/><Relationship Id="rId147" Type="http://schemas.openxmlformats.org/officeDocument/2006/relationships/hyperlink" Target="https://amp.vexpenses.com/settings/membros-de-equipe/896072" TargetMode="External"/><Relationship Id="rId312" Type="http://schemas.openxmlformats.org/officeDocument/2006/relationships/hyperlink" Target="https://amp.vexpenses.com/settings/membros-de-equipe/896215" TargetMode="External"/><Relationship Id="rId354" Type="http://schemas.openxmlformats.org/officeDocument/2006/relationships/hyperlink" Target="https://amp.vexpenses.com/settings/membros-de-equipe/917057" TargetMode="External"/><Relationship Id="rId51" Type="http://schemas.openxmlformats.org/officeDocument/2006/relationships/hyperlink" Target="https://amp.vexpenses.com/settings/membros-de-equipe/895988" TargetMode="External"/><Relationship Id="rId93" Type="http://schemas.openxmlformats.org/officeDocument/2006/relationships/hyperlink" Target="https://amp.vexpenses.com/settings/membros-de-equipe/896029" TargetMode="External"/><Relationship Id="rId189" Type="http://schemas.openxmlformats.org/officeDocument/2006/relationships/hyperlink" Target="https://amp.vexpenses.com/settings/membros-de-equipe/896106" TargetMode="External"/><Relationship Id="rId396" Type="http://schemas.openxmlformats.org/officeDocument/2006/relationships/hyperlink" Target="https://amp.vexpenses.com/settings/membros-de-equipe/896279" TargetMode="External"/><Relationship Id="rId214" Type="http://schemas.openxmlformats.org/officeDocument/2006/relationships/hyperlink" Target="https://amp.vexpenses.com/settings/membros-de-equipe/916374" TargetMode="External"/><Relationship Id="rId256" Type="http://schemas.openxmlformats.org/officeDocument/2006/relationships/hyperlink" Target="https://amp.vexpenses.com/settings/membros-de-equipe/896165" TargetMode="External"/><Relationship Id="rId298" Type="http://schemas.openxmlformats.org/officeDocument/2006/relationships/hyperlink" Target="https://amp.vexpenses.com/settings/membros-de-equipe/921952" TargetMode="External"/><Relationship Id="rId421" Type="http://schemas.openxmlformats.org/officeDocument/2006/relationships/hyperlink" Target="https://amp.vexpenses.com/settings/membros-de-equipe/918849" TargetMode="External"/><Relationship Id="rId463" Type="http://schemas.openxmlformats.org/officeDocument/2006/relationships/hyperlink" Target="https://amp.vexpenses.com/settings/membros-de-equipe/896339" TargetMode="External"/><Relationship Id="rId519" Type="http://schemas.openxmlformats.org/officeDocument/2006/relationships/hyperlink" Target="https://amp.vexpenses.com/settings/membros-de-equipe/896386" TargetMode="External"/><Relationship Id="rId116" Type="http://schemas.openxmlformats.org/officeDocument/2006/relationships/hyperlink" Target="https://amp.vexpenses.com/settings/membros-de-equipe/896044" TargetMode="External"/><Relationship Id="rId158" Type="http://schemas.openxmlformats.org/officeDocument/2006/relationships/hyperlink" Target="https://amp.vexpenses.com/settings/membros-de-equipe/896080" TargetMode="External"/><Relationship Id="rId323" Type="http://schemas.openxmlformats.org/officeDocument/2006/relationships/hyperlink" Target="https://amp.vexpenses.com/settings/membros-de-equipe/896221" TargetMode="External"/><Relationship Id="rId530" Type="http://schemas.openxmlformats.org/officeDocument/2006/relationships/hyperlink" Target="https://amp.vexpenses.com/settings/membros-de-equipe/896168" TargetMode="External"/><Relationship Id="rId20" Type="http://schemas.openxmlformats.org/officeDocument/2006/relationships/hyperlink" Target="https://amp.vexpenses.com/settings/membros-de-equipe/895963" TargetMode="External"/><Relationship Id="rId62" Type="http://schemas.openxmlformats.org/officeDocument/2006/relationships/hyperlink" Target="https://amp.vexpenses.com/settings/membros-de-equipe/895998" TargetMode="External"/><Relationship Id="rId365" Type="http://schemas.openxmlformats.org/officeDocument/2006/relationships/hyperlink" Target="https://amp.vexpenses.com/settings/membros-de-equipe/896251" TargetMode="External"/><Relationship Id="rId225" Type="http://schemas.openxmlformats.org/officeDocument/2006/relationships/hyperlink" Target="https://amp.vexpenses.com/settings/membros-de-equipe/896136" TargetMode="External"/><Relationship Id="rId267" Type="http://schemas.openxmlformats.org/officeDocument/2006/relationships/hyperlink" Target="https://amp.vexpenses.com/settings/membros-de-equipe/896176" TargetMode="External"/><Relationship Id="rId432" Type="http://schemas.openxmlformats.org/officeDocument/2006/relationships/hyperlink" Target="https://amp.vexpenses.com/settings/membros-de-equipe/917065" TargetMode="External"/><Relationship Id="rId474" Type="http://schemas.openxmlformats.org/officeDocument/2006/relationships/hyperlink" Target="https://amp.vexpenses.com/settings/membros-de-equipe/923635" TargetMode="External"/><Relationship Id="rId127" Type="http://schemas.openxmlformats.org/officeDocument/2006/relationships/hyperlink" Target="https://amp.vexpenses.com/settings/membros-de-equipe/896054" TargetMode="External"/><Relationship Id="rId31" Type="http://schemas.openxmlformats.org/officeDocument/2006/relationships/hyperlink" Target="https://amp.vexpenses.com/settings/membros-de-equipe/895970" TargetMode="External"/><Relationship Id="rId73" Type="http://schemas.openxmlformats.org/officeDocument/2006/relationships/hyperlink" Target="https://amp.vexpenses.com/settings/membros-de-equipe/896008" TargetMode="External"/><Relationship Id="rId169" Type="http://schemas.openxmlformats.org/officeDocument/2006/relationships/hyperlink" Target="https://amp.vexpenses.com/settings/membros-de-equipe/896087" TargetMode="External"/><Relationship Id="rId334" Type="http://schemas.openxmlformats.org/officeDocument/2006/relationships/hyperlink" Target="https://amp.vexpenses.com/settings/membros-de-equipe/896228" TargetMode="External"/><Relationship Id="rId376" Type="http://schemas.openxmlformats.org/officeDocument/2006/relationships/hyperlink" Target="https://amp.vexpenses.com/settings/membros-de-equipe/946419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95" TargetMode="External"/><Relationship Id="rId236" Type="http://schemas.openxmlformats.org/officeDocument/2006/relationships/hyperlink" Target="https://amp.vexpenses.com/settings/membros-de-equipe/896148" TargetMode="External"/><Relationship Id="rId278" Type="http://schemas.openxmlformats.org/officeDocument/2006/relationships/hyperlink" Target="https://amp.vexpenses.com/settings/membros-de-equipe/896186" TargetMode="External"/><Relationship Id="rId401" Type="http://schemas.openxmlformats.org/officeDocument/2006/relationships/hyperlink" Target="https://amp.vexpenses.com/settings/membros-de-equipe/896283" TargetMode="External"/><Relationship Id="rId443" Type="http://schemas.openxmlformats.org/officeDocument/2006/relationships/hyperlink" Target="https://amp.vexpenses.com/settings/membros-de-equipe/922275" TargetMode="External"/><Relationship Id="rId303" Type="http://schemas.openxmlformats.org/officeDocument/2006/relationships/hyperlink" Target="https://amp.vexpenses.com/settings/membros-de-equipe/896209" TargetMode="External"/><Relationship Id="rId485" Type="http://schemas.openxmlformats.org/officeDocument/2006/relationships/hyperlink" Target="https://amp.vexpenses.com/settings/membros-de-equipe/896356" TargetMode="External"/><Relationship Id="rId42" Type="http://schemas.openxmlformats.org/officeDocument/2006/relationships/hyperlink" Target="https://amp.vexpenses.com/settings/membros-de-equipe/917324" TargetMode="External"/><Relationship Id="rId84" Type="http://schemas.openxmlformats.org/officeDocument/2006/relationships/hyperlink" Target="https://amp.vexpenses.com/settings/membros-de-equipe/896020" TargetMode="External"/><Relationship Id="rId138" Type="http://schemas.openxmlformats.org/officeDocument/2006/relationships/hyperlink" Target="https://amp.vexpenses.com/settings/membros-de-equipe/920852" TargetMode="External"/><Relationship Id="rId345" Type="http://schemas.openxmlformats.org/officeDocument/2006/relationships/hyperlink" Target="https://amp.vexpenses.com/settings/membros-de-equipe/916912" TargetMode="External"/><Relationship Id="rId387" Type="http://schemas.openxmlformats.org/officeDocument/2006/relationships/hyperlink" Target="https://amp.vexpenses.com/settings/membros-de-equipe/943299" TargetMode="External"/><Relationship Id="rId510" Type="http://schemas.openxmlformats.org/officeDocument/2006/relationships/hyperlink" Target="https://amp.vexpenses.com/settings/membros-de-equipe/896377" TargetMode="External"/><Relationship Id="rId191" Type="http://schemas.openxmlformats.org/officeDocument/2006/relationships/hyperlink" Target="https://amp.vexpenses.com/settings/membros-de-equipe/917075" TargetMode="External"/><Relationship Id="rId205" Type="http://schemas.openxmlformats.org/officeDocument/2006/relationships/hyperlink" Target="https://amp.vexpenses.com/settings/membros-de-equipe/929756" TargetMode="External"/><Relationship Id="rId247" Type="http://schemas.openxmlformats.org/officeDocument/2006/relationships/hyperlink" Target="https://amp.vexpenses.com/settings/membros-de-equipe/931414" TargetMode="External"/><Relationship Id="rId412" Type="http://schemas.openxmlformats.org/officeDocument/2006/relationships/hyperlink" Target="https://amp.vexpenses.com/settings/membros-de-equipe/896293" TargetMode="External"/><Relationship Id="rId107" Type="http://schemas.openxmlformats.org/officeDocument/2006/relationships/hyperlink" Target="https://amp.vexpenses.com/settings/membros-de-equipe/917376" TargetMode="External"/><Relationship Id="rId289" Type="http://schemas.openxmlformats.org/officeDocument/2006/relationships/hyperlink" Target="https://amp.vexpenses.com/settings/membros-de-equipe/896199" TargetMode="External"/><Relationship Id="rId454" Type="http://schemas.openxmlformats.org/officeDocument/2006/relationships/hyperlink" Target="https://amp.vexpenses.com/settings/membros-de-equipe/896187" TargetMode="External"/><Relationship Id="rId496" Type="http://schemas.openxmlformats.org/officeDocument/2006/relationships/hyperlink" Target="https://amp.vexpenses.com/settings/membros-de-equipe/896298" TargetMode="External"/><Relationship Id="rId11" Type="http://schemas.openxmlformats.org/officeDocument/2006/relationships/hyperlink" Target="https://amp.vexpenses.com/settings/membros-de-equipe/895955" TargetMode="External"/><Relationship Id="rId53" Type="http://schemas.openxmlformats.org/officeDocument/2006/relationships/hyperlink" Target="https://amp.vexpenses.com/settings/membros-de-equipe/895990" TargetMode="External"/><Relationship Id="rId149" Type="http://schemas.openxmlformats.org/officeDocument/2006/relationships/hyperlink" Target="https://amp.vexpenses.com/settings/membros-de-equipe/896074" TargetMode="External"/><Relationship Id="rId314" Type="http://schemas.openxmlformats.org/officeDocument/2006/relationships/hyperlink" Target="https://amp.vexpenses.com/settings/membros-de-equipe/896217" TargetMode="External"/><Relationship Id="rId356" Type="http://schemas.openxmlformats.org/officeDocument/2006/relationships/hyperlink" Target="https://amp.vexpenses.com/settings/membros-de-equipe/896244" TargetMode="External"/><Relationship Id="rId398" Type="http://schemas.openxmlformats.org/officeDocument/2006/relationships/hyperlink" Target="https://amp.vexpenses.com/settings/membros-de-equipe/916915" TargetMode="External"/><Relationship Id="rId521" Type="http://schemas.openxmlformats.org/officeDocument/2006/relationships/hyperlink" Target="https://amp.vexpenses.com/settings/membros-de-equipe/896387" TargetMode="External"/><Relationship Id="rId95" Type="http://schemas.openxmlformats.org/officeDocument/2006/relationships/hyperlink" Target="https://amp.vexpenses.com/settings/membros-de-equipe/896031" TargetMode="External"/><Relationship Id="rId160" Type="http://schemas.openxmlformats.org/officeDocument/2006/relationships/hyperlink" Target="https://amp.vexpenses.com/settings/membros-de-equipe/923631" TargetMode="External"/><Relationship Id="rId216" Type="http://schemas.openxmlformats.org/officeDocument/2006/relationships/hyperlink" Target="https://amp.vexpenses.com/settings/membros-de-equipe/896128" TargetMode="External"/><Relationship Id="rId423" Type="http://schemas.openxmlformats.org/officeDocument/2006/relationships/hyperlink" Target="https://amp.vexpenses.com/settings/membros-de-equipe/896300" TargetMode="External"/><Relationship Id="rId258" Type="http://schemas.openxmlformats.org/officeDocument/2006/relationships/hyperlink" Target="https://amp.vexpenses.com/settings/membros-de-equipe/921956" TargetMode="External"/><Relationship Id="rId465" Type="http://schemas.openxmlformats.org/officeDocument/2006/relationships/hyperlink" Target="https://amp.vexpenses.com/settings/membros-de-equipe/896343" TargetMode="External"/><Relationship Id="rId22" Type="http://schemas.openxmlformats.org/officeDocument/2006/relationships/hyperlink" Target="https://amp.vexpenses.com/settings/membros-de-equipe/895965" TargetMode="External"/><Relationship Id="rId64" Type="http://schemas.openxmlformats.org/officeDocument/2006/relationships/hyperlink" Target="https://amp.vexpenses.com/settings/membros-de-equipe/895999" TargetMode="External"/><Relationship Id="rId118" Type="http://schemas.openxmlformats.org/officeDocument/2006/relationships/hyperlink" Target="https://amp.vexpenses.com/settings/membros-de-equipe/896045" TargetMode="External"/><Relationship Id="rId325" Type="http://schemas.openxmlformats.org/officeDocument/2006/relationships/hyperlink" Target="https://amp.vexpenses.com/settings/membros-de-equipe/896222" TargetMode="External"/><Relationship Id="rId367" Type="http://schemas.openxmlformats.org/officeDocument/2006/relationships/hyperlink" Target="https://amp.vexpenses.com/settings/membros-de-equipe/896252" TargetMode="External"/><Relationship Id="rId532" Type="http://schemas.openxmlformats.org/officeDocument/2006/relationships/hyperlink" Target="https://amp.vexpenses.com/settings/membros-de-equipe/895951" TargetMode="External"/><Relationship Id="rId171" Type="http://schemas.openxmlformats.org/officeDocument/2006/relationships/hyperlink" Target="https://amp.vexpenses.com/settings/membros-de-equipe/896089" TargetMode="External"/><Relationship Id="rId227" Type="http://schemas.openxmlformats.org/officeDocument/2006/relationships/hyperlink" Target="https://amp.vexpenses.com/settings/membros-de-equipe/896138" TargetMode="External"/><Relationship Id="rId269" Type="http://schemas.openxmlformats.org/officeDocument/2006/relationships/hyperlink" Target="https://amp.vexpenses.com/settings/membros-de-equipe/896178" TargetMode="External"/><Relationship Id="rId434" Type="http://schemas.openxmlformats.org/officeDocument/2006/relationships/hyperlink" Target="https://amp.vexpenses.com/settings/membros-de-equipe/896306" TargetMode="External"/><Relationship Id="rId476" Type="http://schemas.openxmlformats.org/officeDocument/2006/relationships/hyperlink" Target="https://amp.vexpenses.com/settings/membros-de-equipe/896351" TargetMode="External"/><Relationship Id="rId33" Type="http://schemas.openxmlformats.org/officeDocument/2006/relationships/hyperlink" Target="https://amp.vexpenses.com/settings/membros-de-equipe/895972" TargetMode="External"/><Relationship Id="rId129" Type="http://schemas.openxmlformats.org/officeDocument/2006/relationships/hyperlink" Target="https://amp.vexpenses.com/settings/membros-de-equipe/896057" TargetMode="External"/><Relationship Id="rId280" Type="http://schemas.openxmlformats.org/officeDocument/2006/relationships/hyperlink" Target="https://amp.vexpenses.com/settings/membros-de-equipe/896188" TargetMode="External"/><Relationship Id="rId336" Type="http://schemas.openxmlformats.org/officeDocument/2006/relationships/hyperlink" Target="https://amp.vexpenses.com/settings/membros-de-equipe/896230" TargetMode="External"/><Relationship Id="rId501" Type="http://schemas.openxmlformats.org/officeDocument/2006/relationships/hyperlink" Target="https://amp.vexpenses.com/settings/membros-de-equipe/896369" TargetMode="External"/><Relationship Id="rId75" Type="http://schemas.openxmlformats.org/officeDocument/2006/relationships/hyperlink" Target="https://amp.vexpenses.com/settings/membros-de-equipe/896011" TargetMode="External"/><Relationship Id="rId140" Type="http://schemas.openxmlformats.org/officeDocument/2006/relationships/hyperlink" Target="https://amp.vexpenses.com/settings/membros-de-equipe/896066" TargetMode="External"/><Relationship Id="rId182" Type="http://schemas.openxmlformats.org/officeDocument/2006/relationships/hyperlink" Target="https://amp.vexpenses.com/settings/membros-de-equipe/940437" TargetMode="External"/><Relationship Id="rId378" Type="http://schemas.openxmlformats.org/officeDocument/2006/relationships/hyperlink" Target="https://amp.vexpenses.com/settings/membros-de-equipe/896262" TargetMode="External"/><Relationship Id="rId403" Type="http://schemas.openxmlformats.org/officeDocument/2006/relationships/hyperlink" Target="https://amp.vexpenses.com/settings/membros-de-equipe/896285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50" TargetMode="External"/><Relationship Id="rId445" Type="http://schemas.openxmlformats.org/officeDocument/2006/relationships/hyperlink" Target="https://amp.vexpenses.com/settings/membros-de-equipe/896317" TargetMode="External"/><Relationship Id="rId487" Type="http://schemas.openxmlformats.org/officeDocument/2006/relationships/hyperlink" Target="https://amp.vexpenses.com/settings/membros-de-equipe/896397" TargetMode="External"/><Relationship Id="rId291" Type="http://schemas.openxmlformats.org/officeDocument/2006/relationships/hyperlink" Target="https://amp.vexpenses.com/settings/membros-de-equipe/896201" TargetMode="External"/><Relationship Id="rId305" Type="http://schemas.openxmlformats.org/officeDocument/2006/relationships/hyperlink" Target="https://amp.vexpenses.com/settings/membros-de-equipe/896211" TargetMode="External"/><Relationship Id="rId347" Type="http://schemas.openxmlformats.org/officeDocument/2006/relationships/hyperlink" Target="https://amp.vexpenses.com/settings/membros-de-equipe/896239" TargetMode="External"/><Relationship Id="rId512" Type="http://schemas.openxmlformats.org/officeDocument/2006/relationships/hyperlink" Target="https://amp.vexpenses.com/settings/membros-de-equipe/896379" TargetMode="External"/><Relationship Id="rId44" Type="http://schemas.openxmlformats.org/officeDocument/2006/relationships/hyperlink" Target="https://amp.vexpenses.com/settings/membros-de-equipe/895982" TargetMode="External"/><Relationship Id="rId86" Type="http://schemas.openxmlformats.org/officeDocument/2006/relationships/hyperlink" Target="https://amp.vexpenses.com/settings/membros-de-equipe/915897" TargetMode="External"/><Relationship Id="rId151" Type="http://schemas.openxmlformats.org/officeDocument/2006/relationships/hyperlink" Target="https://amp.vexpenses.com/settings/membros-de-equipe/915374" TargetMode="External"/><Relationship Id="rId389" Type="http://schemas.openxmlformats.org/officeDocument/2006/relationships/hyperlink" Target="https://amp.vexpenses.com/settings/membros-de-equipe/896272" TargetMode="External"/><Relationship Id="rId193" Type="http://schemas.openxmlformats.org/officeDocument/2006/relationships/hyperlink" Target="https://amp.vexpenses.com/settings/membros-de-equipe/917058" TargetMode="External"/><Relationship Id="rId207" Type="http://schemas.openxmlformats.org/officeDocument/2006/relationships/hyperlink" Target="https://amp.vexpenses.com/settings/membros-de-equipe/896121" TargetMode="External"/><Relationship Id="rId249" Type="http://schemas.openxmlformats.org/officeDocument/2006/relationships/hyperlink" Target="https://amp.vexpenses.com/settings/membros-de-equipe/896160" TargetMode="External"/><Relationship Id="rId414" Type="http://schemas.openxmlformats.org/officeDocument/2006/relationships/hyperlink" Target="https://amp.vexpenses.com/settings/membros-de-equipe/896295" TargetMode="External"/><Relationship Id="rId456" Type="http://schemas.openxmlformats.org/officeDocument/2006/relationships/hyperlink" Target="https://amp.vexpenses.com/settings/membros-de-equipe/928097" TargetMode="External"/><Relationship Id="rId498" Type="http://schemas.openxmlformats.org/officeDocument/2006/relationships/hyperlink" Target="https://amp.vexpenses.com/settings/membros-de-equipe/896365" TargetMode="External"/><Relationship Id="rId13" Type="http://schemas.openxmlformats.org/officeDocument/2006/relationships/hyperlink" Target="https://amp.vexpenses.com/settings/membros-de-equipe/916910" TargetMode="External"/><Relationship Id="rId109" Type="http://schemas.openxmlformats.org/officeDocument/2006/relationships/hyperlink" Target="https://amp.vexpenses.com/settings/membros-de-equipe/916919" TargetMode="External"/><Relationship Id="rId260" Type="http://schemas.openxmlformats.org/officeDocument/2006/relationships/hyperlink" Target="https://amp.vexpenses.com/settings/membros-de-equipe/896170" TargetMode="External"/><Relationship Id="rId316" Type="http://schemas.openxmlformats.org/officeDocument/2006/relationships/hyperlink" Target="https://amp.vexpenses.com/settings/membros-de-equipe/916906" TargetMode="External"/><Relationship Id="rId523" Type="http://schemas.openxmlformats.org/officeDocument/2006/relationships/hyperlink" Target="https://amp.vexpenses.com/settings/membros-de-equipe/896391" TargetMode="External"/><Relationship Id="rId55" Type="http://schemas.openxmlformats.org/officeDocument/2006/relationships/hyperlink" Target="https://amp.vexpenses.com/settings/membros-de-equipe/895992" TargetMode="External"/><Relationship Id="rId97" Type="http://schemas.openxmlformats.org/officeDocument/2006/relationships/hyperlink" Target="https://amp.vexpenses.com/settings/membros-de-equipe/896033" TargetMode="External"/><Relationship Id="rId120" Type="http://schemas.openxmlformats.org/officeDocument/2006/relationships/hyperlink" Target="https://amp.vexpenses.com/settings/membros-de-equipe/896047" TargetMode="External"/><Relationship Id="rId358" Type="http://schemas.openxmlformats.org/officeDocument/2006/relationships/hyperlink" Target="https://amp.vexpenses.com/settings/membros-de-equipe/896245" TargetMode="External"/><Relationship Id="rId162" Type="http://schemas.openxmlformats.org/officeDocument/2006/relationships/hyperlink" Target="https://amp.vexpenses.com/settings/membros-de-equipe/896082" TargetMode="External"/><Relationship Id="rId218" Type="http://schemas.openxmlformats.org/officeDocument/2006/relationships/hyperlink" Target="https://amp.vexpenses.com/settings/membros-de-equipe/896131" TargetMode="External"/><Relationship Id="rId425" Type="http://schemas.openxmlformats.org/officeDocument/2006/relationships/hyperlink" Target="https://amp.vexpenses.com/settings/membros-de-equipe/896301" TargetMode="External"/><Relationship Id="rId467" Type="http://schemas.openxmlformats.org/officeDocument/2006/relationships/hyperlink" Target="https://amp.vexpenses.com/settings/membros-de-equipe/896255" TargetMode="External"/><Relationship Id="rId271" Type="http://schemas.openxmlformats.org/officeDocument/2006/relationships/hyperlink" Target="https://amp.vexpenses.com/settings/membros-de-equipe/896180" TargetMode="External"/><Relationship Id="rId24" Type="http://schemas.openxmlformats.org/officeDocument/2006/relationships/hyperlink" Target="https://amp.vexpenses.com/settings/membros-de-equipe/895966" TargetMode="External"/><Relationship Id="rId66" Type="http://schemas.openxmlformats.org/officeDocument/2006/relationships/hyperlink" Target="https://amp.vexpenses.com/settings/membros-de-equipe/896001" TargetMode="External"/><Relationship Id="rId131" Type="http://schemas.openxmlformats.org/officeDocument/2006/relationships/hyperlink" Target="https://amp.vexpenses.com/settings/membros-de-equipe/896059" TargetMode="External"/><Relationship Id="rId327" Type="http://schemas.openxmlformats.org/officeDocument/2006/relationships/hyperlink" Target="https://amp.vexpenses.com/settings/membros-de-equipe/917361" TargetMode="External"/><Relationship Id="rId369" Type="http://schemas.openxmlformats.org/officeDocument/2006/relationships/hyperlink" Target="https://amp.vexpenses.com/settings/membros-de-equipe/896254" TargetMode="External"/><Relationship Id="rId173" Type="http://schemas.openxmlformats.org/officeDocument/2006/relationships/hyperlink" Target="https://amp.vexpenses.com/settings/membros-de-equipe/896420" TargetMode="External"/><Relationship Id="rId229" Type="http://schemas.openxmlformats.org/officeDocument/2006/relationships/hyperlink" Target="https://amp.vexpenses.com/settings/membros-de-equipe/896141" TargetMode="External"/><Relationship Id="rId380" Type="http://schemas.openxmlformats.org/officeDocument/2006/relationships/hyperlink" Target="https://amp.vexpenses.com/settings/membros-de-equipe/896265" TargetMode="External"/><Relationship Id="rId436" Type="http://schemas.openxmlformats.org/officeDocument/2006/relationships/hyperlink" Target="https://amp.vexpenses.com/settings/membros-de-equipe/896310" TargetMode="External"/><Relationship Id="rId240" Type="http://schemas.openxmlformats.org/officeDocument/2006/relationships/hyperlink" Target="https://amp.vexpenses.com/settings/membros-de-equipe/896151" TargetMode="External"/><Relationship Id="rId478" Type="http://schemas.openxmlformats.org/officeDocument/2006/relationships/hyperlink" Target="https://amp.vexpenses.com/settings/membros-de-equipe/896073" TargetMode="External"/><Relationship Id="rId35" Type="http://schemas.openxmlformats.org/officeDocument/2006/relationships/hyperlink" Target="https://amp.vexpenses.com/settings/membros-de-equipe/929757" TargetMode="External"/><Relationship Id="rId77" Type="http://schemas.openxmlformats.org/officeDocument/2006/relationships/hyperlink" Target="https://amp.vexpenses.com/settings/membros-de-equipe/896014" TargetMode="External"/><Relationship Id="rId100" Type="http://schemas.openxmlformats.org/officeDocument/2006/relationships/hyperlink" Target="https://amp.vexpenses.com/settings/membros-de-equipe/896034" TargetMode="External"/><Relationship Id="rId282" Type="http://schemas.openxmlformats.org/officeDocument/2006/relationships/hyperlink" Target="https://amp.vexpenses.com/settings/membros-de-equipe/896191" TargetMode="External"/><Relationship Id="rId338" Type="http://schemas.openxmlformats.org/officeDocument/2006/relationships/hyperlink" Target="https://amp.vexpenses.com/settings/membros-de-equipe/916932" TargetMode="External"/><Relationship Id="rId503" Type="http://schemas.openxmlformats.org/officeDocument/2006/relationships/hyperlink" Target="https://amp.vexpenses.com/settings/membros-de-equipe/931255" TargetMode="External"/><Relationship Id="rId8" Type="http://schemas.openxmlformats.org/officeDocument/2006/relationships/hyperlink" Target="https://amp.vexpenses.com/settings/membros-de-equipe/895950" TargetMode="External"/><Relationship Id="rId142" Type="http://schemas.openxmlformats.org/officeDocument/2006/relationships/hyperlink" Target="https://amp.vexpenses.com/settings/membros-de-equipe/896068" TargetMode="External"/><Relationship Id="rId184" Type="http://schemas.openxmlformats.org/officeDocument/2006/relationships/hyperlink" Target="https://amp.vexpenses.com/settings/membros-de-equipe/896101" TargetMode="External"/><Relationship Id="rId391" Type="http://schemas.openxmlformats.org/officeDocument/2006/relationships/hyperlink" Target="https://amp.vexpenses.com/settings/membros-de-equipe/896274" TargetMode="External"/><Relationship Id="rId405" Type="http://schemas.openxmlformats.org/officeDocument/2006/relationships/hyperlink" Target="https://amp.vexpenses.com/settings/membros-de-equipe/921927" TargetMode="External"/><Relationship Id="rId447" Type="http://schemas.openxmlformats.org/officeDocument/2006/relationships/hyperlink" Target="https://amp.vexpenses.com/settings/membros-de-equipe/896319" TargetMode="External"/><Relationship Id="rId251" Type="http://schemas.openxmlformats.org/officeDocument/2006/relationships/hyperlink" Target="https://amp.vexpenses.com/settings/membros-de-equipe/896161" TargetMode="External"/><Relationship Id="rId489" Type="http://schemas.openxmlformats.org/officeDocument/2006/relationships/hyperlink" Target="https://amp.vexpenses.com/settings/membros-de-equipe/896286" TargetMode="External"/><Relationship Id="rId46" Type="http://schemas.openxmlformats.org/officeDocument/2006/relationships/hyperlink" Target="https://amp.vexpenses.com/settings/membros-de-equipe/895984" TargetMode="External"/><Relationship Id="rId293" Type="http://schemas.openxmlformats.org/officeDocument/2006/relationships/hyperlink" Target="https://amp.vexpenses.com/settings/membros-de-equipe/896203" TargetMode="External"/><Relationship Id="rId307" Type="http://schemas.openxmlformats.org/officeDocument/2006/relationships/hyperlink" Target="https://amp.vexpenses.com/settings/membros-de-equipe/896212" TargetMode="External"/><Relationship Id="rId349" Type="http://schemas.openxmlformats.org/officeDocument/2006/relationships/hyperlink" Target="https://amp.vexpenses.com/settings/membros-de-equipe/896241" TargetMode="External"/><Relationship Id="rId514" Type="http://schemas.openxmlformats.org/officeDocument/2006/relationships/hyperlink" Target="https://amp.vexpenses.com/settings/membros-de-equipe/923842" TargetMode="External"/><Relationship Id="rId88" Type="http://schemas.openxmlformats.org/officeDocument/2006/relationships/hyperlink" Target="https://amp.vexpenses.com/settings/membros-de-equipe/896024" TargetMode="External"/><Relationship Id="rId111" Type="http://schemas.openxmlformats.org/officeDocument/2006/relationships/hyperlink" Target="https://amp.vexpenses.com/settings/membros-de-equipe/923635" TargetMode="External"/><Relationship Id="rId153" Type="http://schemas.openxmlformats.org/officeDocument/2006/relationships/hyperlink" Target="https://amp.vexpenses.com/settings/membros-de-equipe/920845" TargetMode="External"/><Relationship Id="rId195" Type="http://schemas.openxmlformats.org/officeDocument/2006/relationships/hyperlink" Target="https://amp.vexpenses.com/settings/membros-de-equipe/927567" TargetMode="External"/><Relationship Id="rId209" Type="http://schemas.openxmlformats.org/officeDocument/2006/relationships/hyperlink" Target="https://amp.vexpenses.com/settings/membros-de-equipe/896122" TargetMode="External"/><Relationship Id="rId360" Type="http://schemas.openxmlformats.org/officeDocument/2006/relationships/hyperlink" Target="https://amp.vexpenses.com/settings/membros-de-equipe/896246" TargetMode="External"/><Relationship Id="rId416" Type="http://schemas.openxmlformats.org/officeDocument/2006/relationships/hyperlink" Target="https://amp.vexpenses.com/settings/membros-de-equipe/896296" TargetMode="External"/><Relationship Id="rId220" Type="http://schemas.openxmlformats.org/officeDocument/2006/relationships/hyperlink" Target="https://amp.vexpenses.com/settings/membros-de-equipe/917353" TargetMode="External"/><Relationship Id="rId458" Type="http://schemas.openxmlformats.org/officeDocument/2006/relationships/hyperlink" Target="https://amp.vexpenses.com/settings/membros-de-equipe/921961" TargetMode="External"/><Relationship Id="rId15" Type="http://schemas.openxmlformats.org/officeDocument/2006/relationships/hyperlink" Target="https://amp.vexpenses.com/settings/membros-de-equipe/895958" TargetMode="External"/><Relationship Id="rId57" Type="http://schemas.openxmlformats.org/officeDocument/2006/relationships/hyperlink" Target="https://amp.vexpenses.com/settings/membros-de-equipe/895994" TargetMode="External"/><Relationship Id="rId262" Type="http://schemas.openxmlformats.org/officeDocument/2006/relationships/hyperlink" Target="https://amp.vexpenses.com/settings/membros-de-equipe/896172" TargetMode="External"/><Relationship Id="rId318" Type="http://schemas.openxmlformats.org/officeDocument/2006/relationships/hyperlink" Target="https://amp.vexpenses.com/settings/membros-de-equipe/916930" TargetMode="External"/><Relationship Id="rId525" Type="http://schemas.openxmlformats.org/officeDocument/2006/relationships/hyperlink" Target="https://amp.vexpenses.com/settings/membros-de-equipe/916366" TargetMode="External"/><Relationship Id="rId99" Type="http://schemas.openxmlformats.org/officeDocument/2006/relationships/hyperlink" Target="https://amp.vexpenses.com/settings/membros-de-equipe/935041" TargetMode="External"/><Relationship Id="rId122" Type="http://schemas.openxmlformats.org/officeDocument/2006/relationships/hyperlink" Target="https://amp.vexpenses.com/settings/membros-de-equipe/896049" TargetMode="External"/><Relationship Id="rId164" Type="http://schemas.openxmlformats.org/officeDocument/2006/relationships/hyperlink" Target="https://amp.vexpenses.com/settings/membros-de-equipe/930420" TargetMode="External"/><Relationship Id="rId371" Type="http://schemas.openxmlformats.org/officeDocument/2006/relationships/hyperlink" Target="https://amp.vexpenses.com/settings/membros-de-equipe/896255" TargetMode="External"/><Relationship Id="rId427" Type="http://schemas.openxmlformats.org/officeDocument/2006/relationships/hyperlink" Target="https://amp.vexpenses.com/settings/membros-de-equipe/896303" TargetMode="External"/><Relationship Id="rId469" Type="http://schemas.openxmlformats.org/officeDocument/2006/relationships/hyperlink" Target="https://amp.vexpenses.com/settings/membros-de-equipe/896346" TargetMode="External"/><Relationship Id="rId26" Type="http://schemas.openxmlformats.org/officeDocument/2006/relationships/hyperlink" Target="https://amp.vexpenses.com/settings/membros-de-equipe/916897" TargetMode="External"/><Relationship Id="rId231" Type="http://schemas.openxmlformats.org/officeDocument/2006/relationships/hyperlink" Target="https://amp.vexpenses.com/settings/membros-de-equipe/896143" TargetMode="External"/><Relationship Id="rId273" Type="http://schemas.openxmlformats.org/officeDocument/2006/relationships/hyperlink" Target="https://amp.vexpenses.com/settings/membros-de-equipe/896182" TargetMode="External"/><Relationship Id="rId329" Type="http://schemas.openxmlformats.org/officeDocument/2006/relationships/hyperlink" Target="https://amp.vexpenses.com/settings/membros-de-equipe/896224" TargetMode="External"/><Relationship Id="rId480" Type="http://schemas.openxmlformats.org/officeDocument/2006/relationships/hyperlink" Target="https://amp.vexpenses.com/settings/membros-de-equipe/896068" TargetMode="External"/><Relationship Id="rId68" Type="http://schemas.openxmlformats.org/officeDocument/2006/relationships/hyperlink" Target="https://amp.vexpenses.com/settings/membros-de-equipe/896003" TargetMode="External"/><Relationship Id="rId133" Type="http://schemas.openxmlformats.org/officeDocument/2006/relationships/hyperlink" Target="https://amp.vexpenses.com/settings/membros-de-equipe/896061" TargetMode="External"/><Relationship Id="rId175" Type="http://schemas.openxmlformats.org/officeDocument/2006/relationships/hyperlink" Target="https://amp.vexpenses.com/settings/membros-de-equipe/917078" TargetMode="External"/><Relationship Id="rId340" Type="http://schemas.openxmlformats.org/officeDocument/2006/relationships/hyperlink" Target="https://amp.vexpenses.com/settings/membros-de-equipe/896233" TargetMode="External"/><Relationship Id="rId200" Type="http://schemas.openxmlformats.org/officeDocument/2006/relationships/hyperlink" Target="https://amp.vexpenses.com/settings/membros-de-equipe/896116" TargetMode="External"/><Relationship Id="rId382" Type="http://schemas.openxmlformats.org/officeDocument/2006/relationships/hyperlink" Target="https://amp.vexpenses.com/settings/membros-de-equipe/924050" TargetMode="External"/><Relationship Id="rId438" Type="http://schemas.openxmlformats.org/officeDocument/2006/relationships/hyperlink" Target="https://amp.vexpenses.com/settings/membros-de-equipe/896312" TargetMode="External"/><Relationship Id="rId242" Type="http://schemas.openxmlformats.org/officeDocument/2006/relationships/hyperlink" Target="https://amp.vexpenses.com/settings/membros-de-equipe/896153" TargetMode="External"/><Relationship Id="rId284" Type="http://schemas.openxmlformats.org/officeDocument/2006/relationships/hyperlink" Target="https://amp.vexpenses.com/settings/membros-de-equipe/896193" TargetMode="External"/><Relationship Id="rId491" Type="http://schemas.openxmlformats.org/officeDocument/2006/relationships/hyperlink" Target="https://amp.vexpenses.com/settings/membros-de-equipe/920855" TargetMode="External"/><Relationship Id="rId505" Type="http://schemas.openxmlformats.org/officeDocument/2006/relationships/hyperlink" Target="https://amp.vexpenses.com/settings/membros-de-equipe/896196" TargetMode="External"/><Relationship Id="rId37" Type="http://schemas.openxmlformats.org/officeDocument/2006/relationships/hyperlink" Target="https://amp.vexpenses.com/settings/membros-de-equipe/895976" TargetMode="External"/><Relationship Id="rId79" Type="http://schemas.openxmlformats.org/officeDocument/2006/relationships/hyperlink" Target="https://amp.vexpenses.com/settings/membros-de-equipe/930924" TargetMode="External"/><Relationship Id="rId102" Type="http://schemas.openxmlformats.org/officeDocument/2006/relationships/hyperlink" Target="https://amp.vexpenses.com/settings/membros-de-equipe/896035" TargetMode="External"/><Relationship Id="rId144" Type="http://schemas.openxmlformats.org/officeDocument/2006/relationships/hyperlink" Target="https://amp.vexpenses.com/settings/membros-de-equipe/930406" TargetMode="External"/><Relationship Id="rId90" Type="http://schemas.openxmlformats.org/officeDocument/2006/relationships/hyperlink" Target="https://amp.vexpenses.com/settings/membros-de-equipe/896026" TargetMode="External"/><Relationship Id="rId186" Type="http://schemas.openxmlformats.org/officeDocument/2006/relationships/hyperlink" Target="https://amp.vexpenses.com/settings/membros-de-equipe/896103" TargetMode="External"/><Relationship Id="rId351" Type="http://schemas.openxmlformats.org/officeDocument/2006/relationships/hyperlink" Target="https://amp.vexpenses.com/settings/membros-de-equipe/896243" TargetMode="External"/><Relationship Id="rId393" Type="http://schemas.openxmlformats.org/officeDocument/2006/relationships/hyperlink" Target="https://amp.vexpenses.com/settings/membros-de-equipe/896276" TargetMode="External"/><Relationship Id="rId407" Type="http://schemas.openxmlformats.org/officeDocument/2006/relationships/hyperlink" Target="https://amp.vexpenses.com/settings/membros-de-equipe/896288" TargetMode="External"/><Relationship Id="rId449" Type="http://schemas.openxmlformats.org/officeDocument/2006/relationships/hyperlink" Target="https://amp.vexpenses.com/settings/membros-de-equipe/896322" TargetMode="External"/><Relationship Id="rId211" Type="http://schemas.openxmlformats.org/officeDocument/2006/relationships/hyperlink" Target="https://amp.vexpenses.com/settings/membros-de-equipe/896123" TargetMode="External"/><Relationship Id="rId253" Type="http://schemas.openxmlformats.org/officeDocument/2006/relationships/hyperlink" Target="https://amp.vexpenses.com/settings/membros-de-equipe/896163" TargetMode="External"/><Relationship Id="rId295" Type="http://schemas.openxmlformats.org/officeDocument/2006/relationships/hyperlink" Target="https://amp.vexpenses.com/settings/membros-de-equipe/896422" TargetMode="External"/><Relationship Id="rId309" Type="http://schemas.openxmlformats.org/officeDocument/2006/relationships/hyperlink" Target="https://amp.vexpenses.com/settings/membros-de-equipe/923302" TargetMode="External"/><Relationship Id="rId460" Type="http://schemas.openxmlformats.org/officeDocument/2006/relationships/hyperlink" Target="https://amp.vexpenses.com/settings/membros-de-equipe/896205" TargetMode="External"/><Relationship Id="rId516" Type="http://schemas.openxmlformats.org/officeDocument/2006/relationships/hyperlink" Target="https://amp.vexpenses.com/settings/membros-de-equipe/896381" TargetMode="External"/><Relationship Id="rId48" Type="http://schemas.openxmlformats.org/officeDocument/2006/relationships/hyperlink" Target="https://amp.vexpenses.com/settings/membros-de-equipe/916889" TargetMode="External"/><Relationship Id="rId113" Type="http://schemas.openxmlformats.org/officeDocument/2006/relationships/hyperlink" Target="https://amp.vexpenses.com/settings/membros-de-equipe/896041" TargetMode="External"/><Relationship Id="rId320" Type="http://schemas.openxmlformats.org/officeDocument/2006/relationships/hyperlink" Target="https://amp.vexpenses.com/settings/membros-de-equipe/896220" TargetMode="External"/><Relationship Id="rId155" Type="http://schemas.openxmlformats.org/officeDocument/2006/relationships/hyperlink" Target="https://amp.vexpenses.com/settings/membros-de-equipe/946535" TargetMode="External"/><Relationship Id="rId197" Type="http://schemas.openxmlformats.org/officeDocument/2006/relationships/hyperlink" Target="https://amp.vexpenses.com/settings/membros-de-equipe/896113" TargetMode="External"/><Relationship Id="rId362" Type="http://schemas.openxmlformats.org/officeDocument/2006/relationships/hyperlink" Target="https://amp.vexpenses.com/settings/membros-de-equipe/896249" TargetMode="External"/><Relationship Id="rId418" Type="http://schemas.openxmlformats.org/officeDocument/2006/relationships/hyperlink" Target="https://amp.vexpenses.com/settings/membros-de-equipe/920083" TargetMode="External"/><Relationship Id="rId222" Type="http://schemas.openxmlformats.org/officeDocument/2006/relationships/hyperlink" Target="https://amp.vexpenses.com/settings/membros-de-equipe/922784" TargetMode="External"/><Relationship Id="rId264" Type="http://schemas.openxmlformats.org/officeDocument/2006/relationships/hyperlink" Target="https://amp.vexpenses.com/settings/membros-de-equipe/896174" TargetMode="External"/><Relationship Id="rId471" Type="http://schemas.openxmlformats.org/officeDocument/2006/relationships/hyperlink" Target="https://amp.vexpenses.com/settings/membros-de-equipe/896348" TargetMode="External"/><Relationship Id="rId17" Type="http://schemas.openxmlformats.org/officeDocument/2006/relationships/hyperlink" Target="https://amp.vexpenses.com/settings/membros-de-equipe/895959" TargetMode="External"/><Relationship Id="rId59" Type="http://schemas.openxmlformats.org/officeDocument/2006/relationships/hyperlink" Target="https://amp.vexpenses.com/settings/membros-de-equipe/895996" TargetMode="External"/><Relationship Id="rId124" Type="http://schemas.openxmlformats.org/officeDocument/2006/relationships/hyperlink" Target="https://amp.vexpenses.com/settings/membros-de-equipe/896051" TargetMode="External"/><Relationship Id="rId527" Type="http://schemas.openxmlformats.org/officeDocument/2006/relationships/hyperlink" Target="https://amp.vexpenses.com/settings/membros-de-equipe/896395" TargetMode="External"/><Relationship Id="rId70" Type="http://schemas.openxmlformats.org/officeDocument/2006/relationships/hyperlink" Target="https://amp.vexpenses.com/settings/membros-de-equipe/896005" TargetMode="External"/><Relationship Id="rId166" Type="http://schemas.openxmlformats.org/officeDocument/2006/relationships/hyperlink" Target="https://amp.vexpenses.com/settings/membros-de-equipe/896085" TargetMode="External"/><Relationship Id="rId331" Type="http://schemas.openxmlformats.org/officeDocument/2006/relationships/hyperlink" Target="https://amp.vexpenses.com/settings/membros-de-equipe/896226" TargetMode="External"/><Relationship Id="rId373" Type="http://schemas.openxmlformats.org/officeDocument/2006/relationships/hyperlink" Target="https://amp.vexpenses.com/settings/membros-de-equipe/896257" TargetMode="External"/><Relationship Id="rId429" Type="http://schemas.openxmlformats.org/officeDocument/2006/relationships/hyperlink" Target="https://amp.vexpenses.com/settings/membros-de-equipe/896304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44" TargetMode="External"/><Relationship Id="rId440" Type="http://schemas.openxmlformats.org/officeDocument/2006/relationships/hyperlink" Target="https://amp.vexpenses.com/settings/membros-de-equipe/896314" TargetMode="External"/><Relationship Id="rId28" Type="http://schemas.openxmlformats.org/officeDocument/2006/relationships/hyperlink" Target="https://amp.vexpenses.com/settings/membros-de-equipe/917318" TargetMode="External"/><Relationship Id="rId275" Type="http://schemas.openxmlformats.org/officeDocument/2006/relationships/hyperlink" Target="https://amp.vexpenses.com/settings/membros-de-equipe/896184" TargetMode="External"/><Relationship Id="rId300" Type="http://schemas.openxmlformats.org/officeDocument/2006/relationships/hyperlink" Target="https://amp.vexpenses.com/settings/membros-de-equipe/896207" TargetMode="External"/><Relationship Id="rId482" Type="http://schemas.openxmlformats.org/officeDocument/2006/relationships/hyperlink" Target="https://amp.vexpenses.com/settings/membros-de-equipe/918849" TargetMode="External"/><Relationship Id="rId81" Type="http://schemas.openxmlformats.org/officeDocument/2006/relationships/hyperlink" Target="https://amp.vexpenses.com/settings/membros-de-equipe/917342" TargetMode="External"/><Relationship Id="rId135" Type="http://schemas.openxmlformats.org/officeDocument/2006/relationships/hyperlink" Target="https://amp.vexpenses.com/settings/membros-de-equipe/927175" TargetMode="External"/><Relationship Id="rId177" Type="http://schemas.openxmlformats.org/officeDocument/2006/relationships/hyperlink" Target="https://amp.vexpenses.com/settings/membros-de-equipe/896092" TargetMode="External"/><Relationship Id="rId342" Type="http://schemas.openxmlformats.org/officeDocument/2006/relationships/hyperlink" Target="https://amp.vexpenses.com/settings/membros-de-equipe/896235" TargetMode="External"/><Relationship Id="rId384" Type="http://schemas.openxmlformats.org/officeDocument/2006/relationships/hyperlink" Target="https://amp.vexpenses.com/settings/membros-de-equipe/896267" TargetMode="External"/><Relationship Id="rId202" Type="http://schemas.openxmlformats.org/officeDocument/2006/relationships/hyperlink" Target="https://amp.vexpenses.com/settings/membros-de-equipe/896421" TargetMode="External"/><Relationship Id="rId244" Type="http://schemas.openxmlformats.org/officeDocument/2006/relationships/hyperlink" Target="https://amp.vexpenses.com/settings/membros-de-equipe/896156" TargetMode="External"/><Relationship Id="rId39" Type="http://schemas.openxmlformats.org/officeDocument/2006/relationships/hyperlink" Target="https://amp.vexpenses.com/settings/membros-de-equipe/895977" TargetMode="External"/><Relationship Id="rId286" Type="http://schemas.openxmlformats.org/officeDocument/2006/relationships/hyperlink" Target="https://amp.vexpenses.com/settings/membros-de-equipe/896196" TargetMode="External"/><Relationship Id="rId451" Type="http://schemas.openxmlformats.org/officeDocument/2006/relationships/hyperlink" Target="https://amp.vexpenses.com/settings/membros-de-equipe/896273" TargetMode="External"/><Relationship Id="rId493" Type="http://schemas.openxmlformats.org/officeDocument/2006/relationships/hyperlink" Target="https://amp.vexpenses.com/settings/membros-de-equipe/896363" TargetMode="External"/><Relationship Id="rId507" Type="http://schemas.openxmlformats.org/officeDocument/2006/relationships/hyperlink" Target="https://amp.vexpenses.com/settings/membros-de-equipe/896376" TargetMode="External"/><Relationship Id="rId50" Type="http://schemas.openxmlformats.org/officeDocument/2006/relationships/hyperlink" Target="https://amp.vexpenses.com/settings/membros-de-equipe/891977" TargetMode="External"/><Relationship Id="rId104" Type="http://schemas.openxmlformats.org/officeDocument/2006/relationships/hyperlink" Target="https://amp.vexpenses.com/settings/membros-de-equipe/890792" TargetMode="External"/><Relationship Id="rId146" Type="http://schemas.openxmlformats.org/officeDocument/2006/relationships/hyperlink" Target="https://amp.vexpenses.com/settings/membros-de-equipe/896071" TargetMode="External"/><Relationship Id="rId188" Type="http://schemas.openxmlformats.org/officeDocument/2006/relationships/hyperlink" Target="https://amp.vexpenses.com/settings/membros-de-equipe/896105" TargetMode="External"/><Relationship Id="rId311" Type="http://schemas.openxmlformats.org/officeDocument/2006/relationships/hyperlink" Target="https://amp.vexpenses.com/settings/membros-de-equipe/917049" TargetMode="External"/><Relationship Id="rId353" Type="http://schemas.openxmlformats.org/officeDocument/2006/relationships/hyperlink" Target="https://amp.vexpenses.com/settings/membros-de-equipe/928767" TargetMode="External"/><Relationship Id="rId395" Type="http://schemas.openxmlformats.org/officeDocument/2006/relationships/hyperlink" Target="https://amp.vexpenses.com/settings/membros-de-equipe/896278" TargetMode="External"/><Relationship Id="rId409" Type="http://schemas.openxmlformats.org/officeDocument/2006/relationships/hyperlink" Target="https://amp.vexpenses.com/settings/membros-de-equipe/896290" TargetMode="External"/><Relationship Id="rId92" Type="http://schemas.openxmlformats.org/officeDocument/2006/relationships/hyperlink" Target="https://amp.vexpenses.com/settings/membros-de-equipe/896028" TargetMode="External"/><Relationship Id="rId213" Type="http://schemas.openxmlformats.org/officeDocument/2006/relationships/hyperlink" Target="https://amp.vexpenses.com/settings/membros-de-equipe/896125" TargetMode="External"/><Relationship Id="rId420" Type="http://schemas.openxmlformats.org/officeDocument/2006/relationships/hyperlink" Target="https://amp.vexpenses.com/settings/membros-de-equipe/891978" TargetMode="External"/><Relationship Id="rId255" Type="http://schemas.openxmlformats.org/officeDocument/2006/relationships/hyperlink" Target="https://amp.vexpenses.com/settings/membros-de-equipe/896164" TargetMode="External"/><Relationship Id="rId297" Type="http://schemas.openxmlformats.org/officeDocument/2006/relationships/hyperlink" Target="https://amp.vexpenses.com/settings/membros-de-equipe/896205" TargetMode="External"/><Relationship Id="rId462" Type="http://schemas.openxmlformats.org/officeDocument/2006/relationships/hyperlink" Target="https://amp.vexpenses.com/settings/membros-de-equipe/917364" TargetMode="External"/><Relationship Id="rId518" Type="http://schemas.openxmlformats.org/officeDocument/2006/relationships/hyperlink" Target="https://amp.vexpenses.com/settings/membros-de-equipe/896385" TargetMode="External"/><Relationship Id="rId115" Type="http://schemas.openxmlformats.org/officeDocument/2006/relationships/hyperlink" Target="https://amp.vexpenses.com/settings/membros-de-equipe/896043" TargetMode="External"/><Relationship Id="rId157" Type="http://schemas.openxmlformats.org/officeDocument/2006/relationships/hyperlink" Target="https://amp.vexpenses.com/settings/membros-de-equipe/922738" TargetMode="External"/><Relationship Id="rId322" Type="http://schemas.openxmlformats.org/officeDocument/2006/relationships/hyperlink" Target="https://amp.vexpenses.com/settings/membros-de-equipe/940725" TargetMode="External"/><Relationship Id="rId364" Type="http://schemas.openxmlformats.org/officeDocument/2006/relationships/hyperlink" Target="https://amp.vexpenses.com/settings/membros-de-equipe/913936" TargetMode="External"/><Relationship Id="rId61" Type="http://schemas.openxmlformats.org/officeDocument/2006/relationships/hyperlink" Target="https://amp.vexpenses.com/settings/membros-de-equipe/917085" TargetMode="External"/><Relationship Id="rId199" Type="http://schemas.openxmlformats.org/officeDocument/2006/relationships/hyperlink" Target="https://amp.vexpenses.com/settings/membros-de-equipe/896115" TargetMode="External"/><Relationship Id="rId19" Type="http://schemas.openxmlformats.org/officeDocument/2006/relationships/hyperlink" Target="https://amp.vexpenses.com/settings/membros-de-equipe/895962" TargetMode="External"/><Relationship Id="rId224" Type="http://schemas.openxmlformats.org/officeDocument/2006/relationships/hyperlink" Target="https://amp.vexpenses.com/settings/membros-de-equipe/896135" TargetMode="External"/><Relationship Id="rId266" Type="http://schemas.openxmlformats.org/officeDocument/2006/relationships/hyperlink" Target="https://amp.vexpenses.com/settings/membros-de-equipe/896175" TargetMode="External"/><Relationship Id="rId431" Type="http://schemas.openxmlformats.org/officeDocument/2006/relationships/hyperlink" Target="https://amp.vexpenses.com/settings/membros-de-equipe/896305" TargetMode="External"/><Relationship Id="rId473" Type="http://schemas.openxmlformats.org/officeDocument/2006/relationships/hyperlink" Target="https://amp.vexpenses.com/settings/membros-de-equipe/896350" TargetMode="External"/><Relationship Id="rId529" Type="http://schemas.openxmlformats.org/officeDocument/2006/relationships/hyperlink" Target="https://amp.vexpenses.com/settings/membros-de-equipe/916897" TargetMode="External"/><Relationship Id="rId30" Type="http://schemas.openxmlformats.org/officeDocument/2006/relationships/hyperlink" Target="https://amp.vexpenses.com/settings/membros-de-equipe/918852" TargetMode="External"/><Relationship Id="rId126" Type="http://schemas.openxmlformats.org/officeDocument/2006/relationships/hyperlink" Target="https://amp.vexpenses.com/settings/membros-de-equipe/896053" TargetMode="External"/><Relationship Id="rId168" Type="http://schemas.openxmlformats.org/officeDocument/2006/relationships/hyperlink" Target="https://amp.vexpenses.com/settings/membros-de-equipe/946138" TargetMode="External"/><Relationship Id="rId333" Type="http://schemas.openxmlformats.org/officeDocument/2006/relationships/hyperlink" Target="https://amp.vexpenses.com/settings/membros-de-equipe/896227" TargetMode="External"/><Relationship Id="rId72" Type="http://schemas.openxmlformats.org/officeDocument/2006/relationships/hyperlink" Target="https://amp.vexpenses.com/settings/membros-de-equipe/896007" TargetMode="External"/><Relationship Id="rId375" Type="http://schemas.openxmlformats.org/officeDocument/2006/relationships/hyperlink" Target="https://amp.vexpenses.com/settings/membros-de-equipe/896259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47" TargetMode="External"/><Relationship Id="rId277" Type="http://schemas.openxmlformats.org/officeDocument/2006/relationships/hyperlink" Target="https://amp.vexpenses.com/settings/membros-de-equipe/896185" TargetMode="External"/><Relationship Id="rId400" Type="http://schemas.openxmlformats.org/officeDocument/2006/relationships/hyperlink" Target="https://amp.vexpenses.com/settings/membros-de-equipe/896282" TargetMode="External"/><Relationship Id="rId442" Type="http://schemas.openxmlformats.org/officeDocument/2006/relationships/hyperlink" Target="https://amp.vexpenses.com/settings/membros-de-equipe/896315" TargetMode="External"/><Relationship Id="rId484" Type="http://schemas.openxmlformats.org/officeDocument/2006/relationships/hyperlink" Target="https://amp.vexpenses.com/settings/membros-de-equipe/896355" TargetMode="External"/><Relationship Id="rId137" Type="http://schemas.openxmlformats.org/officeDocument/2006/relationships/hyperlink" Target="https://amp.vexpenses.com/settings/membros-de-equipe/896064" TargetMode="External"/><Relationship Id="rId302" Type="http://schemas.openxmlformats.org/officeDocument/2006/relationships/hyperlink" Target="https://amp.vexpenses.com/settings/membros-de-equipe/896208" TargetMode="External"/><Relationship Id="rId344" Type="http://schemas.openxmlformats.org/officeDocument/2006/relationships/hyperlink" Target="https://amp.vexpenses.com/settings/membros-de-equipe/896237" TargetMode="External"/><Relationship Id="rId41" Type="http://schemas.openxmlformats.org/officeDocument/2006/relationships/hyperlink" Target="https://amp.vexpenses.com/settings/membros-de-equipe/934784" TargetMode="External"/><Relationship Id="rId83" Type="http://schemas.openxmlformats.org/officeDocument/2006/relationships/hyperlink" Target="https://amp.vexpenses.com/settings/membros-de-equipe/896019" TargetMode="External"/><Relationship Id="rId179" Type="http://schemas.openxmlformats.org/officeDocument/2006/relationships/hyperlink" Target="https://amp.vexpenses.com/settings/membros-de-equipe/896094" TargetMode="External"/><Relationship Id="rId386" Type="http://schemas.openxmlformats.org/officeDocument/2006/relationships/hyperlink" Target="https://amp.vexpenses.com/settings/membros-de-equipe/896270" TargetMode="External"/><Relationship Id="rId190" Type="http://schemas.openxmlformats.org/officeDocument/2006/relationships/hyperlink" Target="https://amp.vexpenses.com/settings/membros-de-equipe/896107" TargetMode="External"/><Relationship Id="rId204" Type="http://schemas.openxmlformats.org/officeDocument/2006/relationships/hyperlink" Target="https://amp.vexpenses.com/settings/membros-de-equipe/896119" TargetMode="External"/><Relationship Id="rId246" Type="http://schemas.openxmlformats.org/officeDocument/2006/relationships/hyperlink" Target="https://amp.vexpenses.com/settings/membros-de-equipe/896158" TargetMode="External"/><Relationship Id="rId288" Type="http://schemas.openxmlformats.org/officeDocument/2006/relationships/hyperlink" Target="https://amp.vexpenses.com/settings/membros-de-equipe/896198" TargetMode="External"/><Relationship Id="rId411" Type="http://schemas.openxmlformats.org/officeDocument/2006/relationships/hyperlink" Target="https://amp.vexpenses.com/settings/membros-de-equipe/896292" TargetMode="External"/><Relationship Id="rId453" Type="http://schemas.openxmlformats.org/officeDocument/2006/relationships/hyperlink" Target="https://amp.vexpenses.com/settings/membros-de-equipe/896357" TargetMode="External"/><Relationship Id="rId509" Type="http://schemas.openxmlformats.org/officeDocument/2006/relationships/hyperlink" Target="https://amp.vexpenses.com/settings/membros-de-equipe/917368" TargetMode="External"/><Relationship Id="rId106" Type="http://schemas.openxmlformats.org/officeDocument/2006/relationships/hyperlink" Target="https://amp.vexpenses.com/settings/membros-de-equipe/896037" TargetMode="External"/><Relationship Id="rId313" Type="http://schemas.openxmlformats.org/officeDocument/2006/relationships/hyperlink" Target="https://amp.vexpenses.com/settings/membros-de-equipe/896216" TargetMode="External"/><Relationship Id="rId495" Type="http://schemas.openxmlformats.org/officeDocument/2006/relationships/hyperlink" Target="https://amp.vexpenses.com/settings/membros-de-equipe/896359" TargetMode="External"/><Relationship Id="rId10" Type="http://schemas.openxmlformats.org/officeDocument/2006/relationships/hyperlink" Target="https://amp.vexpenses.com/settings/membros-de-equipe/895954" TargetMode="External"/><Relationship Id="rId52" Type="http://schemas.openxmlformats.org/officeDocument/2006/relationships/hyperlink" Target="https://amp.vexpenses.com/settings/membros-de-equipe/895989" TargetMode="External"/><Relationship Id="rId94" Type="http://schemas.openxmlformats.org/officeDocument/2006/relationships/hyperlink" Target="https://amp.vexpenses.com/settings/membros-de-equipe/896030" TargetMode="External"/><Relationship Id="rId148" Type="http://schemas.openxmlformats.org/officeDocument/2006/relationships/hyperlink" Target="https://amp.vexpenses.com/settings/membros-de-equipe/896073" TargetMode="External"/><Relationship Id="rId355" Type="http://schemas.openxmlformats.org/officeDocument/2006/relationships/hyperlink" Target="https://amp.vexpenses.com/settings/membros-de-equipe/917365" TargetMode="External"/><Relationship Id="rId397" Type="http://schemas.openxmlformats.org/officeDocument/2006/relationships/hyperlink" Target="https://amp.vexpenses.com/settings/membros-de-equipe/896280" TargetMode="External"/><Relationship Id="rId520" Type="http://schemas.openxmlformats.org/officeDocument/2006/relationships/hyperlink" Target="https://amp.vexpenses.com/settings/membros-de-equipe/896388" TargetMode="External"/><Relationship Id="rId215" Type="http://schemas.openxmlformats.org/officeDocument/2006/relationships/hyperlink" Target="https://amp.vexpenses.com/settings/membros-de-equipe/896127" TargetMode="External"/><Relationship Id="rId257" Type="http://schemas.openxmlformats.org/officeDocument/2006/relationships/hyperlink" Target="https://amp.vexpenses.com/settings/membros-de-equipe/896166" TargetMode="External"/><Relationship Id="rId422" Type="http://schemas.openxmlformats.org/officeDocument/2006/relationships/hyperlink" Target="https://amp.vexpenses.com/settings/membros-de-equipe/896299" TargetMode="External"/><Relationship Id="rId464" Type="http://schemas.openxmlformats.org/officeDocument/2006/relationships/hyperlink" Target="https://amp.vexpenses.com/settings/membros-de-equipe/896342" TargetMode="External"/><Relationship Id="rId299" Type="http://schemas.openxmlformats.org/officeDocument/2006/relationships/hyperlink" Target="https://amp.vexpenses.com/settings/membros-de-equipe/896206" TargetMode="External"/><Relationship Id="rId63" Type="http://schemas.openxmlformats.org/officeDocument/2006/relationships/hyperlink" Target="https://amp.vexpenses.com/settings/membros-de-equipe/930416" TargetMode="External"/><Relationship Id="rId159" Type="http://schemas.openxmlformats.org/officeDocument/2006/relationships/hyperlink" Target="https://amp.vexpenses.com/settings/membros-de-equipe/896081" TargetMode="External"/><Relationship Id="rId366" Type="http://schemas.openxmlformats.org/officeDocument/2006/relationships/hyperlink" Target="https://amp.vexpenses.com/settings/membros-de-equipe/896425" TargetMode="External"/><Relationship Id="rId226" Type="http://schemas.openxmlformats.org/officeDocument/2006/relationships/hyperlink" Target="https://amp.vexpenses.com/settings/membros-de-equipe/896137" TargetMode="External"/><Relationship Id="rId433" Type="http://schemas.openxmlformats.org/officeDocument/2006/relationships/hyperlink" Target="https://amp.vexpenses.com/settings/membros-de-equipe/928994" TargetMode="External"/><Relationship Id="rId74" Type="http://schemas.openxmlformats.org/officeDocument/2006/relationships/hyperlink" Target="https://amp.vexpenses.com/settings/membros-de-equipe/896009" TargetMode="External"/><Relationship Id="rId377" Type="http://schemas.openxmlformats.org/officeDocument/2006/relationships/hyperlink" Target="https://amp.vexpenses.com/settings/membros-de-equipe/891980" TargetMode="External"/><Relationship Id="rId500" Type="http://schemas.openxmlformats.org/officeDocument/2006/relationships/hyperlink" Target="https://amp.vexpenses.com/settings/membros-de-equipe/8959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38CD-59C8-4EC5-850A-DB30BB453880}">
  <dimension ref="A2:AY513"/>
  <sheetViews>
    <sheetView showGridLines="0" tabSelected="1" topLeftCell="L3" workbookViewId="0">
      <selection activeCell="R12" sqref="R12"/>
    </sheetView>
  </sheetViews>
  <sheetFormatPr defaultColWidth="8" defaultRowHeight="15.75" x14ac:dyDescent="0.25"/>
  <cols>
    <col min="1" max="1" width="3.625" style="34" customWidth="1"/>
    <col min="2" max="2" width="36.625" customWidth="1"/>
    <col min="3" max="3" width="10.5" bestFit="1" customWidth="1"/>
    <col min="4" max="4" width="16.75" style="1" bestFit="1" customWidth="1"/>
    <col min="5" max="5" width="23.25" style="1" customWidth="1"/>
    <col min="6" max="6" width="19" style="1" bestFit="1" customWidth="1"/>
    <col min="7" max="7" width="16.375" bestFit="1" customWidth="1"/>
    <col min="8" max="8" width="16.75" bestFit="1" customWidth="1"/>
    <col min="9" max="9" width="17.125" bestFit="1" customWidth="1"/>
    <col min="10" max="10" width="14.625" style="1" customWidth="1"/>
    <col min="11" max="11" width="13.625" style="1" bestFit="1" customWidth="1"/>
    <col min="12" max="12" width="14.25" style="1" bestFit="1" customWidth="1"/>
    <col min="13" max="13" width="14.75" customWidth="1"/>
    <col min="14" max="14" width="14.5" style="2" bestFit="1" customWidth="1"/>
    <col min="15" max="15" width="12.5" style="57" bestFit="1" customWidth="1"/>
    <col min="16" max="16" width="25.125" style="97" bestFit="1" customWidth="1"/>
    <col min="17" max="17" width="22" style="97" bestFit="1" customWidth="1"/>
    <col min="18" max="18" width="17.25" style="3" customWidth="1"/>
    <col min="19" max="19" width="13" style="3" bestFit="1" customWidth="1"/>
    <col min="20" max="20" width="17.25" style="3" customWidth="1"/>
    <col min="21" max="21" width="9.875" style="37" bestFit="1" customWidth="1"/>
    <col min="22" max="51" width="8" style="37"/>
  </cols>
  <sheetData>
    <row r="2" spans="1:51" ht="31.5" customHeight="1" x14ac:dyDescent="0.25">
      <c r="L2" s="56"/>
      <c r="R2" s="95"/>
      <c r="S2" s="95"/>
      <c r="T2" s="87"/>
      <c r="U2" s="89"/>
    </row>
    <row r="3" spans="1:51" ht="31.5" customHeight="1" x14ac:dyDescent="0.25">
      <c r="L3" s="56"/>
      <c r="R3" s="95"/>
      <c r="S3" s="95"/>
      <c r="U3" s="89"/>
    </row>
    <row r="4" spans="1:51" ht="31.5" customHeight="1" thickBot="1" x14ac:dyDescent="0.3">
      <c r="O4" s="96">
        <v>0.2</v>
      </c>
      <c r="R4" s="120"/>
      <c r="S4" s="120"/>
    </row>
    <row r="5" spans="1:51" s="59" customFormat="1" ht="36" customHeight="1" x14ac:dyDescent="0.25">
      <c r="A5" s="58"/>
      <c r="D5" s="60"/>
      <c r="E5" s="60"/>
      <c r="F5" s="60"/>
      <c r="I5" s="61">
        <f>SUBTOTAL(9,I7:I1048576)</f>
        <v>-127326.51999999986</v>
      </c>
      <c r="J5" s="61">
        <f>SUBTOTAL(9,J7:J1048576)</f>
        <v>235466.92000000007</v>
      </c>
      <c r="K5" s="61">
        <f>SUBTOTAL(9,K7:K1048576)</f>
        <v>481100</v>
      </c>
      <c r="L5" s="61">
        <f>SUBTOTAL(9,L7:L1048576)</f>
        <v>83158.159999999989</v>
      </c>
      <c r="M5" s="61">
        <f>SUBTOTAL(9,M7:M1048576)</f>
        <v>21300</v>
      </c>
      <c r="N5" s="61">
        <f>SUBTOTAL(9,N514:N1048576)</f>
        <v>0</v>
      </c>
      <c r="O5" s="61">
        <f>SUBTOTAL(9,O7:O1048576)</f>
        <v>25096.05599999996</v>
      </c>
      <c r="P5" s="98">
        <f>SUBTOTAL(9,P7:P1048576)</f>
        <v>277631.23000000021</v>
      </c>
      <c r="Q5" s="98">
        <f>SUBTOTAL(9,Q7:Q1048576)</f>
        <v>302727.28599999985</v>
      </c>
      <c r="R5" s="61"/>
      <c r="S5" s="61"/>
      <c r="T5" s="61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</row>
    <row r="6" spans="1:51" x14ac:dyDescent="0.25">
      <c r="B6" s="4" t="s">
        <v>0</v>
      </c>
      <c r="C6" s="4" t="s">
        <v>1</v>
      </c>
      <c r="D6" s="6" t="s">
        <v>2</v>
      </c>
      <c r="E6" s="7" t="s">
        <v>3</v>
      </c>
      <c r="F6" s="7" t="s">
        <v>4</v>
      </c>
      <c r="G6" s="5" t="s">
        <v>5</v>
      </c>
      <c r="H6" s="5" t="s">
        <v>6</v>
      </c>
      <c r="I6" s="85" t="s">
        <v>7</v>
      </c>
      <c r="J6" s="109" t="s">
        <v>8</v>
      </c>
      <c r="K6" s="10" t="s">
        <v>2023</v>
      </c>
      <c r="L6" s="8" t="s">
        <v>9</v>
      </c>
      <c r="M6" s="9" t="s">
        <v>10</v>
      </c>
      <c r="N6" s="110" t="s">
        <v>11</v>
      </c>
      <c r="O6" s="117" t="s">
        <v>12</v>
      </c>
      <c r="P6" s="114" t="s">
        <v>1752</v>
      </c>
      <c r="Q6" s="99" t="s">
        <v>1751</v>
      </c>
      <c r="R6" s="46" t="s">
        <v>13</v>
      </c>
      <c r="S6" s="11" t="s">
        <v>14</v>
      </c>
      <c r="T6" s="37"/>
      <c r="AW6"/>
      <c r="AX6"/>
      <c r="AY6"/>
    </row>
    <row r="7" spans="1:51" x14ac:dyDescent="0.25">
      <c r="B7" s="83" t="s">
        <v>250</v>
      </c>
      <c r="C7" s="64" t="s">
        <v>251</v>
      </c>
      <c r="D7" s="64" t="s">
        <v>17</v>
      </c>
      <c r="E7" s="64" t="s">
        <v>252</v>
      </c>
      <c r="F7" s="64">
        <v>11030290001</v>
      </c>
      <c r="G7" s="82" t="s">
        <v>1989</v>
      </c>
      <c r="H7" s="64" t="s">
        <v>20</v>
      </c>
      <c r="I7" s="65">
        <v>-3779.5100000000093</v>
      </c>
      <c r="J7" s="65">
        <v>0</v>
      </c>
      <c r="K7" s="65">
        <v>9840</v>
      </c>
      <c r="L7" s="65">
        <v>3</v>
      </c>
      <c r="M7" s="66">
        <v>0</v>
      </c>
      <c r="N7" s="88">
        <f>Tabela1[[#This Row],[1QZ DE DEZ 26]]-Tabela1[[#This Row],[SALDO FINAL]]-Tabela1[[#This Row],[SALDO CARTAO]]-Tabela1[[#This Row],[ADIANTAMENTO]]</f>
        <v>9837</v>
      </c>
      <c r="O7" s="67">
        <v>0</v>
      </c>
      <c r="P7" s="90">
        <f>IF(Tabela1[[#This Row],[CARGA PARCIAL]]&lt;0,0,Tabela1[[#This Row],[CARGA PARCIAL]])</f>
        <v>9837</v>
      </c>
      <c r="Q7" s="93">
        <f>IF(Tabela1[[#This Row],[CARGA PARCIAL]]&lt;0,0,Tabela1[[#This Row],[CARGA PARCIAL]])+Tabela1[[#This Row],[REEMBOLSO]]</f>
        <v>9837</v>
      </c>
      <c r="R7" s="66" t="s">
        <v>21</v>
      </c>
      <c r="S7" s="70"/>
      <c r="T7" s="37"/>
      <c r="AW7"/>
      <c r="AX7"/>
      <c r="AY7"/>
    </row>
    <row r="8" spans="1:51" x14ac:dyDescent="0.25">
      <c r="B8" s="103" t="s">
        <v>225</v>
      </c>
      <c r="C8" s="102" t="s">
        <v>226</v>
      </c>
      <c r="D8" s="64" t="s">
        <v>17</v>
      </c>
      <c r="E8" s="64" t="s">
        <v>227</v>
      </c>
      <c r="F8" s="64">
        <v>11030260001</v>
      </c>
      <c r="G8" s="82" t="s">
        <v>19</v>
      </c>
      <c r="H8" s="64" t="s">
        <v>20</v>
      </c>
      <c r="I8" s="65">
        <v>0</v>
      </c>
      <c r="J8" s="65">
        <v>328.69000000006054</v>
      </c>
      <c r="K8" s="65">
        <v>16000</v>
      </c>
      <c r="L8" s="65">
        <v>9</v>
      </c>
      <c r="M8" s="66">
        <v>6000</v>
      </c>
      <c r="N8" s="88">
        <f>Tabela1[[#This Row],[1QZ DE DEZ 26]]-Tabela1[[#This Row],[SALDO FINAL]]-Tabela1[[#This Row],[SALDO CARTAO]]-Tabela1[[#This Row],[ADIANTAMENTO]]</f>
        <v>9662.3099999999395</v>
      </c>
      <c r="O8" s="67">
        <f>(-Tabela1[[#This Row],[SALDO REEMBOLSAR]]*$O$4)</f>
        <v>0</v>
      </c>
      <c r="P8" s="122">
        <f>IF(Tabela1[[#This Row],[CARGA PARCIAL]]&lt;0,0,Tabela1[[#This Row],[CARGA PARCIAL]])</f>
        <v>9662.3099999999395</v>
      </c>
      <c r="Q8" s="93">
        <f>IF(Tabela1[[#This Row],[CARGA PARCIAL]]&lt;0,0,Tabela1[[#This Row],[CARGA PARCIAL]])+Tabela1[[#This Row],[REEMBOLSO]]</f>
        <v>9662.3099999999395</v>
      </c>
      <c r="R8" s="66" t="s">
        <v>21</v>
      </c>
      <c r="S8" s="70"/>
      <c r="T8" s="37"/>
      <c r="AW8"/>
      <c r="AX8"/>
      <c r="AY8"/>
    </row>
    <row r="9" spans="1:51" x14ac:dyDescent="0.25">
      <c r="B9" s="83" t="s">
        <v>115</v>
      </c>
      <c r="C9" s="64" t="s">
        <v>116</v>
      </c>
      <c r="D9" s="64" t="s">
        <v>17</v>
      </c>
      <c r="E9" s="64" t="s">
        <v>117</v>
      </c>
      <c r="F9" s="64">
        <v>11030660001</v>
      </c>
      <c r="G9" s="82" t="s">
        <v>25</v>
      </c>
      <c r="H9" s="64" t="s">
        <v>20</v>
      </c>
      <c r="I9" s="65">
        <v>-1551.7199999999896</v>
      </c>
      <c r="J9" s="65">
        <v>0</v>
      </c>
      <c r="K9" s="65">
        <v>7000</v>
      </c>
      <c r="L9" s="65">
        <v>285.2</v>
      </c>
      <c r="M9" s="66">
        <v>0</v>
      </c>
      <c r="N9" s="88">
        <f>Tabela1[[#This Row],[1QZ DE DEZ 26]]-Tabela1[[#This Row],[SALDO FINAL]]-Tabela1[[#This Row],[SALDO CARTAO]]-Tabela1[[#This Row],[ADIANTAMENTO]]</f>
        <v>6714.8</v>
      </c>
      <c r="O9" s="67">
        <f>(-Tabela1[[#This Row],[SALDO REEMBOLSAR]]*$O$4)</f>
        <v>310.34399999999795</v>
      </c>
      <c r="P9" s="90">
        <f>IF(Tabela1[[#This Row],[CARGA PARCIAL]]&lt;0,0,Tabela1[[#This Row],[CARGA PARCIAL]])</f>
        <v>6714.8</v>
      </c>
      <c r="Q9" s="93">
        <f>IF(Tabela1[[#This Row],[CARGA PARCIAL]]&lt;0,0,Tabela1[[#This Row],[CARGA PARCIAL]])+Tabela1[[#This Row],[REEMBOLSO]]</f>
        <v>7025.1439999999984</v>
      </c>
      <c r="R9" s="66" t="s">
        <v>21</v>
      </c>
      <c r="S9" s="70"/>
      <c r="T9" s="37"/>
      <c r="AW9"/>
      <c r="AX9"/>
      <c r="AY9"/>
    </row>
    <row r="10" spans="1:51" x14ac:dyDescent="0.25">
      <c r="B10" s="83" t="s">
        <v>617</v>
      </c>
      <c r="C10" s="64" t="s">
        <v>618</v>
      </c>
      <c r="D10" s="64" t="s">
        <v>17</v>
      </c>
      <c r="E10" s="64" t="s">
        <v>395</v>
      </c>
      <c r="F10" s="64">
        <v>11030790001</v>
      </c>
      <c r="G10" s="82" t="s">
        <v>244</v>
      </c>
      <c r="H10" s="64" t="s">
        <v>33</v>
      </c>
      <c r="I10" s="65">
        <v>0</v>
      </c>
      <c r="J10" s="65">
        <v>65.220000000000297</v>
      </c>
      <c r="K10" s="65">
        <v>6500</v>
      </c>
      <c r="L10" s="65">
        <v>3.46</v>
      </c>
      <c r="M10" s="70">
        <v>0</v>
      </c>
      <c r="N10" s="88">
        <f>Tabela1[[#This Row],[1QZ DE DEZ 26]]-Tabela1[[#This Row],[SALDO FINAL]]-Tabela1[[#This Row],[SALDO CARTAO]]-Tabela1[[#This Row],[ADIANTAMENTO]]</f>
        <v>6431.32</v>
      </c>
      <c r="O10" s="67">
        <f>(-Tabela1[[#This Row],[SALDO REEMBOLSAR]]*$O$4)</f>
        <v>0</v>
      </c>
      <c r="P10" s="90">
        <f>IF(Tabela1[[#This Row],[CARGA PARCIAL]]&lt;0,0,Tabela1[[#This Row],[CARGA PARCIAL]])</f>
        <v>6431.32</v>
      </c>
      <c r="Q10" s="93">
        <f>IF(Tabela1[[#This Row],[CARGA PARCIAL]]&lt;0,0,Tabela1[[#This Row],[CARGA PARCIAL]])+Tabela1[[#This Row],[REEMBOLSO]]</f>
        <v>6431.32</v>
      </c>
      <c r="R10" s="66" t="s">
        <v>21</v>
      </c>
      <c r="S10" s="70"/>
      <c r="T10" s="37"/>
      <c r="AW10"/>
      <c r="AX10"/>
      <c r="AY10"/>
    </row>
    <row r="11" spans="1:51" x14ac:dyDescent="0.25">
      <c r="B11" s="83" t="s">
        <v>440</v>
      </c>
      <c r="C11" s="64" t="s">
        <v>441</v>
      </c>
      <c r="D11" s="64" t="s">
        <v>17</v>
      </c>
      <c r="E11" s="64" t="s">
        <v>347</v>
      </c>
      <c r="F11" s="64">
        <v>11040040001</v>
      </c>
      <c r="G11" s="82" t="s">
        <v>1989</v>
      </c>
      <c r="H11" s="64" t="s">
        <v>20</v>
      </c>
      <c r="I11" s="65">
        <v>0</v>
      </c>
      <c r="J11" s="65">
        <v>510.76000000001022</v>
      </c>
      <c r="K11" s="65">
        <v>6800</v>
      </c>
      <c r="L11" s="65">
        <v>2</v>
      </c>
      <c r="M11" s="66">
        <v>0</v>
      </c>
      <c r="N11" s="88">
        <f>Tabela1[[#This Row],[1QZ DE DEZ 26]]-Tabela1[[#This Row],[SALDO FINAL]]-Tabela1[[#This Row],[SALDO CARTAO]]-Tabela1[[#This Row],[ADIANTAMENTO]]</f>
        <v>6287.2399999999898</v>
      </c>
      <c r="O11" s="67">
        <f>(-Tabela1[[#This Row],[SALDO REEMBOLSAR]]*$O$4)</f>
        <v>0</v>
      </c>
      <c r="P11" s="90">
        <f>IF(Tabela1[[#This Row],[CARGA PARCIAL]]&lt;0,0,Tabela1[[#This Row],[CARGA PARCIAL]])</f>
        <v>6287.2399999999898</v>
      </c>
      <c r="Q11" s="93">
        <f>IF(Tabela1[[#This Row],[CARGA PARCIAL]]&lt;0,0,Tabela1[[#This Row],[CARGA PARCIAL]])+Tabela1[[#This Row],[REEMBOLSO]]</f>
        <v>6287.2399999999898</v>
      </c>
      <c r="R11" s="66" t="s">
        <v>21</v>
      </c>
      <c r="S11" s="70"/>
      <c r="T11" s="37"/>
      <c r="AW11"/>
      <c r="AX11"/>
      <c r="AY11"/>
    </row>
    <row r="12" spans="1:51" x14ac:dyDescent="0.25">
      <c r="B12" s="103" t="s">
        <v>466</v>
      </c>
      <c r="C12" s="102" t="s">
        <v>467</v>
      </c>
      <c r="D12" s="64" t="s">
        <v>17</v>
      </c>
      <c r="E12" s="64" t="s">
        <v>468</v>
      </c>
      <c r="F12" s="64">
        <v>1104150001</v>
      </c>
      <c r="G12" s="82" t="s">
        <v>240</v>
      </c>
      <c r="H12" s="64" t="s">
        <v>33</v>
      </c>
      <c r="I12" s="65">
        <v>-353.73999999999688</v>
      </c>
      <c r="J12" s="65">
        <v>0</v>
      </c>
      <c r="K12" s="65">
        <v>5600</v>
      </c>
      <c r="L12" s="65">
        <v>0.55000000000000004</v>
      </c>
      <c r="M12" s="70">
        <v>0</v>
      </c>
      <c r="N12" s="88">
        <f>Tabela1[[#This Row],[1QZ DE DEZ 26]]-Tabela1[[#This Row],[SALDO FINAL]]-Tabela1[[#This Row],[SALDO CARTAO]]-Tabela1[[#This Row],[ADIANTAMENTO]]</f>
        <v>5599.45</v>
      </c>
      <c r="O12" s="67">
        <f>(-Tabela1[[#This Row],[SALDO REEMBOLSAR]]*$O$4)</f>
        <v>70.747999999999379</v>
      </c>
      <c r="P12" s="122">
        <f>IF(Tabela1[[#This Row],[CARGA PARCIAL]]&lt;0,0,Tabela1[[#This Row],[CARGA PARCIAL]])</f>
        <v>5599.45</v>
      </c>
      <c r="Q12" s="93">
        <f>IF(Tabela1[[#This Row],[CARGA PARCIAL]]&lt;0,0,Tabela1[[#This Row],[CARGA PARCIAL]])+Tabela1[[#This Row],[REEMBOLSO]]</f>
        <v>5670.1979999999994</v>
      </c>
      <c r="R12" s="66" t="s">
        <v>21</v>
      </c>
      <c r="S12" s="70"/>
      <c r="T12" s="37"/>
      <c r="AW12"/>
      <c r="AX12"/>
      <c r="AY12"/>
    </row>
    <row r="13" spans="1:51" x14ac:dyDescent="0.25">
      <c r="B13" s="103" t="s">
        <v>825</v>
      </c>
      <c r="C13" s="102" t="s">
        <v>826</v>
      </c>
      <c r="D13" s="64" t="s">
        <v>17</v>
      </c>
      <c r="E13" s="64" t="s">
        <v>315</v>
      </c>
      <c r="F13" s="64">
        <v>11030880001</v>
      </c>
      <c r="G13" s="82" t="s">
        <v>1989</v>
      </c>
      <c r="H13" s="64" t="s">
        <v>20</v>
      </c>
      <c r="I13" s="65">
        <v>-404.18000000000183</v>
      </c>
      <c r="J13" s="65">
        <v>0</v>
      </c>
      <c r="K13" s="65">
        <v>5000</v>
      </c>
      <c r="L13" s="65">
        <v>9.93</v>
      </c>
      <c r="M13" s="70">
        <v>0</v>
      </c>
      <c r="N13" s="88">
        <f>Tabela1[[#This Row],[1QZ DE DEZ 26]]-Tabela1[[#This Row],[SALDO FINAL]]-Tabela1[[#This Row],[SALDO CARTAO]]-Tabela1[[#This Row],[ADIANTAMENTO]]</f>
        <v>4990.07</v>
      </c>
      <c r="O13" s="67">
        <f>(-Tabela1[[#This Row],[SALDO REEMBOLSAR]]*$O$4)</f>
        <v>80.836000000000368</v>
      </c>
      <c r="P13" s="122">
        <f>IF(Tabela1[[#This Row],[CARGA PARCIAL]]&lt;0,0,Tabela1[[#This Row],[CARGA PARCIAL]])</f>
        <v>4990.07</v>
      </c>
      <c r="Q13" s="93">
        <f>IF(Tabela1[[#This Row],[CARGA PARCIAL]]&lt;0,0,Tabela1[[#This Row],[CARGA PARCIAL]])+Tabela1[[#This Row],[REEMBOLSO]]</f>
        <v>5070.9059999999999</v>
      </c>
      <c r="R13" s="66" t="s">
        <v>21</v>
      </c>
      <c r="S13" s="70"/>
      <c r="T13" s="37"/>
      <c r="AW13"/>
      <c r="AX13"/>
      <c r="AY13"/>
    </row>
    <row r="14" spans="1:51" x14ac:dyDescent="0.25">
      <c r="B14" s="83" t="s">
        <v>127</v>
      </c>
      <c r="C14" s="64" t="s">
        <v>128</v>
      </c>
      <c r="D14" s="64" t="s">
        <v>17</v>
      </c>
      <c r="E14" s="64" t="s">
        <v>87</v>
      </c>
      <c r="F14" s="64">
        <v>11080170001</v>
      </c>
      <c r="G14" s="82" t="s">
        <v>32</v>
      </c>
      <c r="H14" s="64" t="s">
        <v>33</v>
      </c>
      <c r="I14" s="65">
        <v>0</v>
      </c>
      <c r="J14" s="65">
        <v>967.69000000000176</v>
      </c>
      <c r="K14" s="65">
        <v>6000</v>
      </c>
      <c r="L14" s="65">
        <v>1.89</v>
      </c>
      <c r="M14" s="66">
        <v>0</v>
      </c>
      <c r="N14" s="88">
        <f>Tabela1[[#This Row],[1QZ DE DEZ 26]]-Tabela1[[#This Row],[SALDO FINAL]]-Tabela1[[#This Row],[SALDO CARTAO]]-Tabela1[[#This Row],[ADIANTAMENTO]]</f>
        <v>5030.4199999999983</v>
      </c>
      <c r="O14" s="67">
        <f>(-Tabela1[[#This Row],[SALDO REEMBOLSAR]]*$O$4)</f>
        <v>0</v>
      </c>
      <c r="P14" s="90">
        <f>IF(Tabela1[[#This Row],[CARGA PARCIAL]]&lt;0,0,Tabela1[[#This Row],[CARGA PARCIAL]])</f>
        <v>5030.4199999999983</v>
      </c>
      <c r="Q14" s="93">
        <f>IF(Tabela1[[#This Row],[CARGA PARCIAL]]&lt;0,0,Tabela1[[#This Row],[CARGA PARCIAL]])+Tabela1[[#This Row],[REEMBOLSO]]</f>
        <v>5030.4199999999983</v>
      </c>
      <c r="R14" s="66" t="s">
        <v>21</v>
      </c>
      <c r="S14" s="66"/>
      <c r="T14" s="37"/>
      <c r="AW14"/>
      <c r="AX14"/>
      <c r="AY14"/>
    </row>
    <row r="15" spans="1:51" x14ac:dyDescent="0.25">
      <c r="B15" s="83" t="s">
        <v>313</v>
      </c>
      <c r="C15" s="64" t="s">
        <v>314</v>
      </c>
      <c r="D15" s="64" t="s">
        <v>17</v>
      </c>
      <c r="E15" s="64" t="s">
        <v>315</v>
      </c>
      <c r="F15" s="64">
        <v>11030880001</v>
      </c>
      <c r="G15" s="82" t="s">
        <v>1989</v>
      </c>
      <c r="H15" s="64" t="s">
        <v>20</v>
      </c>
      <c r="I15" s="65">
        <v>0</v>
      </c>
      <c r="J15" s="65">
        <v>130.15000000000299</v>
      </c>
      <c r="K15" s="65">
        <v>5000</v>
      </c>
      <c r="L15" s="65">
        <v>37.82</v>
      </c>
      <c r="M15" s="66">
        <v>0</v>
      </c>
      <c r="N15" s="88">
        <f>Tabela1[[#This Row],[1QZ DE DEZ 26]]-Tabela1[[#This Row],[SALDO FINAL]]-Tabela1[[#This Row],[SALDO CARTAO]]-Tabela1[[#This Row],[ADIANTAMENTO]]</f>
        <v>4832.029999999997</v>
      </c>
      <c r="O15" s="67">
        <f>(-Tabela1[[#This Row],[SALDO REEMBOLSAR]]*$O$4)</f>
        <v>0</v>
      </c>
      <c r="P15" s="90">
        <f>IF(Tabela1[[#This Row],[CARGA PARCIAL]]&lt;0,0,Tabela1[[#This Row],[CARGA PARCIAL]])</f>
        <v>4832.029999999997</v>
      </c>
      <c r="Q15" s="93">
        <f>IF(Tabela1[[#This Row],[CARGA PARCIAL]]&lt;0,0,Tabela1[[#This Row],[CARGA PARCIAL]])+Tabela1[[#This Row],[REEMBOLSO]]</f>
        <v>4832.029999999997</v>
      </c>
      <c r="R15" s="66" t="s">
        <v>21</v>
      </c>
      <c r="S15" s="70"/>
      <c r="T15" s="37"/>
      <c r="AW15"/>
      <c r="AX15"/>
      <c r="AY15"/>
    </row>
    <row r="16" spans="1:51" x14ac:dyDescent="0.25">
      <c r="B16" s="83" t="s">
        <v>328</v>
      </c>
      <c r="C16" s="64" t="s">
        <v>329</v>
      </c>
      <c r="D16" s="64" t="s">
        <v>17</v>
      </c>
      <c r="E16" s="64" t="s">
        <v>330</v>
      </c>
      <c r="F16" s="64">
        <v>11061860001</v>
      </c>
      <c r="G16" s="82" t="s">
        <v>284</v>
      </c>
      <c r="H16" s="64" t="s">
        <v>20</v>
      </c>
      <c r="I16" s="65">
        <v>0</v>
      </c>
      <c r="J16" s="65">
        <v>216.73999999994004</v>
      </c>
      <c r="K16" s="65">
        <v>5000</v>
      </c>
      <c r="L16" s="65">
        <v>50.43</v>
      </c>
      <c r="M16" s="66">
        <v>0</v>
      </c>
      <c r="N16" s="88">
        <f>Tabela1[[#This Row],[1QZ DE DEZ 26]]-Tabela1[[#This Row],[SALDO FINAL]]-Tabela1[[#This Row],[SALDO CARTAO]]-Tabela1[[#This Row],[ADIANTAMENTO]]</f>
        <v>4732.83000000006</v>
      </c>
      <c r="O16" s="67">
        <f>(-Tabela1[[#This Row],[SALDO REEMBOLSAR]]*$O$4)</f>
        <v>0</v>
      </c>
      <c r="P16" s="90">
        <f>IF(Tabela1[[#This Row],[CARGA PARCIAL]]&lt;0,0,Tabela1[[#This Row],[CARGA PARCIAL]])</f>
        <v>4732.83000000006</v>
      </c>
      <c r="Q16" s="93">
        <f>IF(Tabela1[[#This Row],[CARGA PARCIAL]]&lt;0,0,Tabela1[[#This Row],[CARGA PARCIAL]])+Tabela1[[#This Row],[REEMBOLSO]]</f>
        <v>4732.83000000006</v>
      </c>
      <c r="R16" s="66" t="s">
        <v>21</v>
      </c>
      <c r="S16" s="70"/>
      <c r="T16" s="37"/>
      <c r="AW16"/>
      <c r="AX16"/>
      <c r="AY16"/>
    </row>
    <row r="17" spans="2:51" x14ac:dyDescent="0.25">
      <c r="B17" s="83" t="s">
        <v>604</v>
      </c>
      <c r="C17" s="64" t="s">
        <v>605</v>
      </c>
      <c r="D17" s="64" t="s">
        <v>17</v>
      </c>
      <c r="E17" s="64" t="s">
        <v>252</v>
      </c>
      <c r="F17" s="64">
        <v>11030290001</v>
      </c>
      <c r="G17" s="82" t="s">
        <v>1989</v>
      </c>
      <c r="H17" s="64" t="s">
        <v>20</v>
      </c>
      <c r="I17" s="65">
        <v>-1877.9299999999989</v>
      </c>
      <c r="J17" s="65">
        <v>0</v>
      </c>
      <c r="K17" s="65">
        <v>4520</v>
      </c>
      <c r="L17" s="65">
        <v>517.65</v>
      </c>
      <c r="M17" s="70">
        <v>0</v>
      </c>
      <c r="N17" s="88">
        <f>Tabela1[[#This Row],[1QZ DE DEZ 26]]-Tabela1[[#This Row],[SALDO FINAL]]-Tabela1[[#This Row],[SALDO CARTAO]]-Tabela1[[#This Row],[ADIANTAMENTO]]</f>
        <v>4002.35</v>
      </c>
      <c r="O17" s="67">
        <f>(-Tabela1[[#This Row],[SALDO REEMBOLSAR]]*$O$4)</f>
        <v>375.58599999999979</v>
      </c>
      <c r="P17" s="90">
        <f>IF(Tabela1[[#This Row],[CARGA PARCIAL]]&lt;0,0,Tabela1[[#This Row],[CARGA PARCIAL]])</f>
        <v>4002.35</v>
      </c>
      <c r="Q17" s="93">
        <f>IF(Tabela1[[#This Row],[CARGA PARCIAL]]&lt;0,0,Tabela1[[#This Row],[CARGA PARCIAL]])+Tabela1[[#This Row],[REEMBOLSO]]</f>
        <v>4377.9359999999997</v>
      </c>
      <c r="R17" s="66" t="s">
        <v>21</v>
      </c>
      <c r="S17" s="70"/>
      <c r="T17" s="37"/>
      <c r="AW17"/>
      <c r="AX17"/>
      <c r="AY17"/>
    </row>
    <row r="18" spans="2:51" x14ac:dyDescent="0.25">
      <c r="B18" s="83" t="s">
        <v>477</v>
      </c>
      <c r="C18" s="64" t="s">
        <v>478</v>
      </c>
      <c r="D18" s="64" t="s">
        <v>17</v>
      </c>
      <c r="E18" s="64" t="s">
        <v>479</v>
      </c>
      <c r="F18" s="64">
        <v>11061430001</v>
      </c>
      <c r="G18" s="82" t="s">
        <v>1989</v>
      </c>
      <c r="H18" s="64" t="s">
        <v>20</v>
      </c>
      <c r="I18" s="65">
        <v>0</v>
      </c>
      <c r="J18" s="65">
        <v>1328.9399999999987</v>
      </c>
      <c r="K18" s="65">
        <v>5700</v>
      </c>
      <c r="L18" s="65">
        <v>27</v>
      </c>
      <c r="M18" s="70">
        <v>0</v>
      </c>
      <c r="N18" s="88">
        <f>Tabela1[[#This Row],[1QZ DE DEZ 26]]-Tabela1[[#This Row],[SALDO FINAL]]-Tabela1[[#This Row],[SALDO CARTAO]]-Tabela1[[#This Row],[ADIANTAMENTO]]</f>
        <v>4344.0600000000013</v>
      </c>
      <c r="O18" s="67">
        <f>(-Tabela1[[#This Row],[SALDO REEMBOLSAR]]*$O$4)</f>
        <v>0</v>
      </c>
      <c r="P18" s="90">
        <f>IF(Tabela1[[#This Row],[CARGA PARCIAL]]&lt;0,0,Tabela1[[#This Row],[CARGA PARCIAL]])</f>
        <v>4344.0600000000013</v>
      </c>
      <c r="Q18" s="93">
        <f>IF(Tabela1[[#This Row],[CARGA PARCIAL]]&lt;0,0,Tabela1[[#This Row],[CARGA PARCIAL]])+Tabela1[[#This Row],[REEMBOLSO]]</f>
        <v>4344.0600000000013</v>
      </c>
      <c r="R18" s="66" t="s">
        <v>21</v>
      </c>
      <c r="S18" s="70"/>
      <c r="T18" s="37"/>
      <c r="AW18"/>
      <c r="AX18"/>
      <c r="AY18"/>
    </row>
    <row r="19" spans="2:51" x14ac:dyDescent="0.25">
      <c r="B19" s="103" t="s">
        <v>166</v>
      </c>
      <c r="C19" s="102" t="s">
        <v>167</v>
      </c>
      <c r="D19" s="64" t="s">
        <v>17</v>
      </c>
      <c r="E19" s="64" t="s">
        <v>120</v>
      </c>
      <c r="F19" s="64">
        <v>11030830001</v>
      </c>
      <c r="G19" s="82" t="s">
        <v>32</v>
      </c>
      <c r="H19" s="64" t="s">
        <v>33</v>
      </c>
      <c r="I19" s="65">
        <v>-1802.7999999998092</v>
      </c>
      <c r="J19" s="65">
        <v>0</v>
      </c>
      <c r="K19" s="65">
        <v>4000</v>
      </c>
      <c r="L19" s="65">
        <v>31.63</v>
      </c>
      <c r="M19" s="66">
        <v>0</v>
      </c>
      <c r="N19" s="88">
        <f>Tabela1[[#This Row],[1QZ DE DEZ 26]]-Tabela1[[#This Row],[SALDO FINAL]]-Tabela1[[#This Row],[SALDO CARTAO]]-Tabela1[[#This Row],[ADIANTAMENTO]]</f>
        <v>3968.37</v>
      </c>
      <c r="O19" s="67">
        <f>(-Tabela1[[#This Row],[SALDO REEMBOLSAR]]*$O$4)</f>
        <v>360.55999999996186</v>
      </c>
      <c r="P19" s="122">
        <f>IF(Tabela1[[#This Row],[CARGA PARCIAL]]&lt;0,0,Tabela1[[#This Row],[CARGA PARCIAL]])</f>
        <v>3968.37</v>
      </c>
      <c r="Q19" s="93">
        <f>IF(Tabela1[[#This Row],[CARGA PARCIAL]]&lt;0,0,Tabela1[[#This Row],[CARGA PARCIAL]])+Tabela1[[#This Row],[REEMBOLSO]]</f>
        <v>4328.9299999999621</v>
      </c>
      <c r="R19" s="66" t="s">
        <v>21</v>
      </c>
      <c r="S19" s="70"/>
      <c r="T19" s="37"/>
      <c r="AW19"/>
      <c r="AX19"/>
      <c r="AY19"/>
    </row>
    <row r="20" spans="2:51" x14ac:dyDescent="0.25">
      <c r="B20" s="103" t="s">
        <v>177</v>
      </c>
      <c r="C20" s="102" t="s">
        <v>178</v>
      </c>
      <c r="D20" s="64" t="s">
        <v>17</v>
      </c>
      <c r="E20" s="64" t="s">
        <v>120</v>
      </c>
      <c r="F20" s="64">
        <v>11030830001</v>
      </c>
      <c r="G20" s="82" t="s">
        <v>32</v>
      </c>
      <c r="H20" s="64" t="s">
        <v>33</v>
      </c>
      <c r="I20" s="65">
        <v>-366.24000000000814</v>
      </c>
      <c r="J20" s="65">
        <v>0</v>
      </c>
      <c r="K20" s="65">
        <v>4000</v>
      </c>
      <c r="L20" s="65">
        <v>22.95</v>
      </c>
      <c r="M20" s="66">
        <v>0</v>
      </c>
      <c r="N20" s="88">
        <f>Tabela1[[#This Row],[1QZ DE DEZ 26]]-Tabela1[[#This Row],[SALDO FINAL]]-Tabela1[[#This Row],[SALDO CARTAO]]-Tabela1[[#This Row],[ADIANTAMENTO]]</f>
        <v>3977.05</v>
      </c>
      <c r="O20" s="67">
        <f>(-Tabela1[[#This Row],[SALDO REEMBOLSAR]]*$O$4)</f>
        <v>73.248000000001625</v>
      </c>
      <c r="P20" s="122">
        <f>IF(Tabela1[[#This Row],[CARGA PARCIAL]]&lt;0,0,Tabela1[[#This Row],[CARGA PARCIAL]])</f>
        <v>3977.05</v>
      </c>
      <c r="Q20" s="93">
        <f>IF(Tabela1[[#This Row],[CARGA PARCIAL]]&lt;0,0,Tabela1[[#This Row],[CARGA PARCIAL]])+Tabela1[[#This Row],[REEMBOLSO]]</f>
        <v>4050.2980000000016</v>
      </c>
      <c r="R20" s="66" t="s">
        <v>21</v>
      </c>
      <c r="S20" s="70"/>
      <c r="T20" s="37"/>
      <c r="AW20"/>
      <c r="AX20"/>
      <c r="AY20"/>
    </row>
    <row r="21" spans="2:51" x14ac:dyDescent="0.25">
      <c r="B21" s="103" t="s">
        <v>749</v>
      </c>
      <c r="C21" s="102" t="s">
        <v>750</v>
      </c>
      <c r="D21" s="64" t="s">
        <v>17</v>
      </c>
      <c r="E21" s="64" t="s">
        <v>680</v>
      </c>
      <c r="F21" s="64">
        <v>11030700001</v>
      </c>
      <c r="G21" s="82" t="s">
        <v>244</v>
      </c>
      <c r="H21" s="64" t="s">
        <v>33</v>
      </c>
      <c r="I21" s="65">
        <v>0</v>
      </c>
      <c r="J21" s="65">
        <v>206.52000000000874</v>
      </c>
      <c r="K21" s="65">
        <v>4240</v>
      </c>
      <c r="L21" s="65">
        <v>4.88</v>
      </c>
      <c r="M21" s="66">
        <v>0</v>
      </c>
      <c r="N21" s="88">
        <f>Tabela1[[#This Row],[1QZ DE DEZ 26]]-Tabela1[[#This Row],[SALDO FINAL]]-Tabela1[[#This Row],[SALDO CARTAO]]-Tabela1[[#This Row],[ADIANTAMENTO]]</f>
        <v>4028.5999999999913</v>
      </c>
      <c r="O21" s="67">
        <f>(-Tabela1[[#This Row],[SALDO REEMBOLSAR]]*$O$4)</f>
        <v>0</v>
      </c>
      <c r="P21" s="122">
        <f>IF(Tabela1[[#This Row],[CARGA PARCIAL]]&lt;0,0,Tabela1[[#This Row],[CARGA PARCIAL]])</f>
        <v>4028.5999999999913</v>
      </c>
      <c r="Q21" s="93">
        <f>IF(Tabela1[[#This Row],[CARGA PARCIAL]]&lt;0,0,Tabela1[[#This Row],[CARGA PARCIAL]])+Tabela1[[#This Row],[REEMBOLSO]]</f>
        <v>4028.5999999999913</v>
      </c>
      <c r="R21" s="66" t="s">
        <v>21</v>
      </c>
      <c r="S21" s="70"/>
      <c r="T21" s="37"/>
      <c r="AW21"/>
      <c r="AX21"/>
      <c r="AY21"/>
    </row>
    <row r="22" spans="2:51" x14ac:dyDescent="0.25">
      <c r="B22" s="103" t="s">
        <v>784</v>
      </c>
      <c r="C22" s="102" t="s">
        <v>785</v>
      </c>
      <c r="D22" s="64" t="s">
        <v>17</v>
      </c>
      <c r="E22" s="64" t="s">
        <v>315</v>
      </c>
      <c r="F22" s="64">
        <v>11030880001</v>
      </c>
      <c r="G22" s="82" t="s">
        <v>1989</v>
      </c>
      <c r="H22" s="64" t="s">
        <v>20</v>
      </c>
      <c r="I22" s="65">
        <v>0</v>
      </c>
      <c r="J22" s="65">
        <v>1012.7000000000008</v>
      </c>
      <c r="K22" s="65">
        <v>5000</v>
      </c>
      <c r="L22" s="65">
        <v>4.59</v>
      </c>
      <c r="M22" s="70">
        <v>0</v>
      </c>
      <c r="N22" s="88">
        <f>Tabela1[[#This Row],[1QZ DE DEZ 26]]-Tabela1[[#This Row],[SALDO FINAL]]-Tabela1[[#This Row],[SALDO CARTAO]]-Tabela1[[#This Row],[ADIANTAMENTO]]</f>
        <v>3982.7099999999991</v>
      </c>
      <c r="O22" s="67">
        <f>(-Tabela1[[#This Row],[SALDO REEMBOLSAR]]*$O$4)</f>
        <v>0</v>
      </c>
      <c r="P22" s="122">
        <f>IF(Tabela1[[#This Row],[CARGA PARCIAL]]&lt;0,0,Tabela1[[#This Row],[CARGA PARCIAL]])</f>
        <v>3982.7099999999991</v>
      </c>
      <c r="Q22" s="93">
        <f>IF(Tabela1[[#This Row],[CARGA PARCIAL]]&lt;0,0,Tabela1[[#This Row],[CARGA PARCIAL]])+Tabela1[[#This Row],[REEMBOLSO]]</f>
        <v>3982.7099999999991</v>
      </c>
      <c r="R22" s="66" t="s">
        <v>21</v>
      </c>
      <c r="S22" s="70"/>
      <c r="T22" s="37"/>
      <c r="AW22"/>
      <c r="AX22"/>
      <c r="AY22"/>
    </row>
    <row r="23" spans="2:51" x14ac:dyDescent="0.25">
      <c r="B23" s="83" t="s">
        <v>570</v>
      </c>
      <c r="C23" s="64" t="s">
        <v>571</v>
      </c>
      <c r="D23" s="64" t="s">
        <v>17</v>
      </c>
      <c r="E23" s="64" t="s">
        <v>392</v>
      </c>
      <c r="F23" s="64">
        <v>11061770001</v>
      </c>
      <c r="G23" s="82" t="s">
        <v>236</v>
      </c>
      <c r="H23" s="64" t="s">
        <v>33</v>
      </c>
      <c r="I23" s="65">
        <v>-755.40999999999156</v>
      </c>
      <c r="J23" s="65">
        <v>0</v>
      </c>
      <c r="K23" s="65">
        <v>4000</v>
      </c>
      <c r="L23" s="65">
        <v>190.17</v>
      </c>
      <c r="M23" s="66">
        <v>0</v>
      </c>
      <c r="N23" s="88">
        <f>Tabela1[[#This Row],[1QZ DE DEZ 26]]-Tabela1[[#This Row],[SALDO FINAL]]-Tabela1[[#This Row],[SALDO CARTAO]]-Tabela1[[#This Row],[ADIANTAMENTO]]</f>
        <v>3809.83</v>
      </c>
      <c r="O23" s="67">
        <f>(-Tabela1[[#This Row],[SALDO REEMBOLSAR]]*$O$4)</f>
        <v>151.08199999999832</v>
      </c>
      <c r="P23" s="90">
        <f>IF(Tabela1[[#This Row],[CARGA PARCIAL]]&lt;0,0,Tabela1[[#This Row],[CARGA PARCIAL]])</f>
        <v>3809.83</v>
      </c>
      <c r="Q23" s="93">
        <f>IF(Tabela1[[#This Row],[CARGA PARCIAL]]&lt;0,0,Tabela1[[#This Row],[CARGA PARCIAL]])+Tabela1[[#This Row],[REEMBOLSO]]</f>
        <v>3960.9119999999984</v>
      </c>
      <c r="R23" s="66" t="s">
        <v>21</v>
      </c>
      <c r="S23" s="70"/>
      <c r="T23" s="37"/>
      <c r="AW23"/>
      <c r="AX23"/>
      <c r="AY23"/>
    </row>
    <row r="24" spans="2:51" x14ac:dyDescent="0.25">
      <c r="B24" s="83" t="s">
        <v>308</v>
      </c>
      <c r="C24" s="64" t="s">
        <v>309</v>
      </c>
      <c r="D24" s="64" t="s">
        <v>17</v>
      </c>
      <c r="E24" s="64" t="s">
        <v>252</v>
      </c>
      <c r="F24" s="64">
        <v>11030290001</v>
      </c>
      <c r="G24" s="82" t="s">
        <v>1989</v>
      </c>
      <c r="H24" s="64" t="s">
        <v>20</v>
      </c>
      <c r="I24" s="65">
        <v>-1164.1300000000083</v>
      </c>
      <c r="J24" s="65">
        <v>0</v>
      </c>
      <c r="K24" s="65">
        <v>4000</v>
      </c>
      <c r="L24" s="65">
        <v>520.5</v>
      </c>
      <c r="M24" s="70">
        <v>0</v>
      </c>
      <c r="N24" s="88">
        <f>Tabela1[[#This Row],[1QZ DE DEZ 26]]-Tabela1[[#This Row],[SALDO FINAL]]-Tabela1[[#This Row],[SALDO CARTAO]]-Tabela1[[#This Row],[ADIANTAMENTO]]</f>
        <v>3479.5</v>
      </c>
      <c r="O24" s="67">
        <f>(-Tabela1[[#This Row],[SALDO REEMBOLSAR]]*$O$4)</f>
        <v>232.82600000000167</v>
      </c>
      <c r="P24" s="90">
        <f>IF(Tabela1[[#This Row],[CARGA PARCIAL]]&lt;0,0,Tabela1[[#This Row],[CARGA PARCIAL]])</f>
        <v>3479.5</v>
      </c>
      <c r="Q24" s="93">
        <f>IF(Tabela1[[#This Row],[CARGA PARCIAL]]&lt;0,0,Tabela1[[#This Row],[CARGA PARCIAL]])+Tabela1[[#This Row],[REEMBOLSO]]</f>
        <v>3712.3260000000018</v>
      </c>
      <c r="R24" s="66" t="s">
        <v>21</v>
      </c>
      <c r="S24" s="70"/>
      <c r="T24" s="37"/>
      <c r="AW24"/>
      <c r="AX24"/>
      <c r="AY24"/>
    </row>
    <row r="25" spans="2:51" x14ac:dyDescent="0.25">
      <c r="B25" s="103" t="s">
        <v>182</v>
      </c>
      <c r="C25" s="102" t="s">
        <v>183</v>
      </c>
      <c r="D25" s="64" t="s">
        <v>17</v>
      </c>
      <c r="E25" s="64" t="s">
        <v>159</v>
      </c>
      <c r="F25" s="64">
        <v>11030750001</v>
      </c>
      <c r="G25" s="82" t="s">
        <v>32</v>
      </c>
      <c r="H25" s="64" t="s">
        <v>33</v>
      </c>
      <c r="I25" s="65">
        <v>0</v>
      </c>
      <c r="J25" s="65">
        <v>2420.879999999991</v>
      </c>
      <c r="K25" s="65">
        <v>5750</v>
      </c>
      <c r="L25" s="65">
        <v>6.54</v>
      </c>
      <c r="M25" s="70">
        <v>0</v>
      </c>
      <c r="N25" s="88">
        <f>Tabela1[[#This Row],[1QZ DE DEZ 26]]-Tabela1[[#This Row],[SALDO FINAL]]-Tabela1[[#This Row],[SALDO CARTAO]]-Tabela1[[#This Row],[ADIANTAMENTO]]</f>
        <v>3322.580000000009</v>
      </c>
      <c r="O25" s="67">
        <f>(-Tabela1[[#This Row],[SALDO REEMBOLSAR]]*$O$4)</f>
        <v>0</v>
      </c>
      <c r="P25" s="122">
        <f>IF(Tabela1[[#This Row],[CARGA PARCIAL]]&lt;0,0,Tabela1[[#This Row],[CARGA PARCIAL]])</f>
        <v>3322.580000000009</v>
      </c>
      <c r="Q25" s="93">
        <f>IF(Tabela1[[#This Row],[CARGA PARCIAL]]&lt;0,0,Tabela1[[#This Row],[CARGA PARCIAL]])+Tabela1[[#This Row],[REEMBOLSO]]</f>
        <v>3322.580000000009</v>
      </c>
      <c r="R25" s="66" t="s">
        <v>21</v>
      </c>
      <c r="S25" s="70"/>
      <c r="T25" s="37"/>
      <c r="AW25"/>
      <c r="AX25"/>
      <c r="AY25"/>
    </row>
    <row r="26" spans="2:51" x14ac:dyDescent="0.25">
      <c r="B26" s="83" t="s">
        <v>615</v>
      </c>
      <c r="C26" s="64" t="s">
        <v>616</v>
      </c>
      <c r="D26" s="64" t="s">
        <v>17</v>
      </c>
      <c r="E26" s="64" t="s">
        <v>476</v>
      </c>
      <c r="F26" s="64">
        <v>11060710001</v>
      </c>
      <c r="G26" s="82" t="s">
        <v>284</v>
      </c>
      <c r="H26" s="64" t="s">
        <v>20</v>
      </c>
      <c r="I26" s="65">
        <v>0</v>
      </c>
      <c r="J26" s="65">
        <v>707.99999999998067</v>
      </c>
      <c r="K26" s="65">
        <v>4000</v>
      </c>
      <c r="L26" s="65">
        <v>0.03</v>
      </c>
      <c r="M26" s="66">
        <v>0</v>
      </c>
      <c r="N26" s="88">
        <f>Tabela1[[#This Row],[1QZ DE DEZ 26]]-Tabela1[[#This Row],[SALDO FINAL]]-Tabela1[[#This Row],[SALDO CARTAO]]-Tabela1[[#This Row],[ADIANTAMENTO]]</f>
        <v>3291.9700000000189</v>
      </c>
      <c r="O26" s="67">
        <f>(-Tabela1[[#This Row],[SALDO REEMBOLSAR]]*$O$4)</f>
        <v>0</v>
      </c>
      <c r="P26" s="90">
        <f>IF(Tabela1[[#This Row],[CARGA PARCIAL]]&lt;0,0,Tabela1[[#This Row],[CARGA PARCIAL]])</f>
        <v>3291.9700000000189</v>
      </c>
      <c r="Q26" s="93">
        <f>IF(Tabela1[[#This Row],[CARGA PARCIAL]]&lt;0,0,Tabela1[[#This Row],[CARGA PARCIAL]])+Tabela1[[#This Row],[REEMBOLSO]]</f>
        <v>3291.9700000000189</v>
      </c>
      <c r="R26" s="66" t="s">
        <v>21</v>
      </c>
      <c r="S26" s="70"/>
      <c r="T26" s="37"/>
      <c r="AW26"/>
      <c r="AX26"/>
      <c r="AY26"/>
    </row>
    <row r="27" spans="2:51" x14ac:dyDescent="0.25">
      <c r="B27" s="83" t="s">
        <v>29</v>
      </c>
      <c r="C27" s="64" t="s">
        <v>30</v>
      </c>
      <c r="D27" s="64" t="s">
        <v>17</v>
      </c>
      <c r="E27" s="64" t="s">
        <v>31</v>
      </c>
      <c r="F27" s="64">
        <v>11030840001</v>
      </c>
      <c r="G27" s="82" t="s">
        <v>32</v>
      </c>
      <c r="H27" s="64" t="s">
        <v>33</v>
      </c>
      <c r="I27" s="65">
        <v>-1162.8600000000006</v>
      </c>
      <c r="J27" s="65">
        <v>0</v>
      </c>
      <c r="K27" s="65">
        <v>3000</v>
      </c>
      <c r="L27" s="65">
        <v>0</v>
      </c>
      <c r="M27" s="70">
        <v>0</v>
      </c>
      <c r="N27" s="88">
        <f>Tabela1[[#This Row],[1QZ DE DEZ 26]]-Tabela1[[#This Row],[SALDO FINAL]]-Tabela1[[#This Row],[SALDO CARTAO]]-Tabela1[[#This Row],[ADIANTAMENTO]]</f>
        <v>3000</v>
      </c>
      <c r="O27" s="67">
        <f>(-Tabela1[[#This Row],[SALDO REEMBOLSAR]]*$O$4)</f>
        <v>232.57200000000012</v>
      </c>
      <c r="P27" s="90">
        <f>IF(Tabela1[[#This Row],[CARGA PARCIAL]]&lt;0,0,Tabela1[[#This Row],[CARGA PARCIAL]])</f>
        <v>3000</v>
      </c>
      <c r="Q27" s="93">
        <f>IF(Tabela1[[#This Row],[CARGA PARCIAL]]&lt;0,0,Tabela1[[#This Row],[CARGA PARCIAL]])+Tabela1[[#This Row],[REEMBOLSO]]</f>
        <v>3232.5720000000001</v>
      </c>
      <c r="R27" s="66" t="s">
        <v>21</v>
      </c>
      <c r="S27" s="70"/>
      <c r="T27" s="37"/>
      <c r="AW27"/>
      <c r="AX27"/>
      <c r="AY27"/>
    </row>
    <row r="28" spans="2:51" x14ac:dyDescent="0.25">
      <c r="B28" s="83" t="s">
        <v>118</v>
      </c>
      <c r="C28" s="64" t="s">
        <v>119</v>
      </c>
      <c r="D28" s="64" t="s">
        <v>17</v>
      </c>
      <c r="E28" s="64" t="s">
        <v>120</v>
      </c>
      <c r="F28" s="64">
        <v>11030830001</v>
      </c>
      <c r="G28" s="82" t="s">
        <v>32</v>
      </c>
      <c r="H28" s="64" t="s">
        <v>33</v>
      </c>
      <c r="I28" s="65">
        <v>-50.629999999988648</v>
      </c>
      <c r="J28" s="65">
        <v>0</v>
      </c>
      <c r="K28" s="65">
        <v>3000</v>
      </c>
      <c r="L28" s="65">
        <v>2.15</v>
      </c>
      <c r="M28" s="66">
        <v>0</v>
      </c>
      <c r="N28" s="88">
        <f>Tabela1[[#This Row],[1QZ DE DEZ 26]]-Tabela1[[#This Row],[SALDO FINAL]]-Tabela1[[#This Row],[SALDO CARTAO]]-Tabela1[[#This Row],[ADIANTAMENTO]]</f>
        <v>2997.85</v>
      </c>
      <c r="O28" s="67">
        <f>-Tabela1[[#This Row],[SALDO REEMBOLSAR]]</f>
        <v>50.629999999988648</v>
      </c>
      <c r="P28" s="90">
        <f>IF(Tabela1[[#This Row],[CARGA PARCIAL]]&lt;0,0,Tabela1[[#This Row],[CARGA PARCIAL]])</f>
        <v>2997.85</v>
      </c>
      <c r="Q28" s="93">
        <f>IF(Tabela1[[#This Row],[CARGA PARCIAL]]&lt;0,0,Tabela1[[#This Row],[CARGA PARCIAL]])+Tabela1[[#This Row],[REEMBOLSO]]</f>
        <v>3048.4799999999886</v>
      </c>
      <c r="R28" s="66" t="s">
        <v>21</v>
      </c>
      <c r="S28" s="70"/>
      <c r="T28" s="37"/>
      <c r="AW28"/>
      <c r="AX28"/>
      <c r="AY28"/>
    </row>
    <row r="29" spans="2:51" x14ac:dyDescent="0.25">
      <c r="B29" s="83" t="s">
        <v>469</v>
      </c>
      <c r="C29" s="64" t="s">
        <v>470</v>
      </c>
      <c r="D29" s="64" t="s">
        <v>17</v>
      </c>
      <c r="E29" s="64" t="s">
        <v>471</v>
      </c>
      <c r="F29" s="64">
        <v>11062740001</v>
      </c>
      <c r="G29" s="82" t="s">
        <v>1989</v>
      </c>
      <c r="H29" s="64" t="s">
        <v>20</v>
      </c>
      <c r="I29" s="65">
        <v>-2737.2299999999941</v>
      </c>
      <c r="J29" s="65">
        <v>0</v>
      </c>
      <c r="K29" s="65">
        <v>2500</v>
      </c>
      <c r="L29" s="65">
        <v>3</v>
      </c>
      <c r="M29" s="66">
        <v>0</v>
      </c>
      <c r="N29" s="88">
        <f>Tabela1[[#This Row],[1QZ DE DEZ 26]]-Tabela1[[#This Row],[SALDO FINAL]]-Tabela1[[#This Row],[SALDO CARTAO]]-Tabela1[[#This Row],[ADIANTAMENTO]]</f>
        <v>2497</v>
      </c>
      <c r="O29" s="67">
        <f>(-Tabela1[[#This Row],[SALDO REEMBOLSAR]]*$O$4)</f>
        <v>547.44599999999889</v>
      </c>
      <c r="P29" s="90">
        <f>IF(Tabela1[[#This Row],[CARGA PARCIAL]]&lt;0,0,Tabela1[[#This Row],[CARGA PARCIAL]])</f>
        <v>2497</v>
      </c>
      <c r="Q29" s="93">
        <f>IF(Tabela1[[#This Row],[CARGA PARCIAL]]&lt;0,0,Tabela1[[#This Row],[CARGA PARCIAL]])+Tabela1[[#This Row],[REEMBOLSO]]</f>
        <v>3044.445999999999</v>
      </c>
      <c r="R29" s="66" t="s">
        <v>21</v>
      </c>
      <c r="S29" s="70"/>
      <c r="T29" s="37"/>
      <c r="AW29"/>
      <c r="AX29"/>
      <c r="AY29"/>
    </row>
    <row r="30" spans="2:51" x14ac:dyDescent="0.25">
      <c r="B30" s="103" t="s">
        <v>645</v>
      </c>
      <c r="C30" s="102" t="s">
        <v>646</v>
      </c>
      <c r="D30" s="64" t="s">
        <v>17</v>
      </c>
      <c r="E30" s="64" t="s">
        <v>315</v>
      </c>
      <c r="F30" s="64">
        <v>11030880001</v>
      </c>
      <c r="G30" s="82" t="s">
        <v>1989</v>
      </c>
      <c r="H30" s="64" t="s">
        <v>20</v>
      </c>
      <c r="I30" s="65">
        <v>0</v>
      </c>
      <c r="J30" s="65">
        <v>2065.1599999999985</v>
      </c>
      <c r="K30" s="65">
        <v>5000</v>
      </c>
      <c r="L30" s="65">
        <v>38.78</v>
      </c>
      <c r="M30" s="66">
        <v>0</v>
      </c>
      <c r="N30" s="88">
        <f>Tabela1[[#This Row],[1QZ DE DEZ 26]]-Tabela1[[#This Row],[SALDO FINAL]]-Tabela1[[#This Row],[SALDO CARTAO]]-Tabela1[[#This Row],[ADIANTAMENTO]]</f>
        <v>2896.0600000000013</v>
      </c>
      <c r="O30" s="67">
        <f>(-Tabela1[[#This Row],[SALDO REEMBOLSAR]]*$O$4)</f>
        <v>0</v>
      </c>
      <c r="P30" s="122">
        <f>IF(Tabela1[[#This Row],[CARGA PARCIAL]]&lt;0,0,Tabela1[[#This Row],[CARGA PARCIAL]])</f>
        <v>2896.0600000000013</v>
      </c>
      <c r="Q30" s="93">
        <f>IF(Tabela1[[#This Row],[CARGA PARCIAL]]&lt;0,0,Tabela1[[#This Row],[CARGA PARCIAL]])+Tabela1[[#This Row],[REEMBOLSO]]</f>
        <v>2896.0600000000013</v>
      </c>
      <c r="R30" s="66" t="s">
        <v>21</v>
      </c>
      <c r="S30" s="70"/>
      <c r="T30" s="37"/>
      <c r="AW30"/>
      <c r="AX30"/>
      <c r="AY30"/>
    </row>
    <row r="31" spans="2:51" x14ac:dyDescent="0.25">
      <c r="B31" s="83" t="s">
        <v>294</v>
      </c>
      <c r="C31" s="64" t="s">
        <v>295</v>
      </c>
      <c r="D31" s="64" t="s">
        <v>17</v>
      </c>
      <c r="E31" s="64" t="s">
        <v>296</v>
      </c>
      <c r="F31" s="64">
        <v>11030610001</v>
      </c>
      <c r="G31" s="82" t="s">
        <v>236</v>
      </c>
      <c r="H31" s="64" t="s">
        <v>33</v>
      </c>
      <c r="I31" s="65">
        <v>-227.94000000001282</v>
      </c>
      <c r="J31" s="65">
        <v>0</v>
      </c>
      <c r="K31" s="65">
        <v>2800</v>
      </c>
      <c r="L31" s="65">
        <v>3.52</v>
      </c>
      <c r="M31" s="66">
        <v>0</v>
      </c>
      <c r="N31" s="88">
        <f>Tabela1[[#This Row],[1QZ DE DEZ 26]]-Tabela1[[#This Row],[SALDO FINAL]]-Tabela1[[#This Row],[SALDO CARTAO]]-Tabela1[[#This Row],[ADIANTAMENTO]]</f>
        <v>2796.48</v>
      </c>
      <c r="O31" s="67">
        <f>(-Tabela1[[#This Row],[SALDO REEMBOLSAR]]*$O$4)</f>
        <v>45.588000000002566</v>
      </c>
      <c r="P31" s="90">
        <f>IF(Tabela1[[#This Row],[CARGA PARCIAL]]&lt;0,0,Tabela1[[#This Row],[CARGA PARCIAL]])</f>
        <v>2796.48</v>
      </c>
      <c r="Q31" s="93">
        <f>IF(Tabela1[[#This Row],[CARGA PARCIAL]]&lt;0,0,Tabela1[[#This Row],[CARGA PARCIAL]])+Tabela1[[#This Row],[REEMBOLSO]]</f>
        <v>2842.0680000000025</v>
      </c>
      <c r="R31" s="66" t="s">
        <v>21</v>
      </c>
      <c r="S31" s="70"/>
      <c r="T31" s="37"/>
      <c r="AW31"/>
      <c r="AX31"/>
      <c r="AY31"/>
    </row>
    <row r="32" spans="2:51" x14ac:dyDescent="0.25">
      <c r="B32" s="103" t="s">
        <v>806</v>
      </c>
      <c r="C32" s="102" t="s">
        <v>807</v>
      </c>
      <c r="D32" s="64" t="s">
        <v>17</v>
      </c>
      <c r="E32" s="64" t="s">
        <v>808</v>
      </c>
      <c r="F32" s="64">
        <v>11061390001</v>
      </c>
      <c r="G32" s="82" t="s">
        <v>236</v>
      </c>
      <c r="H32" s="64" t="s">
        <v>33</v>
      </c>
      <c r="I32" s="65">
        <v>-443.719999999984</v>
      </c>
      <c r="J32" s="65">
        <v>0</v>
      </c>
      <c r="K32" s="65">
        <v>2700</v>
      </c>
      <c r="L32" s="65">
        <v>9.1199999999999992</v>
      </c>
      <c r="M32" s="70">
        <v>0</v>
      </c>
      <c r="N32" s="88">
        <f>Tabela1[[#This Row],[1QZ DE DEZ 26]]-Tabela1[[#This Row],[SALDO FINAL]]-Tabela1[[#This Row],[SALDO CARTAO]]-Tabela1[[#This Row],[ADIANTAMENTO]]</f>
        <v>2690.88</v>
      </c>
      <c r="O32" s="67">
        <f>(-Tabela1[[#This Row],[SALDO REEMBOLSAR]]*$O$4)</f>
        <v>88.743999999996802</v>
      </c>
      <c r="P32" s="122">
        <f>IF(Tabela1[[#This Row],[CARGA PARCIAL]]&lt;0,0,Tabela1[[#This Row],[CARGA PARCIAL]])</f>
        <v>2690.88</v>
      </c>
      <c r="Q32" s="93">
        <f>IF(Tabela1[[#This Row],[CARGA PARCIAL]]&lt;0,0,Tabela1[[#This Row],[CARGA PARCIAL]])+Tabela1[[#This Row],[REEMBOLSO]]</f>
        <v>2779.6239999999971</v>
      </c>
      <c r="R32" s="66" t="s">
        <v>21</v>
      </c>
      <c r="S32" s="70"/>
      <c r="T32" s="37"/>
      <c r="AW32"/>
      <c r="AX32"/>
      <c r="AY32"/>
    </row>
    <row r="33" spans="2:51" x14ac:dyDescent="0.25">
      <c r="B33" s="103" t="s">
        <v>497</v>
      </c>
      <c r="C33" s="102" t="s">
        <v>498</v>
      </c>
      <c r="D33" s="64" t="s">
        <v>17</v>
      </c>
      <c r="E33" s="64" t="s">
        <v>499</v>
      </c>
      <c r="F33" s="64">
        <v>11030650001</v>
      </c>
      <c r="G33" s="82" t="s">
        <v>236</v>
      </c>
      <c r="H33" s="64" t="s">
        <v>33</v>
      </c>
      <c r="I33" s="65">
        <v>0</v>
      </c>
      <c r="J33" s="65">
        <v>215.95000000000218</v>
      </c>
      <c r="K33" s="65">
        <v>3000</v>
      </c>
      <c r="L33" s="65">
        <v>17.649999999999999</v>
      </c>
      <c r="M33" s="66">
        <v>0</v>
      </c>
      <c r="N33" s="88">
        <f>Tabela1[[#This Row],[1QZ DE DEZ 26]]-Tabela1[[#This Row],[SALDO FINAL]]-Tabela1[[#This Row],[SALDO CARTAO]]-Tabela1[[#This Row],[ADIANTAMENTO]]</f>
        <v>2766.3999999999978</v>
      </c>
      <c r="O33" s="67">
        <f>(-Tabela1[[#This Row],[SALDO REEMBOLSAR]]*$O$4)</f>
        <v>0</v>
      </c>
      <c r="P33" s="122">
        <f>IF(Tabela1[[#This Row],[CARGA PARCIAL]]&lt;0,0,Tabela1[[#This Row],[CARGA PARCIAL]])</f>
        <v>2766.3999999999978</v>
      </c>
      <c r="Q33" s="93">
        <f>IF(Tabela1[[#This Row],[CARGA PARCIAL]]&lt;0,0,Tabela1[[#This Row],[CARGA PARCIAL]])+Tabela1[[#This Row],[REEMBOLSO]]</f>
        <v>2766.3999999999978</v>
      </c>
      <c r="R33" s="66" t="s">
        <v>21</v>
      </c>
      <c r="S33" s="70"/>
      <c r="T33" s="37"/>
      <c r="AW33"/>
      <c r="AX33"/>
      <c r="AY33"/>
    </row>
    <row r="34" spans="2:51" x14ac:dyDescent="0.25">
      <c r="B34" s="83" t="s">
        <v>351</v>
      </c>
      <c r="C34" s="64" t="s">
        <v>352</v>
      </c>
      <c r="D34" s="64" t="s">
        <v>17</v>
      </c>
      <c r="E34" s="64" t="s">
        <v>353</v>
      </c>
      <c r="F34" s="64">
        <v>11030630001</v>
      </c>
      <c r="G34" s="82" t="s">
        <v>236</v>
      </c>
      <c r="H34" s="64" t="s">
        <v>33</v>
      </c>
      <c r="I34" s="65">
        <v>-15.090000000005233</v>
      </c>
      <c r="J34" s="65">
        <v>0</v>
      </c>
      <c r="K34" s="65">
        <v>2800</v>
      </c>
      <c r="L34" s="65">
        <v>142.85</v>
      </c>
      <c r="M34" s="66">
        <v>0</v>
      </c>
      <c r="N34" s="88">
        <f>Tabela1[[#This Row],[1QZ DE DEZ 26]]-Tabela1[[#This Row],[SALDO FINAL]]-Tabela1[[#This Row],[SALDO CARTAO]]-Tabela1[[#This Row],[ADIANTAMENTO]]</f>
        <v>2657.15</v>
      </c>
      <c r="O34" s="67">
        <f>-Tabela1[[#This Row],[SALDO REEMBOLSAR]]</f>
        <v>15.090000000005233</v>
      </c>
      <c r="P34" s="90">
        <f>IF(Tabela1[[#This Row],[CARGA PARCIAL]]&lt;0,0,Tabela1[[#This Row],[CARGA PARCIAL]])</f>
        <v>2657.15</v>
      </c>
      <c r="Q34" s="93">
        <f>IF(Tabela1[[#This Row],[CARGA PARCIAL]]&lt;0,0,Tabela1[[#This Row],[CARGA PARCIAL]])+Tabela1[[#This Row],[REEMBOLSO]]</f>
        <v>2672.2400000000052</v>
      </c>
      <c r="R34" s="66" t="s">
        <v>21</v>
      </c>
      <c r="S34" s="70"/>
      <c r="T34" s="37"/>
      <c r="AW34"/>
      <c r="AX34"/>
      <c r="AY34"/>
    </row>
    <row r="35" spans="2:51" x14ac:dyDescent="0.25">
      <c r="B35" s="83" t="s">
        <v>121</v>
      </c>
      <c r="C35" s="64" t="s">
        <v>122</v>
      </c>
      <c r="D35" s="64" t="s">
        <v>17</v>
      </c>
      <c r="E35" s="64" t="s">
        <v>123</v>
      </c>
      <c r="F35" s="64">
        <v>11060700001</v>
      </c>
      <c r="G35" s="82" t="s">
        <v>25</v>
      </c>
      <c r="H35" s="64" t="s">
        <v>20</v>
      </c>
      <c r="I35" s="65">
        <v>0</v>
      </c>
      <c r="J35" s="65">
        <v>962.34999999998104</v>
      </c>
      <c r="K35" s="65">
        <v>5000</v>
      </c>
      <c r="L35" s="65">
        <v>8.1999999999999993</v>
      </c>
      <c r="M35" s="66">
        <v>1500</v>
      </c>
      <c r="N35" s="88">
        <f>Tabela1[[#This Row],[1QZ DE DEZ 26]]-Tabela1[[#This Row],[SALDO FINAL]]-Tabela1[[#This Row],[SALDO CARTAO]]-Tabela1[[#This Row],[ADIANTAMENTO]]</f>
        <v>2529.4500000000189</v>
      </c>
      <c r="O35" s="67">
        <f>(-Tabela1[[#This Row],[SALDO REEMBOLSAR]]*$O$4)</f>
        <v>0</v>
      </c>
      <c r="P35" s="90">
        <f>IF(Tabela1[[#This Row],[CARGA PARCIAL]]&lt;0,0,Tabela1[[#This Row],[CARGA PARCIAL]])</f>
        <v>2529.4500000000189</v>
      </c>
      <c r="Q35" s="93">
        <f>IF(Tabela1[[#This Row],[CARGA PARCIAL]]&lt;0,0,Tabela1[[#This Row],[CARGA PARCIAL]])+Tabela1[[#This Row],[REEMBOLSO]]</f>
        <v>2529.4500000000189</v>
      </c>
      <c r="R35" s="66" t="s">
        <v>21</v>
      </c>
      <c r="S35" s="70"/>
      <c r="T35" s="37"/>
      <c r="AW35"/>
      <c r="AX35"/>
      <c r="AY35"/>
    </row>
    <row r="36" spans="2:51" x14ac:dyDescent="0.25">
      <c r="B36" s="83" t="s">
        <v>305</v>
      </c>
      <c r="C36" s="64" t="s">
        <v>306</v>
      </c>
      <c r="D36" s="64" t="s">
        <v>17</v>
      </c>
      <c r="E36" s="64" t="s">
        <v>307</v>
      </c>
      <c r="F36" s="64">
        <v>11061690001</v>
      </c>
      <c r="G36" s="82" t="s">
        <v>284</v>
      </c>
      <c r="H36" s="64" t="s">
        <v>20</v>
      </c>
      <c r="I36" s="65">
        <v>0</v>
      </c>
      <c r="J36" s="65">
        <v>2588.7999999999874</v>
      </c>
      <c r="K36" s="65">
        <v>5000</v>
      </c>
      <c r="L36" s="65">
        <v>53.3</v>
      </c>
      <c r="M36" s="66">
        <v>0</v>
      </c>
      <c r="N36" s="88">
        <f>Tabela1[[#This Row],[1QZ DE DEZ 26]]-Tabela1[[#This Row],[SALDO FINAL]]-Tabela1[[#This Row],[SALDO CARTAO]]-Tabela1[[#This Row],[ADIANTAMENTO]]</f>
        <v>2357.9000000000124</v>
      </c>
      <c r="O36" s="67">
        <f>(-Tabela1[[#This Row],[SALDO REEMBOLSAR]]*$O$4)</f>
        <v>0</v>
      </c>
      <c r="P36" s="90">
        <f>IF(Tabela1[[#This Row],[CARGA PARCIAL]]&lt;0,0,Tabela1[[#This Row],[CARGA PARCIAL]])</f>
        <v>2357.9000000000124</v>
      </c>
      <c r="Q36" s="93">
        <f>IF(Tabela1[[#This Row],[CARGA PARCIAL]]&lt;0,0,Tabela1[[#This Row],[CARGA PARCIAL]])+Tabela1[[#This Row],[REEMBOLSO]]</f>
        <v>2357.9000000000124</v>
      </c>
      <c r="R36" s="66" t="s">
        <v>21</v>
      </c>
      <c r="S36" s="70"/>
      <c r="T36" s="37"/>
      <c r="AW36"/>
      <c r="AX36"/>
      <c r="AY36"/>
    </row>
    <row r="37" spans="2:51" x14ac:dyDescent="0.25">
      <c r="B37" s="103" t="s">
        <v>157</v>
      </c>
      <c r="C37" s="102" t="s">
        <v>158</v>
      </c>
      <c r="D37" s="64" t="s">
        <v>17</v>
      </c>
      <c r="E37" s="64" t="s">
        <v>159</v>
      </c>
      <c r="F37" s="64">
        <v>11030750001</v>
      </c>
      <c r="G37" s="82" t="s">
        <v>32</v>
      </c>
      <c r="H37" s="64" t="s">
        <v>33</v>
      </c>
      <c r="I37" s="65">
        <v>0</v>
      </c>
      <c r="J37" s="65">
        <v>1021.2400000000142</v>
      </c>
      <c r="K37" s="65">
        <v>3350</v>
      </c>
      <c r="L37" s="65">
        <v>8.08</v>
      </c>
      <c r="M37" s="70">
        <v>0</v>
      </c>
      <c r="N37" s="88">
        <f>Tabela1[[#This Row],[1QZ DE DEZ 26]]-Tabela1[[#This Row],[SALDO FINAL]]-Tabela1[[#This Row],[SALDO CARTAO]]-Tabela1[[#This Row],[ADIANTAMENTO]]</f>
        <v>2320.6799999999857</v>
      </c>
      <c r="O37" s="67">
        <f>(-Tabela1[[#This Row],[SALDO REEMBOLSAR]]*$O$4)</f>
        <v>0</v>
      </c>
      <c r="P37" s="122">
        <f>IF(Tabela1[[#This Row],[CARGA PARCIAL]]&lt;0,0,Tabela1[[#This Row],[CARGA PARCIAL]])</f>
        <v>2320.6799999999857</v>
      </c>
      <c r="Q37" s="93">
        <f>IF(Tabela1[[#This Row],[CARGA PARCIAL]]&lt;0,0,Tabela1[[#This Row],[CARGA PARCIAL]])+Tabela1[[#This Row],[REEMBOLSO]]</f>
        <v>2320.6799999999857</v>
      </c>
      <c r="R37" s="66" t="s">
        <v>21</v>
      </c>
      <c r="S37" s="70"/>
      <c r="T37" s="37"/>
      <c r="AW37"/>
      <c r="AX37"/>
      <c r="AY37"/>
    </row>
    <row r="38" spans="2:51" x14ac:dyDescent="0.25">
      <c r="B38" s="83" t="s">
        <v>393</v>
      </c>
      <c r="C38" s="64" t="s">
        <v>394</v>
      </c>
      <c r="D38" s="64" t="s">
        <v>17</v>
      </c>
      <c r="E38" s="64" t="s">
        <v>395</v>
      </c>
      <c r="F38" s="64">
        <v>11030790001</v>
      </c>
      <c r="G38" s="82" t="s">
        <v>244</v>
      </c>
      <c r="H38" s="64" t="s">
        <v>33</v>
      </c>
      <c r="I38" s="65">
        <v>-233.05999999999557</v>
      </c>
      <c r="J38" s="65">
        <v>0</v>
      </c>
      <c r="K38" s="65">
        <v>2500</v>
      </c>
      <c r="L38" s="65">
        <v>247.18</v>
      </c>
      <c r="M38" s="70">
        <v>0</v>
      </c>
      <c r="N38" s="88">
        <f>Tabela1[[#This Row],[1QZ DE DEZ 26]]-Tabela1[[#This Row],[SALDO FINAL]]-Tabela1[[#This Row],[SALDO CARTAO]]-Tabela1[[#This Row],[ADIANTAMENTO]]</f>
        <v>2252.8200000000002</v>
      </c>
      <c r="O38" s="67">
        <f>(-Tabela1[[#This Row],[SALDO REEMBOLSAR]]*$O$4)</f>
        <v>46.611999999999114</v>
      </c>
      <c r="P38" s="90">
        <f>IF(Tabela1[[#This Row],[CARGA PARCIAL]]&lt;0,0,Tabela1[[#This Row],[CARGA PARCIAL]])</f>
        <v>2252.8200000000002</v>
      </c>
      <c r="Q38" s="93">
        <f>IF(Tabela1[[#This Row],[CARGA PARCIAL]]&lt;0,0,Tabela1[[#This Row],[CARGA PARCIAL]])+Tabela1[[#This Row],[REEMBOLSO]]</f>
        <v>2299.4319999999993</v>
      </c>
      <c r="R38" s="66" t="s">
        <v>21</v>
      </c>
      <c r="S38" s="70"/>
      <c r="T38" s="37"/>
      <c r="AW38"/>
      <c r="AX38"/>
      <c r="AY38"/>
    </row>
    <row r="39" spans="2:51" x14ac:dyDescent="0.25">
      <c r="B39" s="103" t="s">
        <v>198</v>
      </c>
      <c r="C39" s="102" t="s">
        <v>199</v>
      </c>
      <c r="D39" s="64" t="s">
        <v>17</v>
      </c>
      <c r="E39" s="64" t="s">
        <v>133</v>
      </c>
      <c r="F39" s="64">
        <v>11062640001</v>
      </c>
      <c r="G39" s="82" t="s">
        <v>32</v>
      </c>
      <c r="H39" s="64" t="s">
        <v>33</v>
      </c>
      <c r="I39" s="65">
        <v>0</v>
      </c>
      <c r="J39" s="65">
        <v>2726.6299999999819</v>
      </c>
      <c r="K39" s="65">
        <v>5000</v>
      </c>
      <c r="L39" s="65">
        <v>3.46</v>
      </c>
      <c r="M39" s="66">
        <v>0</v>
      </c>
      <c r="N39" s="88">
        <f>Tabela1[[#This Row],[1QZ DE DEZ 26]]-Tabela1[[#This Row],[SALDO FINAL]]-Tabela1[[#This Row],[SALDO CARTAO]]-Tabela1[[#This Row],[ADIANTAMENTO]]</f>
        <v>2269.910000000018</v>
      </c>
      <c r="O39" s="67">
        <f>(-Tabela1[[#This Row],[SALDO REEMBOLSAR]]*$O$4)</f>
        <v>0</v>
      </c>
      <c r="P39" s="122">
        <f>IF(Tabela1[[#This Row],[CARGA PARCIAL]]&lt;0,0,Tabela1[[#This Row],[CARGA PARCIAL]])</f>
        <v>2269.910000000018</v>
      </c>
      <c r="Q39" s="93">
        <f>IF(Tabela1[[#This Row],[CARGA PARCIAL]]&lt;0,0,Tabela1[[#This Row],[CARGA PARCIAL]])+Tabela1[[#This Row],[REEMBOLSO]]</f>
        <v>2269.910000000018</v>
      </c>
      <c r="R39" s="66" t="s">
        <v>21</v>
      </c>
      <c r="S39" s="70"/>
      <c r="T39" s="37"/>
      <c r="AW39"/>
      <c r="AX39"/>
      <c r="AY39"/>
    </row>
    <row r="40" spans="2:51" x14ac:dyDescent="0.25">
      <c r="B40" s="103" t="s">
        <v>1749</v>
      </c>
      <c r="C40" s="102" t="s">
        <v>1750</v>
      </c>
      <c r="D40" s="64" t="s">
        <v>17</v>
      </c>
      <c r="E40" s="64" t="s">
        <v>595</v>
      </c>
      <c r="F40" s="64">
        <v>1201007</v>
      </c>
      <c r="G40" s="82" t="s">
        <v>284</v>
      </c>
      <c r="H40" s="64" t="s">
        <v>20</v>
      </c>
      <c r="I40" s="65">
        <v>-3480.9799999999996</v>
      </c>
      <c r="J40" s="65">
        <v>0</v>
      </c>
      <c r="K40" s="65">
        <v>1500</v>
      </c>
      <c r="L40" s="65">
        <v>6.62</v>
      </c>
      <c r="M40" s="70">
        <v>0</v>
      </c>
      <c r="N40" s="88">
        <f>Tabela1[[#This Row],[1QZ DE DEZ 26]]-Tabela1[[#This Row],[SALDO FINAL]]-Tabela1[[#This Row],[SALDO CARTAO]]-Tabela1[[#This Row],[ADIANTAMENTO]]</f>
        <v>1493.38</v>
      </c>
      <c r="O40" s="67">
        <f>(-Tabela1[[#This Row],[SALDO REEMBOLSAR]]*$O$4)</f>
        <v>696.19599999999991</v>
      </c>
      <c r="P40" s="122">
        <f>IF(Tabela1[[#This Row],[CARGA PARCIAL]]&lt;0,0,Tabela1[[#This Row],[CARGA PARCIAL]])</f>
        <v>1493.38</v>
      </c>
      <c r="Q40" s="93">
        <f>IF(Tabela1[[#This Row],[CARGA PARCIAL]]&lt;0,0,Tabela1[[#This Row],[CARGA PARCIAL]])+Tabela1[[#This Row],[REEMBOLSO]]</f>
        <v>2189.576</v>
      </c>
      <c r="R40" s="66" t="s">
        <v>21</v>
      </c>
      <c r="S40" s="70" t="s">
        <v>76</v>
      </c>
      <c r="T40" s="37"/>
      <c r="AW40"/>
      <c r="AX40"/>
      <c r="AY40"/>
    </row>
    <row r="41" spans="2:51" x14ac:dyDescent="0.25">
      <c r="B41" s="103" t="s">
        <v>681</v>
      </c>
      <c r="C41" s="102" t="s">
        <v>682</v>
      </c>
      <c r="D41" s="64" t="s">
        <v>17</v>
      </c>
      <c r="E41" s="64" t="s">
        <v>683</v>
      </c>
      <c r="F41" s="64">
        <v>11061410001</v>
      </c>
      <c r="G41" s="82" t="s">
        <v>244</v>
      </c>
      <c r="H41" s="64" t="s">
        <v>33</v>
      </c>
      <c r="I41" s="65">
        <v>0</v>
      </c>
      <c r="J41" s="65">
        <v>312.66999999999518</v>
      </c>
      <c r="K41" s="65">
        <v>2500</v>
      </c>
      <c r="L41" s="65">
        <v>2.61</v>
      </c>
      <c r="M41" s="70">
        <v>0</v>
      </c>
      <c r="N41" s="88">
        <f>Tabela1[[#This Row],[1QZ DE DEZ 26]]-Tabela1[[#This Row],[SALDO FINAL]]-Tabela1[[#This Row],[SALDO CARTAO]]-Tabela1[[#This Row],[ADIANTAMENTO]]</f>
        <v>2184.7200000000048</v>
      </c>
      <c r="O41" s="67">
        <f>(-Tabela1[[#This Row],[SALDO REEMBOLSAR]]*$O$4)</f>
        <v>0</v>
      </c>
      <c r="P41" s="122">
        <f>IF(Tabela1[[#This Row],[CARGA PARCIAL]]&lt;0,0,Tabela1[[#This Row],[CARGA PARCIAL]])</f>
        <v>2184.7200000000048</v>
      </c>
      <c r="Q41" s="93">
        <f>IF(Tabela1[[#This Row],[CARGA PARCIAL]]&lt;0,0,Tabela1[[#This Row],[CARGA PARCIAL]])+Tabela1[[#This Row],[REEMBOLSO]]</f>
        <v>2184.7200000000048</v>
      </c>
      <c r="R41" s="66" t="s">
        <v>21</v>
      </c>
      <c r="S41" s="70"/>
      <c r="T41" s="37"/>
      <c r="AW41"/>
      <c r="AX41"/>
      <c r="AY41"/>
    </row>
    <row r="42" spans="2:51" x14ac:dyDescent="0.25">
      <c r="B42" s="83" t="s">
        <v>217</v>
      </c>
      <c r="C42" s="64" t="s">
        <v>218</v>
      </c>
      <c r="D42" s="64" t="s">
        <v>17</v>
      </c>
      <c r="E42" s="64" t="s">
        <v>219</v>
      </c>
      <c r="F42" s="64">
        <v>11062350001</v>
      </c>
      <c r="G42" s="82" t="s">
        <v>19</v>
      </c>
      <c r="H42" s="64" t="s">
        <v>20</v>
      </c>
      <c r="I42" s="65">
        <v>-2050.150000000001</v>
      </c>
      <c r="J42" s="65">
        <v>0</v>
      </c>
      <c r="K42" s="65">
        <v>1750</v>
      </c>
      <c r="L42" s="65">
        <v>2.61</v>
      </c>
      <c r="M42" s="66">
        <v>0</v>
      </c>
      <c r="N42" s="88">
        <f>Tabela1[[#This Row],[1QZ DE DEZ 26]]-Tabela1[[#This Row],[SALDO FINAL]]-Tabela1[[#This Row],[SALDO CARTAO]]-Tabela1[[#This Row],[ADIANTAMENTO]]</f>
        <v>1747.39</v>
      </c>
      <c r="O42" s="67">
        <f>(-Tabela1[[#This Row],[SALDO REEMBOLSAR]]*$O$4)</f>
        <v>410.0300000000002</v>
      </c>
      <c r="P42" s="90">
        <f>IF(Tabela1[[#This Row],[CARGA PARCIAL]]&lt;0,0,Tabela1[[#This Row],[CARGA PARCIAL]])</f>
        <v>1747.39</v>
      </c>
      <c r="Q42" s="93">
        <f>IF(Tabela1[[#This Row],[CARGA PARCIAL]]&lt;0,0,Tabela1[[#This Row],[CARGA PARCIAL]])+Tabela1[[#This Row],[REEMBOLSO]]</f>
        <v>2157.42</v>
      </c>
      <c r="R42" s="66" t="s">
        <v>21</v>
      </c>
      <c r="S42" s="70"/>
      <c r="T42" s="37"/>
      <c r="AW42"/>
      <c r="AX42"/>
      <c r="AY42"/>
    </row>
    <row r="43" spans="2:51" x14ac:dyDescent="0.25">
      <c r="B43" s="83" t="s">
        <v>52</v>
      </c>
      <c r="C43" s="64" t="s">
        <v>53</v>
      </c>
      <c r="D43" s="64" t="s">
        <v>17</v>
      </c>
      <c r="E43" s="64" t="s">
        <v>54</v>
      </c>
      <c r="F43" s="64">
        <v>11080220001</v>
      </c>
      <c r="G43" s="82" t="s">
        <v>55</v>
      </c>
      <c r="H43" s="64" t="s">
        <v>56</v>
      </c>
      <c r="I43" s="65">
        <v>0</v>
      </c>
      <c r="J43" s="65">
        <v>2016.0700000000072</v>
      </c>
      <c r="K43" s="65">
        <v>6200</v>
      </c>
      <c r="L43" s="65">
        <v>2032.93</v>
      </c>
      <c r="M43" s="70">
        <v>0</v>
      </c>
      <c r="N43" s="88">
        <f>Tabela1[[#This Row],[1QZ DE DEZ 26]]-Tabela1[[#This Row],[SALDO FINAL]]-Tabela1[[#This Row],[SALDO CARTAO]]-Tabela1[[#This Row],[ADIANTAMENTO]]</f>
        <v>2150.9999999999927</v>
      </c>
      <c r="O43" s="67">
        <f>(-Tabela1[[#This Row],[SALDO REEMBOLSAR]]*$O$4)</f>
        <v>0</v>
      </c>
      <c r="P43" s="90">
        <f>IF(Tabela1[[#This Row],[CARGA PARCIAL]]&lt;0,0,Tabela1[[#This Row],[CARGA PARCIAL]])</f>
        <v>2150.9999999999927</v>
      </c>
      <c r="Q43" s="93">
        <f>IF(Tabela1[[#This Row],[CARGA PARCIAL]]&lt;0,0,Tabela1[[#This Row],[CARGA PARCIAL]])+Tabela1[[#This Row],[REEMBOLSO]]</f>
        <v>2150.9999999999927</v>
      </c>
      <c r="R43" s="66" t="s">
        <v>21</v>
      </c>
      <c r="S43" s="70"/>
      <c r="T43" s="37"/>
      <c r="AW43"/>
      <c r="AX43"/>
      <c r="AY43"/>
    </row>
    <row r="44" spans="2:51" x14ac:dyDescent="0.25">
      <c r="B44" s="83" t="s">
        <v>356</v>
      </c>
      <c r="C44" s="64" t="s">
        <v>357</v>
      </c>
      <c r="D44" s="64" t="s">
        <v>17</v>
      </c>
      <c r="E44" s="64" t="s">
        <v>243</v>
      </c>
      <c r="F44" s="64">
        <v>11030690001</v>
      </c>
      <c r="G44" s="82" t="s">
        <v>244</v>
      </c>
      <c r="H44" s="64" t="s">
        <v>33</v>
      </c>
      <c r="I44" s="65">
        <v>-2722.2799999999952</v>
      </c>
      <c r="J44" s="65">
        <v>0</v>
      </c>
      <c r="K44" s="65">
        <v>1600</v>
      </c>
      <c r="L44" s="65">
        <v>17.239999999999998</v>
      </c>
      <c r="M44" s="66">
        <v>0</v>
      </c>
      <c r="N44" s="88">
        <f>Tabela1[[#This Row],[1QZ DE DEZ 26]]-Tabela1[[#This Row],[SALDO FINAL]]-Tabela1[[#This Row],[SALDO CARTAO]]-Tabela1[[#This Row],[ADIANTAMENTO]]</f>
        <v>1582.76</v>
      </c>
      <c r="O44" s="67">
        <f>(-Tabela1[[#This Row],[SALDO REEMBOLSAR]]*$O$4)</f>
        <v>544.45599999999911</v>
      </c>
      <c r="P44" s="90">
        <f>IF(Tabela1[[#This Row],[CARGA PARCIAL]]&lt;0,0,Tabela1[[#This Row],[CARGA PARCIAL]])</f>
        <v>1582.76</v>
      </c>
      <c r="Q44" s="93">
        <f>IF(Tabela1[[#This Row],[CARGA PARCIAL]]&lt;0,0,Tabela1[[#This Row],[CARGA PARCIAL]])+Tabela1[[#This Row],[REEMBOLSO]]</f>
        <v>2127.215999999999</v>
      </c>
      <c r="R44" s="66" t="s">
        <v>21</v>
      </c>
      <c r="S44" s="70"/>
      <c r="T44" s="37"/>
      <c r="AW44"/>
      <c r="AX44"/>
      <c r="AY44"/>
    </row>
    <row r="45" spans="2:51" x14ac:dyDescent="0.25">
      <c r="B45" s="103" t="s">
        <v>164</v>
      </c>
      <c r="C45" s="102" t="s">
        <v>165</v>
      </c>
      <c r="D45" s="64" t="s">
        <v>17</v>
      </c>
      <c r="E45" s="64" t="s">
        <v>117</v>
      </c>
      <c r="F45" s="64">
        <v>11030660001</v>
      </c>
      <c r="G45" s="82" t="s">
        <v>25</v>
      </c>
      <c r="H45" s="64" t="s">
        <v>20</v>
      </c>
      <c r="I45" s="65">
        <v>-111.80999999999804</v>
      </c>
      <c r="J45" s="65">
        <v>0</v>
      </c>
      <c r="K45" s="65">
        <v>2000</v>
      </c>
      <c r="L45" s="65">
        <v>2.15</v>
      </c>
      <c r="M45" s="70">
        <v>0</v>
      </c>
      <c r="N45" s="88">
        <f>Tabela1[[#This Row],[1QZ DE DEZ 26]]-Tabela1[[#This Row],[SALDO FINAL]]-Tabela1[[#This Row],[SALDO CARTAO]]-Tabela1[[#This Row],[ADIANTAMENTO]]</f>
        <v>1997.85</v>
      </c>
      <c r="O45" s="67">
        <f>-Tabela1[[#This Row],[SALDO REEMBOLSAR]]</f>
        <v>111.80999999999804</v>
      </c>
      <c r="P45" s="122">
        <f>IF(Tabela1[[#This Row],[CARGA PARCIAL]]&lt;0,0,Tabela1[[#This Row],[CARGA PARCIAL]])</f>
        <v>1997.85</v>
      </c>
      <c r="Q45" s="93">
        <f>IF(Tabela1[[#This Row],[CARGA PARCIAL]]&lt;0,0,Tabela1[[#This Row],[CARGA PARCIAL]])+Tabela1[[#This Row],[REEMBOLSO]]</f>
        <v>2109.659999999998</v>
      </c>
      <c r="R45" s="66" t="s">
        <v>21</v>
      </c>
      <c r="S45" s="70"/>
      <c r="T45" s="37"/>
      <c r="AW45"/>
      <c r="AX45"/>
      <c r="AY45"/>
    </row>
    <row r="46" spans="2:51" x14ac:dyDescent="0.25">
      <c r="B46" s="83" t="s">
        <v>320</v>
      </c>
      <c r="C46" s="64" t="s">
        <v>321</v>
      </c>
      <c r="D46" s="64" t="s">
        <v>17</v>
      </c>
      <c r="E46" s="64" t="s">
        <v>159</v>
      </c>
      <c r="F46" s="64">
        <v>11030750001</v>
      </c>
      <c r="G46" s="82" t="s">
        <v>32</v>
      </c>
      <c r="H46" s="64" t="s">
        <v>33</v>
      </c>
      <c r="I46" s="65">
        <v>-302.34999999998831</v>
      </c>
      <c r="J46" s="65">
        <v>0</v>
      </c>
      <c r="K46" s="65">
        <v>2200</v>
      </c>
      <c r="L46" s="65">
        <v>154.47</v>
      </c>
      <c r="M46" s="70">
        <v>0</v>
      </c>
      <c r="N46" s="88">
        <f>Tabela1[[#This Row],[1QZ DE DEZ 26]]-Tabela1[[#This Row],[SALDO FINAL]]-Tabela1[[#This Row],[SALDO CARTAO]]-Tabela1[[#This Row],[ADIANTAMENTO]]</f>
        <v>2045.53</v>
      </c>
      <c r="O46" s="67">
        <f>(-Tabela1[[#This Row],[SALDO REEMBOLSAR]]*$O$4)</f>
        <v>60.469999999997668</v>
      </c>
      <c r="P46" s="90">
        <f>IF(Tabela1[[#This Row],[CARGA PARCIAL]]&lt;0,0,Tabela1[[#This Row],[CARGA PARCIAL]])</f>
        <v>2045.53</v>
      </c>
      <c r="Q46" s="93">
        <f>IF(Tabela1[[#This Row],[CARGA PARCIAL]]&lt;0,0,Tabela1[[#This Row],[CARGA PARCIAL]])+Tabela1[[#This Row],[REEMBOLSO]]</f>
        <v>2105.9999999999977</v>
      </c>
      <c r="R46" s="66" t="s">
        <v>21</v>
      </c>
      <c r="S46" s="70"/>
      <c r="T46" s="37"/>
      <c r="AW46"/>
      <c r="AX46"/>
      <c r="AY46"/>
    </row>
    <row r="47" spans="2:51" x14ac:dyDescent="0.25">
      <c r="B47" s="83" t="s">
        <v>383</v>
      </c>
      <c r="C47" s="64" t="s">
        <v>384</v>
      </c>
      <c r="D47" s="64" t="s">
        <v>17</v>
      </c>
      <c r="E47" s="64" t="s">
        <v>385</v>
      </c>
      <c r="F47" s="64">
        <v>11061200001</v>
      </c>
      <c r="G47" s="82" t="s">
        <v>244</v>
      </c>
      <c r="H47" s="64" t="s">
        <v>33</v>
      </c>
      <c r="I47" s="65">
        <v>0</v>
      </c>
      <c r="J47" s="65">
        <v>597.1000000000007</v>
      </c>
      <c r="K47" s="65">
        <v>2710</v>
      </c>
      <c r="L47" s="65">
        <v>19.100000000000001</v>
      </c>
      <c r="M47" s="66">
        <v>0</v>
      </c>
      <c r="N47" s="88">
        <f>Tabela1[[#This Row],[1QZ DE DEZ 26]]-Tabela1[[#This Row],[SALDO FINAL]]-Tabela1[[#This Row],[SALDO CARTAO]]-Tabela1[[#This Row],[ADIANTAMENTO]]</f>
        <v>2093.7999999999993</v>
      </c>
      <c r="O47" s="67">
        <f>(-Tabela1[[#This Row],[SALDO REEMBOLSAR]]*$O$4)</f>
        <v>0</v>
      </c>
      <c r="P47" s="90">
        <f>IF(Tabela1[[#This Row],[CARGA PARCIAL]]&lt;0,0,Tabela1[[#This Row],[CARGA PARCIAL]])</f>
        <v>2093.7999999999993</v>
      </c>
      <c r="Q47" s="93">
        <f>IF(Tabela1[[#This Row],[CARGA PARCIAL]]&lt;0,0,Tabela1[[#This Row],[CARGA PARCIAL]])+Tabela1[[#This Row],[REEMBOLSO]]</f>
        <v>2093.7999999999993</v>
      </c>
      <c r="R47" s="66" t="s">
        <v>21</v>
      </c>
      <c r="S47" s="70"/>
      <c r="T47" s="37"/>
      <c r="AW47"/>
      <c r="AX47"/>
      <c r="AY47"/>
    </row>
    <row r="48" spans="2:51" x14ac:dyDescent="0.25">
      <c r="B48" s="83" t="s">
        <v>57</v>
      </c>
      <c r="C48" s="64" t="s">
        <v>58</v>
      </c>
      <c r="D48" s="64" t="s">
        <v>17</v>
      </c>
      <c r="E48" s="64" t="s">
        <v>59</v>
      </c>
      <c r="F48" s="64">
        <v>11030640001</v>
      </c>
      <c r="G48" s="82" t="s">
        <v>32</v>
      </c>
      <c r="H48" s="64" t="s">
        <v>33</v>
      </c>
      <c r="I48" s="65">
        <v>-1559.7100000000348</v>
      </c>
      <c r="J48" s="65">
        <v>0</v>
      </c>
      <c r="K48" s="65">
        <v>2300</v>
      </c>
      <c r="L48" s="65">
        <v>522.70000000000005</v>
      </c>
      <c r="M48" s="66">
        <v>0</v>
      </c>
      <c r="N48" s="88">
        <f>Tabela1[[#This Row],[1QZ DE DEZ 26]]-Tabela1[[#This Row],[SALDO FINAL]]-Tabela1[[#This Row],[SALDO CARTAO]]-Tabela1[[#This Row],[ADIANTAMENTO]]</f>
        <v>1777.3</v>
      </c>
      <c r="O48" s="67">
        <f>(-Tabela1[[#This Row],[SALDO REEMBOLSAR]]*$O$4)</f>
        <v>311.942000000007</v>
      </c>
      <c r="P48" s="90">
        <f>IF(Tabela1[[#This Row],[CARGA PARCIAL]]&lt;0,0,Tabela1[[#This Row],[CARGA PARCIAL]])</f>
        <v>1777.3</v>
      </c>
      <c r="Q48" s="93">
        <f>IF(Tabela1[[#This Row],[CARGA PARCIAL]]&lt;0,0,Tabela1[[#This Row],[CARGA PARCIAL]])+Tabela1[[#This Row],[REEMBOLSO]]</f>
        <v>2089.242000000007</v>
      </c>
      <c r="R48" s="66" t="s">
        <v>21</v>
      </c>
      <c r="S48" s="70"/>
      <c r="T48" s="37"/>
      <c r="AW48"/>
      <c r="AX48"/>
      <c r="AY48"/>
    </row>
    <row r="49" spans="2:51" x14ac:dyDescent="0.25">
      <c r="B49" s="83" t="s">
        <v>474</v>
      </c>
      <c r="C49" s="64" t="s">
        <v>475</v>
      </c>
      <c r="D49" s="64" t="s">
        <v>17</v>
      </c>
      <c r="E49" s="64" t="s">
        <v>476</v>
      </c>
      <c r="F49" s="64">
        <v>11060710001</v>
      </c>
      <c r="G49" s="82" t="s">
        <v>284</v>
      </c>
      <c r="H49" s="64" t="s">
        <v>20</v>
      </c>
      <c r="I49" s="65">
        <v>-2872.4799999999977</v>
      </c>
      <c r="J49" s="65">
        <v>0</v>
      </c>
      <c r="K49" s="65">
        <v>1500</v>
      </c>
      <c r="L49" s="65">
        <v>0</v>
      </c>
      <c r="M49" s="66">
        <v>0</v>
      </c>
      <c r="N49" s="88">
        <f>Tabela1[[#This Row],[1QZ DE DEZ 26]]-Tabela1[[#This Row],[SALDO FINAL]]-Tabela1[[#This Row],[SALDO CARTAO]]-Tabela1[[#This Row],[ADIANTAMENTO]]</f>
        <v>1500</v>
      </c>
      <c r="O49" s="67">
        <f>(-Tabela1[[#This Row],[SALDO REEMBOLSAR]]*$O$4)</f>
        <v>574.49599999999953</v>
      </c>
      <c r="P49" s="90">
        <f>IF(Tabela1[[#This Row],[CARGA PARCIAL]]&lt;0,0,Tabela1[[#This Row],[CARGA PARCIAL]])</f>
        <v>1500</v>
      </c>
      <c r="Q49" s="93">
        <f>IF(Tabela1[[#This Row],[CARGA PARCIAL]]&lt;0,0,Tabela1[[#This Row],[CARGA PARCIAL]])+Tabela1[[#This Row],[REEMBOLSO]]</f>
        <v>2074.4959999999996</v>
      </c>
      <c r="R49" s="66" t="s">
        <v>21</v>
      </c>
      <c r="S49" s="70"/>
      <c r="T49" s="37"/>
      <c r="AW49"/>
      <c r="AX49"/>
      <c r="AY49"/>
    </row>
    <row r="50" spans="2:51" x14ac:dyDescent="0.25">
      <c r="B50" s="103" t="s">
        <v>173</v>
      </c>
      <c r="C50" s="102" t="s">
        <v>174</v>
      </c>
      <c r="D50" s="64" t="s">
        <v>17</v>
      </c>
      <c r="E50" s="64" t="s">
        <v>31</v>
      </c>
      <c r="F50" s="64">
        <v>11030840001</v>
      </c>
      <c r="G50" s="82" t="s">
        <v>32</v>
      </c>
      <c r="H50" s="64" t="s">
        <v>33</v>
      </c>
      <c r="I50" s="65">
        <v>-1714.3500000000056</v>
      </c>
      <c r="J50" s="65">
        <v>0</v>
      </c>
      <c r="K50" s="65">
        <v>1800</v>
      </c>
      <c r="L50" s="65">
        <v>87.34</v>
      </c>
      <c r="M50" s="66">
        <v>0</v>
      </c>
      <c r="N50" s="88">
        <f>Tabela1[[#This Row],[1QZ DE DEZ 26]]-Tabela1[[#This Row],[SALDO FINAL]]-Tabela1[[#This Row],[SALDO CARTAO]]-Tabela1[[#This Row],[ADIANTAMENTO]]</f>
        <v>1712.66</v>
      </c>
      <c r="O50" s="67">
        <f>(-Tabela1[[#This Row],[SALDO REEMBOLSAR]]*$O$4)</f>
        <v>342.87000000000114</v>
      </c>
      <c r="P50" s="122">
        <f>IF(Tabela1[[#This Row],[CARGA PARCIAL]]&lt;0,0,Tabela1[[#This Row],[CARGA PARCIAL]])</f>
        <v>1712.66</v>
      </c>
      <c r="Q50" s="93">
        <f>IF(Tabela1[[#This Row],[CARGA PARCIAL]]&lt;0,0,Tabela1[[#This Row],[CARGA PARCIAL]])+Tabela1[[#This Row],[REEMBOLSO]]</f>
        <v>2055.5300000000011</v>
      </c>
      <c r="R50" s="66" t="s">
        <v>21</v>
      </c>
      <c r="S50" s="70"/>
      <c r="T50" s="37"/>
      <c r="AW50"/>
      <c r="AX50"/>
      <c r="AY50"/>
    </row>
    <row r="51" spans="2:51" x14ac:dyDescent="0.25">
      <c r="B51" s="103" t="s">
        <v>144</v>
      </c>
      <c r="C51" s="102" t="s">
        <v>145</v>
      </c>
      <c r="D51" s="64" t="s">
        <v>17</v>
      </c>
      <c r="E51" s="64" t="s">
        <v>146</v>
      </c>
      <c r="F51" s="64">
        <v>11030780001</v>
      </c>
      <c r="G51" s="82" t="s">
        <v>32</v>
      </c>
      <c r="H51" s="64" t="s">
        <v>33</v>
      </c>
      <c r="I51" s="65">
        <v>-1746.8500000000031</v>
      </c>
      <c r="J51" s="65">
        <v>0</v>
      </c>
      <c r="K51" s="65">
        <v>2000</v>
      </c>
      <c r="L51" s="65">
        <v>339.96</v>
      </c>
      <c r="M51" s="66">
        <v>0</v>
      </c>
      <c r="N51" s="88">
        <f>Tabela1[[#This Row],[1QZ DE DEZ 26]]-Tabela1[[#This Row],[SALDO FINAL]]-Tabela1[[#This Row],[SALDO CARTAO]]-Tabela1[[#This Row],[ADIANTAMENTO]]</f>
        <v>1660.04</v>
      </c>
      <c r="O51" s="67">
        <f>(-Tabela1[[#This Row],[SALDO REEMBOLSAR]]*$O$4)</f>
        <v>349.37000000000063</v>
      </c>
      <c r="P51" s="122">
        <f>IF(Tabela1[[#This Row],[CARGA PARCIAL]]&lt;0,0,Tabela1[[#This Row],[CARGA PARCIAL]])</f>
        <v>1660.04</v>
      </c>
      <c r="Q51" s="93">
        <f>IF(Tabela1[[#This Row],[CARGA PARCIAL]]&lt;0,0,Tabela1[[#This Row],[CARGA PARCIAL]])+Tabela1[[#This Row],[REEMBOLSO]]</f>
        <v>2009.4100000000005</v>
      </c>
      <c r="R51" s="66" t="s">
        <v>21</v>
      </c>
      <c r="S51" s="70"/>
      <c r="T51" s="37"/>
      <c r="AW51"/>
      <c r="AX51"/>
      <c r="AY51"/>
    </row>
    <row r="52" spans="2:51" x14ac:dyDescent="0.25">
      <c r="B52" s="103" t="s">
        <v>751</v>
      </c>
      <c r="C52" s="102" t="s">
        <v>752</v>
      </c>
      <c r="D52" s="64" t="s">
        <v>17</v>
      </c>
      <c r="E52" s="64" t="s">
        <v>31</v>
      </c>
      <c r="F52" s="64">
        <v>11030840001</v>
      </c>
      <c r="G52" s="82" t="s">
        <v>32</v>
      </c>
      <c r="H52" s="64" t="s">
        <v>33</v>
      </c>
      <c r="I52" s="65">
        <v>0</v>
      </c>
      <c r="J52" s="65">
        <v>1863.8099999999963</v>
      </c>
      <c r="K52" s="65">
        <v>4000</v>
      </c>
      <c r="L52" s="65">
        <v>135.85</v>
      </c>
      <c r="M52" s="66">
        <v>0</v>
      </c>
      <c r="N52" s="88">
        <f>Tabela1[[#This Row],[1QZ DE DEZ 26]]-Tabela1[[#This Row],[SALDO FINAL]]-Tabela1[[#This Row],[SALDO CARTAO]]-Tabela1[[#This Row],[ADIANTAMENTO]]</f>
        <v>2000.3400000000038</v>
      </c>
      <c r="O52" s="67">
        <f>(-Tabela1[[#This Row],[SALDO REEMBOLSAR]]*$O$4)</f>
        <v>0</v>
      </c>
      <c r="P52" s="122">
        <f>IF(Tabela1[[#This Row],[CARGA PARCIAL]]&lt;0,0,Tabela1[[#This Row],[CARGA PARCIAL]])</f>
        <v>2000.3400000000038</v>
      </c>
      <c r="Q52" s="93">
        <f>IF(Tabela1[[#This Row],[CARGA PARCIAL]]&lt;0,0,Tabela1[[#This Row],[CARGA PARCIAL]])+Tabela1[[#This Row],[REEMBOLSO]]</f>
        <v>2000.3400000000038</v>
      </c>
      <c r="R52" s="66" t="s">
        <v>21</v>
      </c>
      <c r="S52" s="70"/>
      <c r="T52" s="37"/>
      <c r="AW52"/>
      <c r="AX52"/>
      <c r="AY52"/>
    </row>
    <row r="53" spans="2:51" x14ac:dyDescent="0.25">
      <c r="B53" s="83" t="s">
        <v>104</v>
      </c>
      <c r="C53" s="64" t="s">
        <v>105</v>
      </c>
      <c r="D53" s="64" t="s">
        <v>17</v>
      </c>
      <c r="E53" s="64" t="s">
        <v>106</v>
      </c>
      <c r="F53" s="64">
        <v>11030770001</v>
      </c>
      <c r="G53" s="82" t="s">
        <v>19</v>
      </c>
      <c r="H53" s="64" t="s">
        <v>20</v>
      </c>
      <c r="I53" s="65">
        <v>-4875.1100000000115</v>
      </c>
      <c r="J53" s="65">
        <v>0</v>
      </c>
      <c r="K53" s="65">
        <v>2000</v>
      </c>
      <c r="L53" s="65">
        <v>7.77</v>
      </c>
      <c r="M53" s="70">
        <v>0</v>
      </c>
      <c r="N53" s="88">
        <f>Tabela1[[#This Row],[1QZ DE DEZ 26]]-Tabela1[[#This Row],[SALDO FINAL]]-Tabela1[[#This Row],[SALDO CARTAO]]-Tabela1[[#This Row],[ADIANTAMENTO]]</f>
        <v>1992.23</v>
      </c>
      <c r="O53" s="67">
        <v>0</v>
      </c>
      <c r="P53" s="90">
        <f>IF(Tabela1[[#This Row],[CARGA PARCIAL]]&lt;0,0,Tabela1[[#This Row],[CARGA PARCIAL]])</f>
        <v>1992.23</v>
      </c>
      <c r="Q53" s="93">
        <f>IF(Tabela1[[#This Row],[CARGA PARCIAL]]&lt;0,0,Tabela1[[#This Row],[CARGA PARCIAL]])+Tabela1[[#This Row],[REEMBOLSO]]</f>
        <v>1992.23</v>
      </c>
      <c r="R53" s="66" t="s">
        <v>21</v>
      </c>
      <c r="S53" s="70"/>
      <c r="T53" s="37"/>
      <c r="AW53"/>
      <c r="AX53"/>
      <c r="AY53"/>
    </row>
    <row r="54" spans="2:51" x14ac:dyDescent="0.25">
      <c r="B54" s="83" t="s">
        <v>334</v>
      </c>
      <c r="C54" s="64" t="s">
        <v>335</v>
      </c>
      <c r="D54" s="64" t="s">
        <v>17</v>
      </c>
      <c r="E54" s="64" t="s">
        <v>239</v>
      </c>
      <c r="F54" s="64">
        <v>11040130001</v>
      </c>
      <c r="G54" s="82" t="s">
        <v>240</v>
      </c>
      <c r="H54" s="64" t="s">
        <v>33</v>
      </c>
      <c r="I54" s="65">
        <v>-827.58999999999935</v>
      </c>
      <c r="J54" s="65">
        <v>0</v>
      </c>
      <c r="K54" s="65">
        <v>2520</v>
      </c>
      <c r="L54" s="65">
        <v>767.89</v>
      </c>
      <c r="M54" s="66">
        <v>0</v>
      </c>
      <c r="N54" s="88">
        <f>Tabela1[[#This Row],[1QZ DE DEZ 26]]-Tabela1[[#This Row],[SALDO FINAL]]-Tabela1[[#This Row],[SALDO CARTAO]]-Tabela1[[#This Row],[ADIANTAMENTO]]</f>
        <v>1752.1100000000001</v>
      </c>
      <c r="O54" s="67">
        <f>(-Tabela1[[#This Row],[SALDO REEMBOLSAR]]*$O$4)</f>
        <v>165.51799999999989</v>
      </c>
      <c r="P54" s="90">
        <f>IF(Tabela1[[#This Row],[CARGA PARCIAL]]&lt;0,0,Tabela1[[#This Row],[CARGA PARCIAL]])</f>
        <v>1752.1100000000001</v>
      </c>
      <c r="Q54" s="93">
        <f>IF(Tabela1[[#This Row],[CARGA PARCIAL]]&lt;0,0,Tabela1[[#This Row],[CARGA PARCIAL]])+Tabela1[[#This Row],[REEMBOLSO]]</f>
        <v>1917.6279999999999</v>
      </c>
      <c r="R54" s="66" t="s">
        <v>21</v>
      </c>
      <c r="S54" s="70"/>
      <c r="T54" s="37"/>
      <c r="AW54"/>
      <c r="AX54"/>
      <c r="AY54"/>
    </row>
    <row r="55" spans="2:51" x14ac:dyDescent="0.25">
      <c r="B55" s="83" t="s">
        <v>241</v>
      </c>
      <c r="C55" s="64" t="s">
        <v>242</v>
      </c>
      <c r="D55" s="64" t="s">
        <v>17</v>
      </c>
      <c r="E55" s="64" t="s">
        <v>243</v>
      </c>
      <c r="F55" s="64">
        <v>11030690001</v>
      </c>
      <c r="G55" s="82" t="s">
        <v>244</v>
      </c>
      <c r="H55" s="64" t="s">
        <v>33</v>
      </c>
      <c r="I55" s="65">
        <v>-1119.5599999999977</v>
      </c>
      <c r="J55" s="65">
        <v>0</v>
      </c>
      <c r="K55" s="65">
        <v>1680</v>
      </c>
      <c r="L55" s="65">
        <v>6</v>
      </c>
      <c r="M55" s="66">
        <v>0</v>
      </c>
      <c r="N55" s="88">
        <f>Tabela1[[#This Row],[1QZ DE DEZ 26]]-Tabela1[[#This Row],[SALDO FINAL]]-Tabela1[[#This Row],[SALDO CARTAO]]-Tabela1[[#This Row],[ADIANTAMENTO]]</f>
        <v>1674</v>
      </c>
      <c r="O55" s="67">
        <f>(-Tabela1[[#This Row],[SALDO REEMBOLSAR]]*$O$4)</f>
        <v>223.91199999999955</v>
      </c>
      <c r="P55" s="90">
        <f>IF(Tabela1[[#This Row],[CARGA PARCIAL]]&lt;0,0,Tabela1[[#This Row],[CARGA PARCIAL]])</f>
        <v>1674</v>
      </c>
      <c r="Q55" s="93">
        <f>IF(Tabela1[[#This Row],[CARGA PARCIAL]]&lt;0,0,Tabela1[[#This Row],[CARGA PARCIAL]])+Tabela1[[#This Row],[REEMBOLSO]]</f>
        <v>1897.9119999999996</v>
      </c>
      <c r="R55" s="66" t="s">
        <v>21</v>
      </c>
      <c r="S55" s="70"/>
      <c r="T55" s="37"/>
      <c r="AW55"/>
      <c r="AX55"/>
      <c r="AY55"/>
    </row>
    <row r="56" spans="2:51" x14ac:dyDescent="0.25">
      <c r="B56" s="83" t="s">
        <v>85</v>
      </c>
      <c r="C56" s="64" t="s">
        <v>86</v>
      </c>
      <c r="D56" s="64" t="s">
        <v>17</v>
      </c>
      <c r="E56" s="64" t="s">
        <v>87</v>
      </c>
      <c r="F56" s="64">
        <v>11080170001</v>
      </c>
      <c r="G56" s="82" t="s">
        <v>32</v>
      </c>
      <c r="H56" s="64" t="s">
        <v>33</v>
      </c>
      <c r="I56" s="65">
        <v>0</v>
      </c>
      <c r="J56" s="65">
        <v>1135.8699999999953</v>
      </c>
      <c r="K56" s="65">
        <v>3000</v>
      </c>
      <c r="L56" s="65">
        <v>1</v>
      </c>
      <c r="M56" s="70">
        <v>0</v>
      </c>
      <c r="N56" s="88">
        <f>Tabela1[[#This Row],[1QZ DE DEZ 26]]-Tabela1[[#This Row],[SALDO FINAL]]-Tabela1[[#This Row],[SALDO CARTAO]]-Tabela1[[#This Row],[ADIANTAMENTO]]</f>
        <v>1863.1300000000047</v>
      </c>
      <c r="O56" s="67">
        <f>(-Tabela1[[#This Row],[SALDO REEMBOLSAR]]*$O$4)</f>
        <v>0</v>
      </c>
      <c r="P56" s="90">
        <f>IF(Tabela1[[#This Row],[CARGA PARCIAL]]&lt;0,0,Tabela1[[#This Row],[CARGA PARCIAL]])</f>
        <v>1863.1300000000047</v>
      </c>
      <c r="Q56" s="93">
        <f>IF(Tabela1[[#This Row],[CARGA PARCIAL]]&lt;0,0,Tabela1[[#This Row],[CARGA PARCIAL]])+Tabela1[[#This Row],[REEMBOLSO]]</f>
        <v>1863.1300000000047</v>
      </c>
      <c r="R56" s="66" t="s">
        <v>21</v>
      </c>
      <c r="S56" s="70"/>
      <c r="T56" s="37"/>
      <c r="AW56"/>
      <c r="AX56"/>
      <c r="AY56"/>
    </row>
    <row r="57" spans="2:51" x14ac:dyDescent="0.25">
      <c r="B57" s="103" t="s">
        <v>678</v>
      </c>
      <c r="C57" s="102" t="s">
        <v>679</v>
      </c>
      <c r="D57" s="64" t="s">
        <v>17</v>
      </c>
      <c r="E57" s="64" t="s">
        <v>680</v>
      </c>
      <c r="F57" s="64">
        <v>11030700001</v>
      </c>
      <c r="G57" s="82" t="s">
        <v>244</v>
      </c>
      <c r="H57" s="64" t="s">
        <v>33</v>
      </c>
      <c r="I57" s="65">
        <v>0</v>
      </c>
      <c r="J57" s="65">
        <v>56.700000000014626</v>
      </c>
      <c r="K57" s="65">
        <v>1840</v>
      </c>
      <c r="L57" s="65">
        <v>5.72</v>
      </c>
      <c r="M57" s="66">
        <v>0</v>
      </c>
      <c r="N57" s="88">
        <f>Tabela1[[#This Row],[1QZ DE DEZ 26]]-Tabela1[[#This Row],[SALDO FINAL]]-Tabela1[[#This Row],[SALDO CARTAO]]-Tabela1[[#This Row],[ADIANTAMENTO]]</f>
        <v>1777.5799999999854</v>
      </c>
      <c r="O57" s="67">
        <f>(-Tabela1[[#This Row],[SALDO REEMBOLSAR]]*$O$4)</f>
        <v>0</v>
      </c>
      <c r="P57" s="122">
        <f>IF(Tabela1[[#This Row],[CARGA PARCIAL]]&lt;0,0,Tabela1[[#This Row],[CARGA PARCIAL]])</f>
        <v>1777.5799999999854</v>
      </c>
      <c r="Q57" s="93">
        <f>IF(Tabela1[[#This Row],[CARGA PARCIAL]]&lt;0,0,Tabela1[[#This Row],[CARGA PARCIAL]])+Tabela1[[#This Row],[REEMBOLSO]]</f>
        <v>1777.5799999999854</v>
      </c>
      <c r="R57" s="66" t="s">
        <v>21</v>
      </c>
      <c r="S57" s="70"/>
      <c r="T57" s="37"/>
      <c r="AW57"/>
      <c r="AX57"/>
      <c r="AY57"/>
    </row>
    <row r="58" spans="2:51" x14ac:dyDescent="0.25">
      <c r="B58" s="83" t="s">
        <v>15</v>
      </c>
      <c r="C58" s="64" t="s">
        <v>16</v>
      </c>
      <c r="D58" s="64" t="s">
        <v>17</v>
      </c>
      <c r="E58" s="64" t="s">
        <v>18</v>
      </c>
      <c r="F58" s="64">
        <v>11040170001</v>
      </c>
      <c r="G58" s="82" t="s">
        <v>19</v>
      </c>
      <c r="H58" s="64" t="s">
        <v>20</v>
      </c>
      <c r="I58" s="65">
        <v>-163.07000000000508</v>
      </c>
      <c r="J58" s="65">
        <v>0</v>
      </c>
      <c r="K58" s="65">
        <v>1600</v>
      </c>
      <c r="L58" s="65">
        <v>0.92</v>
      </c>
      <c r="M58" s="66">
        <v>0</v>
      </c>
      <c r="N58" s="88">
        <f>Tabela1[[#This Row],[1QZ DE DEZ 26]]-Tabela1[[#This Row],[SALDO FINAL]]-Tabela1[[#This Row],[SALDO CARTAO]]-Tabela1[[#This Row],[ADIANTAMENTO]]</f>
        <v>1599.08</v>
      </c>
      <c r="O58" s="67">
        <f>-Tabela1[[#This Row],[SALDO REEMBOLSAR]]</f>
        <v>163.07000000000508</v>
      </c>
      <c r="P58" s="90">
        <f>IF(Tabela1[[#This Row],[CARGA PARCIAL]]&lt;0,0,Tabela1[[#This Row],[CARGA PARCIAL]])</f>
        <v>1599.08</v>
      </c>
      <c r="Q58" s="93">
        <f>IF(Tabela1[[#This Row],[CARGA PARCIAL]]&lt;0,0,Tabela1[[#This Row],[CARGA PARCIAL]])+Tabela1[[#This Row],[REEMBOLSO]]</f>
        <v>1762.1500000000051</v>
      </c>
      <c r="R58" s="66" t="s">
        <v>21</v>
      </c>
      <c r="S58" s="70"/>
      <c r="T58" s="37"/>
      <c r="AW58"/>
      <c r="AX58"/>
      <c r="AY58"/>
    </row>
    <row r="59" spans="2:51" x14ac:dyDescent="0.25">
      <c r="B59" s="83" t="s">
        <v>222</v>
      </c>
      <c r="C59" s="64" t="s">
        <v>223</v>
      </c>
      <c r="D59" s="64" t="s">
        <v>17</v>
      </c>
      <c r="E59" s="64" t="s">
        <v>224</v>
      </c>
      <c r="F59" s="64">
        <v>11062650001</v>
      </c>
      <c r="G59" s="82" t="s">
        <v>19</v>
      </c>
      <c r="H59" s="64" t="s">
        <v>20</v>
      </c>
      <c r="I59" s="65">
        <v>-2956.7799999999997</v>
      </c>
      <c r="J59" s="65">
        <v>0</v>
      </c>
      <c r="K59" s="65">
        <v>1500</v>
      </c>
      <c r="L59" s="65">
        <v>339.96</v>
      </c>
      <c r="M59" s="66">
        <v>0</v>
      </c>
      <c r="N59" s="88">
        <f>Tabela1[[#This Row],[1QZ DE DEZ 26]]-Tabela1[[#This Row],[SALDO FINAL]]-Tabela1[[#This Row],[SALDO CARTAO]]-Tabela1[[#This Row],[ADIANTAMENTO]]</f>
        <v>1160.04</v>
      </c>
      <c r="O59" s="67">
        <f>(-Tabela1[[#This Row],[SALDO REEMBOLSAR]]*$O$4)</f>
        <v>591.35599999999999</v>
      </c>
      <c r="P59" s="90">
        <f>IF(Tabela1[[#This Row],[CARGA PARCIAL]]&lt;0,0,Tabela1[[#This Row],[CARGA PARCIAL]])</f>
        <v>1160.04</v>
      </c>
      <c r="Q59" s="93">
        <f>IF(Tabela1[[#This Row],[CARGA PARCIAL]]&lt;0,0,Tabela1[[#This Row],[CARGA PARCIAL]])+Tabela1[[#This Row],[REEMBOLSO]]</f>
        <v>1751.396</v>
      </c>
      <c r="R59" s="66" t="s">
        <v>423</v>
      </c>
      <c r="S59" s="70"/>
      <c r="T59" s="37"/>
      <c r="AW59"/>
      <c r="AX59"/>
      <c r="AY59"/>
    </row>
    <row r="60" spans="2:51" x14ac:dyDescent="0.25">
      <c r="B60" s="103" t="s">
        <v>818</v>
      </c>
      <c r="C60" s="102" t="s">
        <v>819</v>
      </c>
      <c r="D60" s="64" t="s">
        <v>17</v>
      </c>
      <c r="E60" s="64" t="s">
        <v>817</v>
      </c>
      <c r="F60" s="64">
        <v>11030890001</v>
      </c>
      <c r="G60" s="82" t="s">
        <v>19</v>
      </c>
      <c r="H60" s="64" t="s">
        <v>20</v>
      </c>
      <c r="I60" s="65">
        <v>-972.91000000000042</v>
      </c>
      <c r="J60" s="65">
        <v>0</v>
      </c>
      <c r="K60" s="65">
        <v>2000</v>
      </c>
      <c r="L60" s="65">
        <v>458.89</v>
      </c>
      <c r="M60" s="70">
        <v>0</v>
      </c>
      <c r="N60" s="88">
        <f>Tabela1[[#This Row],[1QZ DE DEZ 26]]-Tabela1[[#This Row],[SALDO FINAL]]-Tabela1[[#This Row],[SALDO CARTAO]]-Tabela1[[#This Row],[ADIANTAMENTO]]</f>
        <v>1541.1100000000001</v>
      </c>
      <c r="O60" s="67">
        <f>(-Tabela1[[#This Row],[SALDO REEMBOLSAR]]*$O$4)</f>
        <v>194.58200000000011</v>
      </c>
      <c r="P60" s="122">
        <f>IF(Tabela1[[#This Row],[CARGA PARCIAL]]&lt;0,0,Tabela1[[#This Row],[CARGA PARCIAL]])</f>
        <v>1541.1100000000001</v>
      </c>
      <c r="Q60" s="93">
        <f>IF(Tabela1[[#This Row],[CARGA PARCIAL]]&lt;0,0,Tabela1[[#This Row],[CARGA PARCIAL]])+Tabela1[[#This Row],[REEMBOLSO]]</f>
        <v>1735.6920000000002</v>
      </c>
      <c r="R60" s="66" t="s">
        <v>21</v>
      </c>
      <c r="S60" s="70"/>
      <c r="T60" s="37"/>
      <c r="AW60"/>
      <c r="AX60"/>
      <c r="AY60"/>
    </row>
    <row r="61" spans="2:51" x14ac:dyDescent="0.25">
      <c r="B61" s="103" t="s">
        <v>741</v>
      </c>
      <c r="C61" s="102" t="s">
        <v>742</v>
      </c>
      <c r="D61" s="64" t="s">
        <v>17</v>
      </c>
      <c r="E61" s="64" t="s">
        <v>380</v>
      </c>
      <c r="F61" s="64">
        <v>11030620001</v>
      </c>
      <c r="G61" s="82" t="s">
        <v>236</v>
      </c>
      <c r="H61" s="64" t="s">
        <v>33</v>
      </c>
      <c r="I61" s="65">
        <v>0</v>
      </c>
      <c r="J61" s="65">
        <v>1079.9699999999955</v>
      </c>
      <c r="K61" s="65">
        <v>2800</v>
      </c>
      <c r="L61" s="65">
        <v>0.99</v>
      </c>
      <c r="M61" s="70">
        <v>0</v>
      </c>
      <c r="N61" s="88">
        <f>Tabela1[[#This Row],[1QZ DE DEZ 26]]-Tabela1[[#This Row],[SALDO FINAL]]-Tabela1[[#This Row],[SALDO CARTAO]]-Tabela1[[#This Row],[ADIANTAMENTO]]</f>
        <v>1719.0400000000045</v>
      </c>
      <c r="O61" s="67">
        <f>(-Tabela1[[#This Row],[SALDO REEMBOLSAR]]*$O$4)</f>
        <v>0</v>
      </c>
      <c r="P61" s="122">
        <f>IF(Tabela1[[#This Row],[CARGA PARCIAL]]&lt;0,0,Tabela1[[#This Row],[CARGA PARCIAL]])</f>
        <v>1719.0400000000045</v>
      </c>
      <c r="Q61" s="93">
        <f>IF(Tabela1[[#This Row],[CARGA PARCIAL]]&lt;0,0,Tabela1[[#This Row],[CARGA PARCIAL]])+Tabela1[[#This Row],[REEMBOLSO]]</f>
        <v>1719.0400000000045</v>
      </c>
      <c r="R61" s="66" t="s">
        <v>21</v>
      </c>
      <c r="S61" s="70"/>
      <c r="T61" s="37"/>
      <c r="AW61"/>
      <c r="AX61"/>
      <c r="AY61"/>
    </row>
    <row r="62" spans="2:51" x14ac:dyDescent="0.25">
      <c r="B62" s="103" t="s">
        <v>152</v>
      </c>
      <c r="C62" s="102" t="s">
        <v>153</v>
      </c>
      <c r="D62" s="64" t="s">
        <v>17</v>
      </c>
      <c r="E62" s="64" t="s">
        <v>154</v>
      </c>
      <c r="F62" s="64">
        <v>11061880001</v>
      </c>
      <c r="G62" s="82" t="s">
        <v>25</v>
      </c>
      <c r="H62" s="64" t="s">
        <v>20</v>
      </c>
      <c r="I62" s="65">
        <v>-1044.5000000000159</v>
      </c>
      <c r="J62" s="65">
        <v>0</v>
      </c>
      <c r="K62" s="65">
        <v>2000</v>
      </c>
      <c r="L62" s="65">
        <v>529.35</v>
      </c>
      <c r="M62" s="66">
        <v>0</v>
      </c>
      <c r="N62" s="88">
        <f>Tabela1[[#This Row],[1QZ DE DEZ 26]]-Tabela1[[#This Row],[SALDO FINAL]]-Tabela1[[#This Row],[SALDO CARTAO]]-Tabela1[[#This Row],[ADIANTAMENTO]]</f>
        <v>1470.65</v>
      </c>
      <c r="O62" s="67">
        <f>(-Tabela1[[#This Row],[SALDO REEMBOLSAR]]*$O$4)</f>
        <v>208.90000000000319</v>
      </c>
      <c r="P62" s="122">
        <f>IF(Tabela1[[#This Row],[CARGA PARCIAL]]&lt;0,0,Tabela1[[#This Row],[CARGA PARCIAL]])</f>
        <v>1470.65</v>
      </c>
      <c r="Q62" s="93">
        <f>IF(Tabela1[[#This Row],[CARGA PARCIAL]]&lt;0,0,Tabela1[[#This Row],[CARGA PARCIAL]])+Tabela1[[#This Row],[REEMBOLSO]]</f>
        <v>1679.5500000000034</v>
      </c>
      <c r="R62" s="66" t="s">
        <v>21</v>
      </c>
      <c r="S62" s="70"/>
      <c r="T62" s="37"/>
      <c r="AW62"/>
      <c r="AX62"/>
      <c r="AY62"/>
    </row>
    <row r="63" spans="2:51" x14ac:dyDescent="0.25">
      <c r="B63" s="103" t="s">
        <v>200</v>
      </c>
      <c r="C63" s="102" t="s">
        <v>201</v>
      </c>
      <c r="D63" s="64" t="s">
        <v>17</v>
      </c>
      <c r="E63" s="64" t="s">
        <v>154</v>
      </c>
      <c r="F63" s="64">
        <v>11061880001</v>
      </c>
      <c r="G63" s="82" t="s">
        <v>25</v>
      </c>
      <c r="H63" s="64" t="s">
        <v>20</v>
      </c>
      <c r="I63" s="65">
        <v>-791.64000000000101</v>
      </c>
      <c r="J63" s="65">
        <v>0</v>
      </c>
      <c r="K63" s="65">
        <v>1500</v>
      </c>
      <c r="L63" s="65">
        <v>5.51</v>
      </c>
      <c r="M63" s="66">
        <v>0</v>
      </c>
      <c r="N63" s="88">
        <f>Tabela1[[#This Row],[1QZ DE DEZ 26]]-Tabela1[[#This Row],[SALDO FINAL]]-Tabela1[[#This Row],[SALDO CARTAO]]-Tabela1[[#This Row],[ADIANTAMENTO]]</f>
        <v>1494.49</v>
      </c>
      <c r="O63" s="67">
        <f>(-Tabela1[[#This Row],[SALDO REEMBOLSAR]]*$O$4)</f>
        <v>158.3280000000002</v>
      </c>
      <c r="P63" s="122">
        <f>IF(Tabela1[[#This Row],[CARGA PARCIAL]]&lt;0,0,Tabela1[[#This Row],[CARGA PARCIAL]])</f>
        <v>1494.49</v>
      </c>
      <c r="Q63" s="93">
        <f>IF(Tabela1[[#This Row],[CARGA PARCIAL]]&lt;0,0,Tabela1[[#This Row],[CARGA PARCIAL]])+Tabela1[[#This Row],[REEMBOLSO]]</f>
        <v>1652.8180000000002</v>
      </c>
      <c r="R63" s="66" t="s">
        <v>21</v>
      </c>
      <c r="S63" s="70"/>
      <c r="T63" s="37"/>
      <c r="AW63"/>
      <c r="AX63"/>
      <c r="AY63"/>
    </row>
    <row r="64" spans="2:51" x14ac:dyDescent="0.25">
      <c r="B64" s="83" t="s">
        <v>522</v>
      </c>
      <c r="C64" s="64" t="s">
        <v>523</v>
      </c>
      <c r="D64" s="64" t="s">
        <v>17</v>
      </c>
      <c r="E64" s="64" t="s">
        <v>524</v>
      </c>
      <c r="F64" s="64">
        <v>11010180001</v>
      </c>
      <c r="G64" s="82" t="s">
        <v>244</v>
      </c>
      <c r="H64" s="64" t="s">
        <v>33</v>
      </c>
      <c r="I64" s="65">
        <v>-695.53999999999746</v>
      </c>
      <c r="J64" s="65">
        <v>0</v>
      </c>
      <c r="K64" s="65">
        <v>1500</v>
      </c>
      <c r="L64" s="65">
        <v>3.24</v>
      </c>
      <c r="M64" s="66">
        <v>0</v>
      </c>
      <c r="N64" s="88">
        <f>Tabela1[[#This Row],[1QZ DE DEZ 26]]-Tabela1[[#This Row],[SALDO FINAL]]-Tabela1[[#This Row],[SALDO CARTAO]]-Tabela1[[#This Row],[ADIANTAMENTO]]</f>
        <v>1496.76</v>
      </c>
      <c r="O64" s="67">
        <f>(-Tabela1[[#This Row],[SALDO REEMBOLSAR]]*$O$4)</f>
        <v>139.10799999999949</v>
      </c>
      <c r="P64" s="90">
        <f>IF(Tabela1[[#This Row],[CARGA PARCIAL]]&lt;0,0,Tabela1[[#This Row],[CARGA PARCIAL]])</f>
        <v>1496.76</v>
      </c>
      <c r="Q64" s="93">
        <f>IF(Tabela1[[#This Row],[CARGA PARCIAL]]&lt;0,0,Tabela1[[#This Row],[CARGA PARCIAL]])+Tabela1[[#This Row],[REEMBOLSO]]</f>
        <v>1635.8679999999995</v>
      </c>
      <c r="R64" s="66" t="s">
        <v>21</v>
      </c>
      <c r="S64" s="70"/>
      <c r="T64" s="37"/>
      <c r="AW64"/>
      <c r="AX64"/>
      <c r="AY64"/>
    </row>
    <row r="65" spans="2:51" x14ac:dyDescent="0.25">
      <c r="B65" s="83" t="s">
        <v>205</v>
      </c>
      <c r="C65" s="64" t="s">
        <v>206</v>
      </c>
      <c r="D65" s="64" t="s">
        <v>17</v>
      </c>
      <c r="E65" s="64" t="s">
        <v>207</v>
      </c>
      <c r="F65" s="64">
        <v>11062270001</v>
      </c>
      <c r="G65" s="82" t="s">
        <v>19</v>
      </c>
      <c r="H65" s="64" t="s">
        <v>20</v>
      </c>
      <c r="I65" s="65">
        <v>-142.83000000001192</v>
      </c>
      <c r="J65" s="65">
        <v>0</v>
      </c>
      <c r="K65" s="65">
        <v>1500</v>
      </c>
      <c r="L65" s="65">
        <v>8.9499999999999993</v>
      </c>
      <c r="M65" s="70">
        <v>0</v>
      </c>
      <c r="N65" s="88">
        <f>Tabela1[[#This Row],[1QZ DE DEZ 26]]-Tabela1[[#This Row],[SALDO FINAL]]-Tabela1[[#This Row],[SALDO CARTAO]]-Tabela1[[#This Row],[ADIANTAMENTO]]</f>
        <v>1491.05</v>
      </c>
      <c r="O65" s="67">
        <f>-Tabela1[[#This Row],[SALDO REEMBOLSAR]]</f>
        <v>142.83000000001192</v>
      </c>
      <c r="P65" s="90">
        <f>IF(Tabela1[[#This Row],[CARGA PARCIAL]]&lt;0,0,Tabela1[[#This Row],[CARGA PARCIAL]])</f>
        <v>1491.05</v>
      </c>
      <c r="Q65" s="93">
        <f>IF(Tabela1[[#This Row],[CARGA PARCIAL]]&lt;0,0,Tabela1[[#This Row],[CARGA PARCIAL]])+Tabela1[[#This Row],[REEMBOLSO]]</f>
        <v>1633.8800000000119</v>
      </c>
      <c r="R65" s="66" t="s">
        <v>21</v>
      </c>
      <c r="S65" s="70"/>
      <c r="T65" s="37"/>
      <c r="AW65"/>
      <c r="AX65"/>
      <c r="AY65"/>
    </row>
    <row r="66" spans="2:51" x14ac:dyDescent="0.25">
      <c r="B66" s="83" t="s">
        <v>1014</v>
      </c>
      <c r="C66" s="64" t="s">
        <v>1666</v>
      </c>
      <c r="D66" s="64" t="s">
        <v>17</v>
      </c>
      <c r="E66" s="64" t="s">
        <v>312</v>
      </c>
      <c r="F66" s="64">
        <v>11030850001</v>
      </c>
      <c r="G66" s="82" t="s">
        <v>1989</v>
      </c>
      <c r="H66" s="64" t="s">
        <v>20</v>
      </c>
      <c r="I66" s="65">
        <v>-299.31999999998447</v>
      </c>
      <c r="J66" s="65">
        <v>0</v>
      </c>
      <c r="K66" s="65">
        <v>2000</v>
      </c>
      <c r="L66" s="65">
        <v>430.53</v>
      </c>
      <c r="M66" s="70">
        <v>0</v>
      </c>
      <c r="N66" s="88">
        <f>Tabela1[[#This Row],[1QZ DE DEZ 26]]-Tabela1[[#This Row],[SALDO FINAL]]-Tabela1[[#This Row],[SALDO CARTAO]]-Tabela1[[#This Row],[ADIANTAMENTO]]</f>
        <v>1569.47</v>
      </c>
      <c r="O66" s="67">
        <f>(-Tabela1[[#This Row],[SALDO REEMBOLSAR]]*$O$4)</f>
        <v>59.863999999996899</v>
      </c>
      <c r="P66" s="90">
        <f>IF(Tabela1[[#This Row],[CARGA PARCIAL]]&lt;0,0,Tabela1[[#This Row],[CARGA PARCIAL]])</f>
        <v>1569.47</v>
      </c>
      <c r="Q66" s="93">
        <f>IF(Tabela1[[#This Row],[CARGA PARCIAL]]&lt;0,0,Tabela1[[#This Row],[CARGA PARCIAL]])+Tabela1[[#This Row],[REEMBOLSO]]</f>
        <v>1629.3339999999969</v>
      </c>
      <c r="R66" s="66" t="s">
        <v>21</v>
      </c>
      <c r="S66" s="70"/>
      <c r="T66" s="37"/>
      <c r="AW66"/>
      <c r="AX66"/>
      <c r="AY66"/>
    </row>
    <row r="67" spans="2:51" x14ac:dyDescent="0.25">
      <c r="B67" s="103" t="s">
        <v>699</v>
      </c>
      <c r="C67" s="102" t="s">
        <v>700</v>
      </c>
      <c r="D67" s="64" t="s">
        <v>17</v>
      </c>
      <c r="E67" s="64" t="s">
        <v>488</v>
      </c>
      <c r="F67" s="64">
        <v>11061820001</v>
      </c>
      <c r="G67" s="82" t="s">
        <v>236</v>
      </c>
      <c r="H67" s="64" t="s">
        <v>33</v>
      </c>
      <c r="I67" s="65">
        <v>0</v>
      </c>
      <c r="J67" s="65">
        <v>1395.849999999999</v>
      </c>
      <c r="K67" s="65">
        <v>3000</v>
      </c>
      <c r="L67" s="65">
        <v>0</v>
      </c>
      <c r="M67" s="66">
        <v>0</v>
      </c>
      <c r="N67" s="88">
        <f>Tabela1[[#This Row],[1QZ DE DEZ 26]]-Tabela1[[#This Row],[SALDO FINAL]]-Tabela1[[#This Row],[SALDO CARTAO]]-Tabela1[[#This Row],[ADIANTAMENTO]]</f>
        <v>1604.150000000001</v>
      </c>
      <c r="O67" s="67">
        <f>(-Tabela1[[#This Row],[SALDO REEMBOLSAR]]*$O$4)</f>
        <v>0</v>
      </c>
      <c r="P67" s="122">
        <f>IF(Tabela1[[#This Row],[CARGA PARCIAL]]&lt;0,0,Tabela1[[#This Row],[CARGA PARCIAL]])</f>
        <v>1604.150000000001</v>
      </c>
      <c r="Q67" s="93">
        <f>IF(Tabela1[[#This Row],[CARGA PARCIAL]]&lt;0,0,Tabela1[[#This Row],[CARGA PARCIAL]])+Tabela1[[#This Row],[REEMBOLSO]]</f>
        <v>1604.150000000001</v>
      </c>
      <c r="R67" s="66" t="s">
        <v>21</v>
      </c>
      <c r="S67" s="70"/>
      <c r="T67" s="37"/>
      <c r="AW67"/>
      <c r="AX67"/>
      <c r="AY67"/>
    </row>
    <row r="68" spans="2:51" x14ac:dyDescent="0.25">
      <c r="B68" s="83" t="s">
        <v>91</v>
      </c>
      <c r="C68" s="64" t="s">
        <v>92</v>
      </c>
      <c r="D68" s="64" t="s">
        <v>17</v>
      </c>
      <c r="E68" s="64" t="s">
        <v>93</v>
      </c>
      <c r="F68" s="64">
        <v>1201008</v>
      </c>
      <c r="G68" s="82" t="s">
        <v>32</v>
      </c>
      <c r="H68" s="64" t="s">
        <v>33</v>
      </c>
      <c r="I68" s="65">
        <v>-109.62000000000103</v>
      </c>
      <c r="J68" s="65">
        <v>0</v>
      </c>
      <c r="K68" s="65">
        <v>1500</v>
      </c>
      <c r="L68" s="65">
        <v>41.74</v>
      </c>
      <c r="M68" s="66">
        <v>0</v>
      </c>
      <c r="N68" s="88">
        <f>Tabela1[[#This Row],[1QZ DE DEZ 26]]-Tabela1[[#This Row],[SALDO FINAL]]-Tabela1[[#This Row],[SALDO CARTAO]]-Tabela1[[#This Row],[ADIANTAMENTO]]</f>
        <v>1458.26</v>
      </c>
      <c r="O68" s="67">
        <f>-Tabela1[[#This Row],[SALDO REEMBOLSAR]]</f>
        <v>109.62000000000103</v>
      </c>
      <c r="P68" s="90">
        <f>IF(Tabela1[[#This Row],[CARGA PARCIAL]]&lt;0,0,Tabela1[[#This Row],[CARGA PARCIAL]])</f>
        <v>1458.26</v>
      </c>
      <c r="Q68" s="93">
        <f>IF(Tabela1[[#This Row],[CARGA PARCIAL]]&lt;0,0,Tabela1[[#This Row],[CARGA PARCIAL]])+Tabela1[[#This Row],[REEMBOLSO]]</f>
        <v>1567.880000000001</v>
      </c>
      <c r="R68" s="66" t="s">
        <v>21</v>
      </c>
      <c r="S68" s="70" t="s">
        <v>76</v>
      </c>
      <c r="T68" s="37"/>
      <c r="AW68"/>
      <c r="AX68"/>
      <c r="AY68"/>
    </row>
    <row r="69" spans="2:51" x14ac:dyDescent="0.25">
      <c r="B69" s="83" t="s">
        <v>124</v>
      </c>
      <c r="C69" s="64" t="s">
        <v>125</v>
      </c>
      <c r="D69" s="64" t="s">
        <v>17</v>
      </c>
      <c r="E69" s="64" t="s">
        <v>126</v>
      </c>
      <c r="F69" s="64">
        <v>11080150001</v>
      </c>
      <c r="G69" s="82" t="s">
        <v>19</v>
      </c>
      <c r="H69" s="64" t="s">
        <v>20</v>
      </c>
      <c r="I69" s="65">
        <v>-502.75999999999988</v>
      </c>
      <c r="J69" s="65">
        <v>0</v>
      </c>
      <c r="K69" s="65">
        <v>1500</v>
      </c>
      <c r="L69" s="65">
        <v>35.1</v>
      </c>
      <c r="M69" s="66">
        <v>0</v>
      </c>
      <c r="N69" s="88">
        <f>Tabela1[[#This Row],[1QZ DE DEZ 26]]-Tabela1[[#This Row],[SALDO FINAL]]-Tabela1[[#This Row],[SALDO CARTAO]]-Tabela1[[#This Row],[ADIANTAMENTO]]</f>
        <v>1464.9</v>
      </c>
      <c r="O69" s="67">
        <f>(-Tabela1[[#This Row],[SALDO REEMBOLSAR]]*$O$4)</f>
        <v>100.55199999999998</v>
      </c>
      <c r="P69" s="90">
        <f>IF(Tabela1[[#This Row],[CARGA PARCIAL]]&lt;0,0,Tabela1[[#This Row],[CARGA PARCIAL]])</f>
        <v>1464.9</v>
      </c>
      <c r="Q69" s="93">
        <f>IF(Tabela1[[#This Row],[CARGA PARCIAL]]&lt;0,0,Tabela1[[#This Row],[CARGA PARCIAL]])+Tabela1[[#This Row],[REEMBOLSO]]</f>
        <v>1565.452</v>
      </c>
      <c r="R69" s="66" t="s">
        <v>21</v>
      </c>
      <c r="S69" s="70"/>
      <c r="T69" s="37"/>
      <c r="AW69"/>
      <c r="AX69"/>
      <c r="AY69"/>
    </row>
    <row r="70" spans="2:51" x14ac:dyDescent="0.25">
      <c r="B70" s="83" t="s">
        <v>302</v>
      </c>
      <c r="C70" s="64" t="s">
        <v>303</v>
      </c>
      <c r="D70" s="64" t="s">
        <v>17</v>
      </c>
      <c r="E70" s="64" t="s">
        <v>304</v>
      </c>
      <c r="F70" s="64">
        <v>1201071</v>
      </c>
      <c r="G70" s="82" t="s">
        <v>244</v>
      </c>
      <c r="H70" s="64" t="s">
        <v>33</v>
      </c>
      <c r="I70" s="65">
        <v>-117.25999999999381</v>
      </c>
      <c r="J70" s="65">
        <v>0</v>
      </c>
      <c r="K70" s="65">
        <v>1500</v>
      </c>
      <c r="L70" s="65">
        <v>66.459999999999994</v>
      </c>
      <c r="M70" s="70">
        <v>0</v>
      </c>
      <c r="N70" s="88">
        <f>Tabela1[[#This Row],[1QZ DE DEZ 26]]-Tabela1[[#This Row],[SALDO FINAL]]-Tabela1[[#This Row],[SALDO CARTAO]]-Tabela1[[#This Row],[ADIANTAMENTO]]</f>
        <v>1433.54</v>
      </c>
      <c r="O70" s="67">
        <f>-Tabela1[[#This Row],[SALDO REEMBOLSAR]]</f>
        <v>117.25999999999381</v>
      </c>
      <c r="P70" s="90">
        <f>IF(Tabela1[[#This Row],[CARGA PARCIAL]]&lt;0,0,Tabela1[[#This Row],[CARGA PARCIAL]])</f>
        <v>1433.54</v>
      </c>
      <c r="Q70" s="93">
        <f>IF(Tabela1[[#This Row],[CARGA PARCIAL]]&lt;0,0,Tabela1[[#This Row],[CARGA PARCIAL]])+Tabela1[[#This Row],[REEMBOLSO]]</f>
        <v>1550.7999999999938</v>
      </c>
      <c r="R70" s="66" t="s">
        <v>21</v>
      </c>
      <c r="S70" s="70" t="s">
        <v>76</v>
      </c>
      <c r="T70" s="37"/>
      <c r="AW70"/>
      <c r="AX70"/>
      <c r="AY70"/>
    </row>
    <row r="71" spans="2:51" x14ac:dyDescent="0.25">
      <c r="B71" s="83" t="s">
        <v>578</v>
      </c>
      <c r="C71" s="64" t="s">
        <v>579</v>
      </c>
      <c r="D71" s="64" t="s">
        <v>17</v>
      </c>
      <c r="E71" s="64" t="s">
        <v>580</v>
      </c>
      <c r="F71" s="64">
        <v>12010590001</v>
      </c>
      <c r="G71" s="82" t="s">
        <v>112</v>
      </c>
      <c r="H71" s="64" t="s">
        <v>75</v>
      </c>
      <c r="I71" s="65">
        <v>0</v>
      </c>
      <c r="J71" s="65">
        <v>3.3899999999999082</v>
      </c>
      <c r="K71" s="65">
        <v>1500</v>
      </c>
      <c r="L71" s="65">
        <v>18.21</v>
      </c>
      <c r="M71" s="66">
        <v>0</v>
      </c>
      <c r="N71" s="88">
        <f>Tabela1[[#This Row],[1QZ DE DEZ 26]]-Tabela1[[#This Row],[SALDO FINAL]]-Tabela1[[#This Row],[SALDO CARTAO]]-Tabela1[[#This Row],[ADIANTAMENTO]]</f>
        <v>1478.4</v>
      </c>
      <c r="O71" s="67">
        <f>(-Tabela1[[#This Row],[SALDO REEMBOLSAR]]*$O$4)</f>
        <v>0</v>
      </c>
      <c r="P71" s="90">
        <f>IF(Tabela1[[#This Row],[CARGA PARCIAL]]&lt;0,0,Tabela1[[#This Row],[CARGA PARCIAL]])</f>
        <v>1478.4</v>
      </c>
      <c r="Q71" s="93">
        <f>IF(Tabela1[[#This Row],[CARGA PARCIAL]]&lt;0,0,Tabela1[[#This Row],[CARGA PARCIAL]])+Tabela1[[#This Row],[REEMBOLSO]]</f>
        <v>1478.4</v>
      </c>
      <c r="R71" s="66" t="s">
        <v>21</v>
      </c>
      <c r="S71" s="70" t="s">
        <v>76</v>
      </c>
      <c r="T71" s="37"/>
      <c r="AW71"/>
      <c r="AX71"/>
      <c r="AY71"/>
    </row>
    <row r="72" spans="2:51" x14ac:dyDescent="0.25">
      <c r="B72" s="83" t="s">
        <v>109</v>
      </c>
      <c r="C72" s="64" t="s">
        <v>110</v>
      </c>
      <c r="D72" s="64" t="s">
        <v>17</v>
      </c>
      <c r="E72" s="64" t="s">
        <v>111</v>
      </c>
      <c r="F72" s="64">
        <v>1201014</v>
      </c>
      <c r="G72" s="82" t="s">
        <v>112</v>
      </c>
      <c r="H72" s="64" t="s">
        <v>75</v>
      </c>
      <c r="I72" s="65">
        <v>0</v>
      </c>
      <c r="J72" s="65">
        <v>26.7799999999996</v>
      </c>
      <c r="K72" s="65">
        <v>1500</v>
      </c>
      <c r="L72" s="65">
        <v>8.16</v>
      </c>
      <c r="M72" s="66">
        <v>0</v>
      </c>
      <c r="N72" s="88">
        <f>Tabela1[[#This Row],[1QZ DE DEZ 26]]-Tabela1[[#This Row],[SALDO FINAL]]-Tabela1[[#This Row],[SALDO CARTAO]]-Tabela1[[#This Row],[ADIANTAMENTO]]</f>
        <v>1465.0600000000004</v>
      </c>
      <c r="O72" s="67">
        <f>(-Tabela1[[#This Row],[SALDO REEMBOLSAR]]*$O$4)</f>
        <v>0</v>
      </c>
      <c r="P72" s="90">
        <f>IF(Tabela1[[#This Row],[CARGA PARCIAL]]&lt;0,0,Tabela1[[#This Row],[CARGA PARCIAL]])</f>
        <v>1465.0600000000004</v>
      </c>
      <c r="Q72" s="93">
        <f>IF(Tabela1[[#This Row],[CARGA PARCIAL]]&lt;0,0,Tabela1[[#This Row],[CARGA PARCIAL]])+Tabela1[[#This Row],[REEMBOLSO]]</f>
        <v>1465.0600000000004</v>
      </c>
      <c r="R72" s="66" t="s">
        <v>21</v>
      </c>
      <c r="S72" s="70" t="s">
        <v>76</v>
      </c>
      <c r="T72" s="37"/>
      <c r="AW72"/>
      <c r="AX72"/>
      <c r="AY72"/>
    </row>
    <row r="73" spans="2:51" x14ac:dyDescent="0.25">
      <c r="B73" s="83" t="s">
        <v>98</v>
      </c>
      <c r="C73" s="64" t="s">
        <v>99</v>
      </c>
      <c r="D73" s="64" t="s">
        <v>17</v>
      </c>
      <c r="E73" s="64" t="s">
        <v>100</v>
      </c>
      <c r="F73" s="64">
        <v>11030820001</v>
      </c>
      <c r="G73" s="82" t="s">
        <v>55</v>
      </c>
      <c r="H73" s="64" t="s">
        <v>56</v>
      </c>
      <c r="I73" s="65">
        <v>-2558.0599999999977</v>
      </c>
      <c r="J73" s="65">
        <v>0</v>
      </c>
      <c r="K73" s="65">
        <v>1000</v>
      </c>
      <c r="L73" s="65">
        <v>78</v>
      </c>
      <c r="M73" s="70">
        <v>0</v>
      </c>
      <c r="N73" s="88">
        <f>Tabela1[[#This Row],[1QZ DE DEZ 26]]-Tabela1[[#This Row],[SALDO FINAL]]-Tabela1[[#This Row],[SALDO CARTAO]]-Tabela1[[#This Row],[ADIANTAMENTO]]</f>
        <v>922</v>
      </c>
      <c r="O73" s="67">
        <f>(-Tabela1[[#This Row],[SALDO REEMBOLSAR]]*$O$4)</f>
        <v>511.61199999999957</v>
      </c>
      <c r="P73" s="90">
        <f>IF(Tabela1[[#This Row],[CARGA PARCIAL]]&lt;0,0,Tabela1[[#This Row],[CARGA PARCIAL]])</f>
        <v>922</v>
      </c>
      <c r="Q73" s="93">
        <f>IF(Tabela1[[#This Row],[CARGA PARCIAL]]&lt;0,0,Tabela1[[#This Row],[CARGA PARCIAL]])+Tabela1[[#This Row],[REEMBOLSO]]</f>
        <v>1433.6119999999996</v>
      </c>
      <c r="R73" s="66" t="s">
        <v>21</v>
      </c>
      <c r="S73" s="70"/>
      <c r="T73" s="37"/>
      <c r="AW73"/>
      <c r="AX73"/>
      <c r="AY73"/>
    </row>
    <row r="74" spans="2:51" x14ac:dyDescent="0.25">
      <c r="B74" s="83" t="s">
        <v>94</v>
      </c>
      <c r="C74" s="64" t="s">
        <v>95</v>
      </c>
      <c r="D74" s="64" t="s">
        <v>17</v>
      </c>
      <c r="E74" s="64" t="s">
        <v>18</v>
      </c>
      <c r="F74" s="64">
        <v>11040170001</v>
      </c>
      <c r="G74" s="82" t="s">
        <v>19</v>
      </c>
      <c r="H74" s="64" t="s">
        <v>20</v>
      </c>
      <c r="I74" s="65">
        <v>-2082.4499999999971</v>
      </c>
      <c r="J74" s="65">
        <v>0</v>
      </c>
      <c r="K74" s="65">
        <v>2000</v>
      </c>
      <c r="L74" s="65">
        <v>16</v>
      </c>
      <c r="M74" s="70">
        <v>1000</v>
      </c>
      <c r="N74" s="88">
        <f>Tabela1[[#This Row],[1QZ DE DEZ 26]]-Tabela1[[#This Row],[SALDO FINAL]]-Tabela1[[#This Row],[SALDO CARTAO]]-Tabela1[[#This Row],[ADIANTAMENTO]]</f>
        <v>984</v>
      </c>
      <c r="O74" s="67">
        <f>(-Tabela1[[#This Row],[SALDO REEMBOLSAR]]*$O$4)</f>
        <v>416.48999999999944</v>
      </c>
      <c r="P74" s="90">
        <f>IF(Tabela1[[#This Row],[CARGA PARCIAL]]&lt;0,0,Tabela1[[#This Row],[CARGA PARCIAL]])</f>
        <v>984</v>
      </c>
      <c r="Q74" s="93">
        <f>IF(Tabela1[[#This Row],[CARGA PARCIAL]]&lt;0,0,Tabela1[[#This Row],[CARGA PARCIAL]])+Tabela1[[#This Row],[REEMBOLSO]]</f>
        <v>1400.4899999999993</v>
      </c>
      <c r="R74" s="66" t="s">
        <v>21</v>
      </c>
      <c r="S74" s="70"/>
      <c r="T74" s="37"/>
      <c r="AW74"/>
      <c r="AX74"/>
      <c r="AY74"/>
    </row>
    <row r="75" spans="2:51" x14ac:dyDescent="0.25">
      <c r="B75" s="83" t="s">
        <v>472</v>
      </c>
      <c r="C75" s="64" t="s">
        <v>473</v>
      </c>
      <c r="D75" s="64" t="s">
        <v>17</v>
      </c>
      <c r="E75" s="64" t="s">
        <v>347</v>
      </c>
      <c r="F75" s="64">
        <v>11040040001</v>
      </c>
      <c r="G75" s="82" t="s">
        <v>1989</v>
      </c>
      <c r="H75" s="64" t="s">
        <v>20</v>
      </c>
      <c r="I75" s="65">
        <v>0</v>
      </c>
      <c r="J75" s="65">
        <v>1795.9100000000017</v>
      </c>
      <c r="K75" s="65">
        <v>3200</v>
      </c>
      <c r="L75" s="65">
        <v>8.67</v>
      </c>
      <c r="M75" s="70">
        <v>0</v>
      </c>
      <c r="N75" s="88">
        <f>Tabela1[[#This Row],[1QZ DE DEZ 26]]-Tabela1[[#This Row],[SALDO FINAL]]-Tabela1[[#This Row],[SALDO CARTAO]]-Tabela1[[#This Row],[ADIANTAMENTO]]</f>
        <v>1395.4199999999983</v>
      </c>
      <c r="O75" s="67">
        <f>(-Tabela1[[#This Row],[SALDO REEMBOLSAR]]*$O$4)</f>
        <v>0</v>
      </c>
      <c r="P75" s="90">
        <f>IF(Tabela1[[#This Row],[CARGA PARCIAL]]&lt;0,0,Tabela1[[#This Row],[CARGA PARCIAL]])</f>
        <v>1395.4199999999983</v>
      </c>
      <c r="Q75" s="93">
        <f>IF(Tabela1[[#This Row],[CARGA PARCIAL]]&lt;0,0,Tabela1[[#This Row],[CARGA PARCIAL]])+Tabela1[[#This Row],[REEMBOLSO]]</f>
        <v>1395.4199999999983</v>
      </c>
      <c r="R75" s="66" t="s">
        <v>21</v>
      </c>
      <c r="S75" s="70"/>
      <c r="T75" s="37"/>
      <c r="AW75"/>
      <c r="AX75"/>
      <c r="AY75"/>
    </row>
    <row r="76" spans="2:51" x14ac:dyDescent="0.25">
      <c r="B76" s="83" t="s">
        <v>442</v>
      </c>
      <c r="C76" s="64" t="s">
        <v>443</v>
      </c>
      <c r="D76" s="64" t="s">
        <v>17</v>
      </c>
      <c r="E76" s="64" t="s">
        <v>444</v>
      </c>
      <c r="F76" s="64">
        <v>11030710001</v>
      </c>
      <c r="G76" s="82" t="s">
        <v>244</v>
      </c>
      <c r="H76" s="64" t="s">
        <v>33</v>
      </c>
      <c r="I76" s="65">
        <v>0</v>
      </c>
      <c r="J76" s="65">
        <v>2618.0799999999881</v>
      </c>
      <c r="K76" s="65">
        <v>4000</v>
      </c>
      <c r="L76" s="65">
        <v>8.4499999999999993</v>
      </c>
      <c r="M76" s="66">
        <v>0</v>
      </c>
      <c r="N76" s="88">
        <f>Tabela1[[#This Row],[1QZ DE DEZ 26]]-Tabela1[[#This Row],[SALDO FINAL]]-Tabela1[[#This Row],[SALDO CARTAO]]-Tabela1[[#This Row],[ADIANTAMENTO]]</f>
        <v>1373.4700000000119</v>
      </c>
      <c r="O76" s="67">
        <f>(-Tabela1[[#This Row],[SALDO REEMBOLSAR]]*$O$4)</f>
        <v>0</v>
      </c>
      <c r="P76" s="90">
        <f>IF(Tabela1[[#This Row],[CARGA PARCIAL]]&lt;0,0,Tabela1[[#This Row],[CARGA PARCIAL]])</f>
        <v>1373.4700000000119</v>
      </c>
      <c r="Q76" s="93">
        <f>IF(Tabela1[[#This Row],[CARGA PARCIAL]]&lt;0,0,Tabela1[[#This Row],[CARGA PARCIAL]])+Tabela1[[#This Row],[REEMBOLSO]]</f>
        <v>1373.4700000000119</v>
      </c>
      <c r="R76" s="66" t="s">
        <v>21</v>
      </c>
      <c r="S76" s="70"/>
      <c r="T76" s="37"/>
      <c r="AW76"/>
      <c r="AX76"/>
      <c r="AY76"/>
    </row>
    <row r="77" spans="2:51" x14ac:dyDescent="0.25">
      <c r="B77" s="83" t="s">
        <v>310</v>
      </c>
      <c r="C77" s="64" t="s">
        <v>311</v>
      </c>
      <c r="D77" s="64" t="s">
        <v>17</v>
      </c>
      <c r="E77" s="64" t="s">
        <v>312</v>
      </c>
      <c r="F77" s="64">
        <v>11030850001</v>
      </c>
      <c r="G77" s="82" t="s">
        <v>1989</v>
      </c>
      <c r="H77" s="64" t="s">
        <v>20</v>
      </c>
      <c r="I77" s="65">
        <v>-3184.2100000000041</v>
      </c>
      <c r="J77" s="65">
        <v>0</v>
      </c>
      <c r="K77" s="65">
        <v>2000</v>
      </c>
      <c r="L77" s="65">
        <v>1269.19</v>
      </c>
      <c r="M77" s="66">
        <v>0</v>
      </c>
      <c r="N77" s="88">
        <f>Tabela1[[#This Row],[1QZ DE DEZ 26]]-Tabela1[[#This Row],[SALDO FINAL]]-Tabela1[[#This Row],[SALDO CARTAO]]-Tabela1[[#This Row],[ADIANTAMENTO]]</f>
        <v>730.81</v>
      </c>
      <c r="O77" s="67">
        <f>(-Tabela1[[#This Row],[SALDO REEMBOLSAR]]*$O$4)</f>
        <v>636.84200000000089</v>
      </c>
      <c r="P77" s="90">
        <f>IF(Tabela1[[#This Row],[CARGA PARCIAL]]&lt;0,0,Tabela1[[#This Row],[CARGA PARCIAL]])</f>
        <v>730.81</v>
      </c>
      <c r="Q77" s="93">
        <f>IF(Tabela1[[#This Row],[CARGA PARCIAL]]&lt;0,0,Tabela1[[#This Row],[CARGA PARCIAL]])+Tabela1[[#This Row],[REEMBOLSO]]</f>
        <v>1367.652000000001</v>
      </c>
      <c r="R77" s="66" t="s">
        <v>21</v>
      </c>
      <c r="S77" s="70"/>
      <c r="T77" s="37"/>
      <c r="AW77"/>
      <c r="AX77"/>
      <c r="AY77"/>
    </row>
    <row r="78" spans="2:51" x14ac:dyDescent="0.25">
      <c r="B78" s="103" t="s">
        <v>701</v>
      </c>
      <c r="C78" s="102" t="s">
        <v>702</v>
      </c>
      <c r="D78" s="64" t="s">
        <v>17</v>
      </c>
      <c r="E78" s="64" t="s">
        <v>360</v>
      </c>
      <c r="F78" s="64">
        <v>11061720001</v>
      </c>
      <c r="G78" s="82" t="s">
        <v>244</v>
      </c>
      <c r="H78" s="64" t="s">
        <v>33</v>
      </c>
      <c r="I78" s="65">
        <v>-13.999999999996362</v>
      </c>
      <c r="J78" s="65">
        <v>0</v>
      </c>
      <c r="K78" s="65">
        <v>1400</v>
      </c>
      <c r="L78" s="65">
        <v>61.25</v>
      </c>
      <c r="M78" s="66">
        <v>0</v>
      </c>
      <c r="N78" s="88">
        <f>Tabela1[[#This Row],[1QZ DE DEZ 26]]-Tabela1[[#This Row],[SALDO FINAL]]-Tabela1[[#This Row],[SALDO CARTAO]]-Tabela1[[#This Row],[ADIANTAMENTO]]</f>
        <v>1338.75</v>
      </c>
      <c r="O78" s="67">
        <f>-Tabela1[[#This Row],[SALDO REEMBOLSAR]]</f>
        <v>13.999999999996362</v>
      </c>
      <c r="P78" s="122">
        <f>IF(Tabela1[[#This Row],[CARGA PARCIAL]]&lt;0,0,Tabela1[[#This Row],[CARGA PARCIAL]])</f>
        <v>1338.75</v>
      </c>
      <c r="Q78" s="93">
        <f>IF(Tabela1[[#This Row],[CARGA PARCIAL]]&lt;0,0,Tabela1[[#This Row],[CARGA PARCIAL]])+Tabela1[[#This Row],[REEMBOLSO]]</f>
        <v>1352.7499999999964</v>
      </c>
      <c r="R78" s="66" t="s">
        <v>21</v>
      </c>
      <c r="S78" s="70"/>
      <c r="T78" s="37"/>
      <c r="AW78"/>
      <c r="AX78"/>
      <c r="AY78"/>
    </row>
    <row r="79" spans="2:51" x14ac:dyDescent="0.25">
      <c r="B79" s="83" t="s">
        <v>529</v>
      </c>
      <c r="C79" s="64" t="s">
        <v>530</v>
      </c>
      <c r="D79" s="64" t="s">
        <v>17</v>
      </c>
      <c r="E79" s="64" t="s">
        <v>531</v>
      </c>
      <c r="F79" s="64">
        <v>11030570001</v>
      </c>
      <c r="G79" s="82" t="s">
        <v>236</v>
      </c>
      <c r="H79" s="64" t="s">
        <v>33</v>
      </c>
      <c r="I79" s="65">
        <v>0</v>
      </c>
      <c r="J79" s="65">
        <v>1479.2299999999886</v>
      </c>
      <c r="K79" s="65">
        <v>2800</v>
      </c>
      <c r="L79" s="65">
        <v>5.25</v>
      </c>
      <c r="M79" s="66">
        <v>0</v>
      </c>
      <c r="N79" s="88">
        <f>Tabela1[[#This Row],[1QZ DE DEZ 26]]-Tabela1[[#This Row],[SALDO FINAL]]-Tabela1[[#This Row],[SALDO CARTAO]]-Tabela1[[#This Row],[ADIANTAMENTO]]</f>
        <v>1315.5200000000114</v>
      </c>
      <c r="O79" s="67">
        <f>(-Tabela1[[#This Row],[SALDO REEMBOLSAR]]*$O$4)</f>
        <v>0</v>
      </c>
      <c r="P79" s="90">
        <f>IF(Tabela1[[#This Row],[CARGA PARCIAL]]&lt;0,0,Tabela1[[#This Row],[CARGA PARCIAL]])</f>
        <v>1315.5200000000114</v>
      </c>
      <c r="Q79" s="93">
        <f>IF(Tabela1[[#This Row],[CARGA PARCIAL]]&lt;0,0,Tabela1[[#This Row],[CARGA PARCIAL]])+Tabela1[[#This Row],[REEMBOLSO]]</f>
        <v>1315.5200000000114</v>
      </c>
      <c r="R79" s="66" t="s">
        <v>21</v>
      </c>
      <c r="S79" s="70"/>
      <c r="T79" s="37"/>
      <c r="AW79"/>
      <c r="AX79"/>
      <c r="AY79"/>
    </row>
    <row r="80" spans="2:51" x14ac:dyDescent="0.25">
      <c r="B80" s="83" t="s">
        <v>77</v>
      </c>
      <c r="C80" s="64" t="s">
        <v>78</v>
      </c>
      <c r="D80" s="64" t="s">
        <v>17</v>
      </c>
      <c r="E80" s="64" t="s">
        <v>24</v>
      </c>
      <c r="F80" s="64">
        <v>11040160001</v>
      </c>
      <c r="G80" s="82" t="s">
        <v>25</v>
      </c>
      <c r="H80" s="64" t="s">
        <v>20</v>
      </c>
      <c r="I80" s="65">
        <v>0</v>
      </c>
      <c r="J80" s="65">
        <v>203.89000000000073</v>
      </c>
      <c r="K80" s="65">
        <v>1500</v>
      </c>
      <c r="L80" s="65">
        <v>56.06</v>
      </c>
      <c r="M80" s="66">
        <v>0</v>
      </c>
      <c r="N80" s="88">
        <f>Tabela1[[#This Row],[1QZ DE DEZ 26]]-Tabela1[[#This Row],[SALDO FINAL]]-Tabela1[[#This Row],[SALDO CARTAO]]-Tabela1[[#This Row],[ADIANTAMENTO]]</f>
        <v>1240.0499999999993</v>
      </c>
      <c r="O80" s="67">
        <f>(-Tabela1[[#This Row],[SALDO REEMBOLSAR]]*$O$4)</f>
        <v>0</v>
      </c>
      <c r="P80" s="90">
        <f>IF(Tabela1[[#This Row],[CARGA PARCIAL]]&lt;0,0,Tabela1[[#This Row],[CARGA PARCIAL]])</f>
        <v>1240.0499999999993</v>
      </c>
      <c r="Q80" s="93">
        <f>IF(Tabela1[[#This Row],[CARGA PARCIAL]]&lt;0,0,Tabela1[[#This Row],[CARGA PARCIAL]])+Tabela1[[#This Row],[REEMBOLSO]]</f>
        <v>1240.0499999999993</v>
      </c>
      <c r="R80" s="66" t="s">
        <v>21</v>
      </c>
      <c r="S80" s="70"/>
      <c r="T80" s="37"/>
      <c r="AW80"/>
      <c r="AX80"/>
      <c r="AY80"/>
    </row>
    <row r="81" spans="2:51" x14ac:dyDescent="0.25">
      <c r="B81" s="103" t="s">
        <v>647</v>
      </c>
      <c r="C81" s="102" t="s">
        <v>648</v>
      </c>
      <c r="D81" s="64" t="s">
        <v>17</v>
      </c>
      <c r="E81" s="64" t="s">
        <v>395</v>
      </c>
      <c r="F81" s="64">
        <v>11030790001</v>
      </c>
      <c r="G81" s="82" t="s">
        <v>244</v>
      </c>
      <c r="H81" s="64" t="s">
        <v>33</v>
      </c>
      <c r="I81" s="65">
        <v>0</v>
      </c>
      <c r="J81" s="65">
        <v>768.74999999997817</v>
      </c>
      <c r="K81" s="65">
        <v>2000</v>
      </c>
      <c r="L81" s="65">
        <v>5.25</v>
      </c>
      <c r="M81" s="70">
        <v>0</v>
      </c>
      <c r="N81" s="88">
        <f>Tabela1[[#This Row],[1QZ DE DEZ 26]]-Tabela1[[#This Row],[SALDO FINAL]]-Tabela1[[#This Row],[SALDO CARTAO]]-Tabela1[[#This Row],[ADIANTAMENTO]]</f>
        <v>1226.0000000000218</v>
      </c>
      <c r="O81" s="67">
        <f>(-Tabela1[[#This Row],[SALDO REEMBOLSAR]]*$O$4)</f>
        <v>0</v>
      </c>
      <c r="P81" s="122">
        <f>IF(Tabela1[[#This Row],[CARGA PARCIAL]]&lt;0,0,Tabela1[[#This Row],[CARGA PARCIAL]])</f>
        <v>1226.0000000000218</v>
      </c>
      <c r="Q81" s="93">
        <f>IF(Tabela1[[#This Row],[CARGA PARCIAL]]&lt;0,0,Tabela1[[#This Row],[CARGA PARCIAL]])+Tabela1[[#This Row],[REEMBOLSO]]</f>
        <v>1226.0000000000218</v>
      </c>
      <c r="R81" s="66" t="s">
        <v>21</v>
      </c>
      <c r="S81" s="70"/>
      <c r="T81" s="37"/>
      <c r="AW81"/>
      <c r="AX81"/>
      <c r="AY81"/>
    </row>
    <row r="82" spans="2:51" x14ac:dyDescent="0.25">
      <c r="B82" s="103" t="s">
        <v>689</v>
      </c>
      <c r="C82" s="102" t="s">
        <v>690</v>
      </c>
      <c r="D82" s="64" t="s">
        <v>17</v>
      </c>
      <c r="E82" s="64" t="s">
        <v>691</v>
      </c>
      <c r="F82" s="64">
        <v>11030590001</v>
      </c>
      <c r="G82" s="82" t="s">
        <v>236</v>
      </c>
      <c r="H82" s="64" t="s">
        <v>33</v>
      </c>
      <c r="I82" s="65">
        <v>0</v>
      </c>
      <c r="J82" s="65">
        <v>1752.5200000000048</v>
      </c>
      <c r="K82" s="65">
        <v>3000</v>
      </c>
      <c r="L82" s="65">
        <v>39.36</v>
      </c>
      <c r="M82" s="70">
        <v>0</v>
      </c>
      <c r="N82" s="88">
        <f>Tabela1[[#This Row],[1QZ DE DEZ 26]]-Tabela1[[#This Row],[SALDO FINAL]]-Tabela1[[#This Row],[SALDO CARTAO]]-Tabela1[[#This Row],[ADIANTAMENTO]]</f>
        <v>1208.1199999999953</v>
      </c>
      <c r="O82" s="67">
        <f>(-Tabela1[[#This Row],[SALDO REEMBOLSAR]]*$O$4)</f>
        <v>0</v>
      </c>
      <c r="P82" s="122">
        <f>IF(Tabela1[[#This Row],[CARGA PARCIAL]]&lt;0,0,Tabela1[[#This Row],[CARGA PARCIAL]])</f>
        <v>1208.1199999999953</v>
      </c>
      <c r="Q82" s="93">
        <f>IF(Tabela1[[#This Row],[CARGA PARCIAL]]&lt;0,0,Tabela1[[#This Row],[CARGA PARCIAL]])+Tabela1[[#This Row],[REEMBOLSO]]</f>
        <v>1208.1199999999953</v>
      </c>
      <c r="R82" s="66" t="s">
        <v>21</v>
      </c>
      <c r="S82" s="70"/>
      <c r="T82" s="37"/>
      <c r="AW82"/>
      <c r="AX82"/>
      <c r="AY82"/>
    </row>
    <row r="83" spans="2:51" x14ac:dyDescent="0.25">
      <c r="B83" s="83" t="s">
        <v>40</v>
      </c>
      <c r="C83" s="64" t="s">
        <v>41</v>
      </c>
      <c r="D83" s="64" t="s">
        <v>17</v>
      </c>
      <c r="E83" s="64" t="s">
        <v>42</v>
      </c>
      <c r="F83" s="64">
        <v>11061490001</v>
      </c>
      <c r="G83" s="82" t="s">
        <v>19</v>
      </c>
      <c r="H83" s="64" t="s">
        <v>20</v>
      </c>
      <c r="I83" s="65">
        <v>-2565.1599999999939</v>
      </c>
      <c r="J83" s="65">
        <v>0</v>
      </c>
      <c r="K83" s="65">
        <v>1000</v>
      </c>
      <c r="L83" s="65">
        <v>316.11</v>
      </c>
      <c r="M83" s="70">
        <v>0</v>
      </c>
      <c r="N83" s="88">
        <f>Tabela1[[#This Row],[1QZ DE DEZ 26]]-Tabela1[[#This Row],[SALDO FINAL]]-Tabela1[[#This Row],[SALDO CARTAO]]-Tabela1[[#This Row],[ADIANTAMENTO]]</f>
        <v>683.89</v>
      </c>
      <c r="O83" s="67">
        <f>(-Tabela1[[#This Row],[SALDO REEMBOLSAR]]*$O$4)</f>
        <v>513.03199999999879</v>
      </c>
      <c r="P83" s="90">
        <f>IF(Tabela1[[#This Row],[CARGA PARCIAL]]&lt;0,0,Tabela1[[#This Row],[CARGA PARCIAL]])</f>
        <v>683.89</v>
      </c>
      <c r="Q83" s="93">
        <f>IF(Tabela1[[#This Row],[CARGA PARCIAL]]&lt;0,0,Tabela1[[#This Row],[CARGA PARCIAL]])+Tabela1[[#This Row],[REEMBOLSO]]</f>
        <v>1196.9219999999987</v>
      </c>
      <c r="R83" s="66" t="s">
        <v>21</v>
      </c>
      <c r="S83" s="70"/>
      <c r="T83" s="37"/>
      <c r="AW83"/>
      <c r="AX83"/>
      <c r="AY83"/>
    </row>
    <row r="84" spans="2:51" s="35" customFormat="1" x14ac:dyDescent="0.25">
      <c r="B84" s="83" t="s">
        <v>545</v>
      </c>
      <c r="C84" s="64" t="s">
        <v>546</v>
      </c>
      <c r="D84" s="64" t="s">
        <v>17</v>
      </c>
      <c r="E84" s="64" t="s">
        <v>283</v>
      </c>
      <c r="F84" s="64">
        <v>11030870001</v>
      </c>
      <c r="G84" s="82" t="s">
        <v>284</v>
      </c>
      <c r="H84" s="64" t="s">
        <v>20</v>
      </c>
      <c r="I84" s="65">
        <v>-881.76000000000136</v>
      </c>
      <c r="J84" s="65">
        <v>0</v>
      </c>
      <c r="K84" s="65">
        <v>1000</v>
      </c>
      <c r="L84" s="65">
        <v>14.03</v>
      </c>
      <c r="M84" s="66">
        <v>0</v>
      </c>
      <c r="N84" s="88">
        <f>Tabela1[[#This Row],[1QZ DE DEZ 26]]-Tabela1[[#This Row],[SALDO FINAL]]-Tabela1[[#This Row],[SALDO CARTAO]]-Tabela1[[#This Row],[ADIANTAMENTO]]</f>
        <v>985.97</v>
      </c>
      <c r="O84" s="67">
        <f>(-Tabela1[[#This Row],[SALDO REEMBOLSAR]]*$O$4)</f>
        <v>176.35200000000029</v>
      </c>
      <c r="P84" s="90">
        <f>IF(Tabela1[[#This Row],[CARGA PARCIAL]]&lt;0,0,Tabela1[[#This Row],[CARGA PARCIAL]])</f>
        <v>985.97</v>
      </c>
      <c r="Q84" s="93">
        <f>IF(Tabela1[[#This Row],[CARGA PARCIAL]]&lt;0,0,Tabela1[[#This Row],[CARGA PARCIAL]])+Tabela1[[#This Row],[REEMBOLSO]]</f>
        <v>1162.3220000000003</v>
      </c>
      <c r="R84" s="66" t="s">
        <v>21</v>
      </c>
      <c r="S84" s="70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</row>
    <row r="85" spans="2:51" s="35" customFormat="1" x14ac:dyDescent="0.25">
      <c r="B85" s="83" t="s">
        <v>291</v>
      </c>
      <c r="C85" s="64" t="s">
        <v>292</v>
      </c>
      <c r="D85" s="64" t="s">
        <v>17</v>
      </c>
      <c r="E85" s="64" t="s">
        <v>293</v>
      </c>
      <c r="F85" s="64">
        <v>11080180001</v>
      </c>
      <c r="G85" s="82" t="s">
        <v>284</v>
      </c>
      <c r="H85" s="64" t="s">
        <v>20</v>
      </c>
      <c r="I85" s="65">
        <v>-583.66999999999985</v>
      </c>
      <c r="J85" s="65">
        <v>0</v>
      </c>
      <c r="K85" s="65">
        <v>1500</v>
      </c>
      <c r="L85" s="65">
        <v>481.09</v>
      </c>
      <c r="M85" s="66">
        <v>0</v>
      </c>
      <c r="N85" s="88">
        <f>Tabela1[[#This Row],[1QZ DE DEZ 26]]-Tabela1[[#This Row],[SALDO FINAL]]-Tabela1[[#This Row],[SALDO CARTAO]]-Tabela1[[#This Row],[ADIANTAMENTO]]</f>
        <v>1018.9100000000001</v>
      </c>
      <c r="O85" s="67">
        <f>(-Tabela1[[#This Row],[SALDO REEMBOLSAR]]*$O$4)</f>
        <v>116.73399999999998</v>
      </c>
      <c r="P85" s="90">
        <f>IF(Tabela1[[#This Row],[CARGA PARCIAL]]&lt;0,0,Tabela1[[#This Row],[CARGA PARCIAL]])</f>
        <v>1018.9100000000001</v>
      </c>
      <c r="Q85" s="93">
        <f>IF(Tabela1[[#This Row],[CARGA PARCIAL]]&lt;0,0,Tabela1[[#This Row],[CARGA PARCIAL]])+Tabela1[[#This Row],[REEMBOLSO]]</f>
        <v>1135.644</v>
      </c>
      <c r="R85" s="66" t="s">
        <v>21</v>
      </c>
      <c r="S85" s="70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</row>
    <row r="86" spans="2:51" s="35" customFormat="1" x14ac:dyDescent="0.25">
      <c r="B86" s="103" t="s">
        <v>775</v>
      </c>
      <c r="C86" s="102" t="s">
        <v>776</v>
      </c>
      <c r="D86" s="64" t="s">
        <v>17</v>
      </c>
      <c r="E86" s="64" t="s">
        <v>259</v>
      </c>
      <c r="F86" s="64">
        <v>11061890001</v>
      </c>
      <c r="G86" s="82" t="s">
        <v>244</v>
      </c>
      <c r="H86" s="64" t="s">
        <v>33</v>
      </c>
      <c r="I86" s="65">
        <v>0</v>
      </c>
      <c r="J86" s="65">
        <v>3660.9099999999899</v>
      </c>
      <c r="K86" s="65">
        <v>6000</v>
      </c>
      <c r="L86" s="65">
        <v>1227.8800000000001</v>
      </c>
      <c r="M86" s="66">
        <v>0</v>
      </c>
      <c r="N86" s="88">
        <f>Tabela1[[#This Row],[1QZ DE DEZ 26]]-Tabela1[[#This Row],[SALDO FINAL]]-Tabela1[[#This Row],[SALDO CARTAO]]-Tabela1[[#This Row],[ADIANTAMENTO]]</f>
        <v>1111.21000000001</v>
      </c>
      <c r="O86" s="67">
        <f>(-Tabela1[[#This Row],[SALDO REEMBOLSAR]]*$O$4)</f>
        <v>0</v>
      </c>
      <c r="P86" s="122">
        <f>IF(Tabela1[[#This Row],[CARGA PARCIAL]]&lt;0,0,Tabela1[[#This Row],[CARGA PARCIAL]])</f>
        <v>1111.21000000001</v>
      </c>
      <c r="Q86" s="93">
        <f>IF(Tabela1[[#This Row],[CARGA PARCIAL]]&lt;0,0,Tabela1[[#This Row],[CARGA PARCIAL]])+Tabela1[[#This Row],[REEMBOLSO]]</f>
        <v>1111.21000000001</v>
      </c>
      <c r="R86" s="66" t="s">
        <v>21</v>
      </c>
      <c r="S86" s="70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</row>
    <row r="87" spans="2:51" s="35" customFormat="1" x14ac:dyDescent="0.25">
      <c r="B87" s="83" t="s">
        <v>113</v>
      </c>
      <c r="C87" s="64" t="s">
        <v>114</v>
      </c>
      <c r="D87" s="64" t="s">
        <v>17</v>
      </c>
      <c r="E87" s="64" t="s">
        <v>18</v>
      </c>
      <c r="F87" s="64">
        <v>11040170001</v>
      </c>
      <c r="G87" s="82" t="s">
        <v>19</v>
      </c>
      <c r="H87" s="64" t="s">
        <v>20</v>
      </c>
      <c r="I87" s="65">
        <v>0</v>
      </c>
      <c r="J87" s="65">
        <v>396.59999999999951</v>
      </c>
      <c r="K87" s="65">
        <v>1500</v>
      </c>
      <c r="L87" s="65">
        <v>2.46</v>
      </c>
      <c r="M87" s="70">
        <v>0</v>
      </c>
      <c r="N87" s="88">
        <f>Tabela1[[#This Row],[1QZ DE DEZ 26]]-Tabela1[[#This Row],[SALDO FINAL]]-Tabela1[[#This Row],[SALDO CARTAO]]-Tabela1[[#This Row],[ADIANTAMENTO]]</f>
        <v>1100.9400000000005</v>
      </c>
      <c r="O87" s="67">
        <f>(-Tabela1[[#This Row],[SALDO REEMBOLSAR]]*$O$4)</f>
        <v>0</v>
      </c>
      <c r="P87" s="90">
        <f>IF(Tabela1[[#This Row],[CARGA PARCIAL]]&lt;0,0,Tabela1[[#This Row],[CARGA PARCIAL]])</f>
        <v>1100.9400000000005</v>
      </c>
      <c r="Q87" s="93">
        <f>IF(Tabela1[[#This Row],[CARGA PARCIAL]]&lt;0,0,Tabela1[[#This Row],[CARGA PARCIAL]])+Tabela1[[#This Row],[REEMBOLSO]]</f>
        <v>1100.9400000000005</v>
      </c>
      <c r="R87" s="66" t="s">
        <v>21</v>
      </c>
      <c r="S87" s="70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</row>
    <row r="88" spans="2:51" s="35" customFormat="1" x14ac:dyDescent="0.25">
      <c r="B88" s="83" t="s">
        <v>433</v>
      </c>
      <c r="C88" s="64" t="s">
        <v>434</v>
      </c>
      <c r="D88" s="64" t="s">
        <v>17</v>
      </c>
      <c r="E88" s="64" t="s">
        <v>270</v>
      </c>
      <c r="F88" s="64">
        <v>11040140001</v>
      </c>
      <c r="G88" s="82" t="s">
        <v>244</v>
      </c>
      <c r="H88" s="64" t="s">
        <v>33</v>
      </c>
      <c r="I88" s="65">
        <v>0</v>
      </c>
      <c r="J88" s="65">
        <v>2392.2000000000007</v>
      </c>
      <c r="K88" s="65">
        <v>3500</v>
      </c>
      <c r="L88" s="65">
        <v>13.1</v>
      </c>
      <c r="M88" s="66">
        <v>0</v>
      </c>
      <c r="N88" s="88">
        <f>Tabela1[[#This Row],[1QZ DE DEZ 26]]-Tabela1[[#This Row],[SALDO FINAL]]-Tabela1[[#This Row],[SALDO CARTAO]]-Tabela1[[#This Row],[ADIANTAMENTO]]</f>
        <v>1094.6999999999994</v>
      </c>
      <c r="O88" s="67">
        <f>(-Tabela1[[#This Row],[SALDO REEMBOLSAR]]*$O$4)</f>
        <v>0</v>
      </c>
      <c r="P88" s="90">
        <f>IF(Tabela1[[#This Row],[CARGA PARCIAL]]&lt;0,0,Tabela1[[#This Row],[CARGA PARCIAL]])</f>
        <v>1094.6999999999994</v>
      </c>
      <c r="Q88" s="93">
        <f>IF(Tabela1[[#This Row],[CARGA PARCIAL]]&lt;0,0,Tabela1[[#This Row],[CARGA PARCIAL]])+Tabela1[[#This Row],[REEMBOLSO]]</f>
        <v>1094.6999999999994</v>
      </c>
      <c r="R88" s="66" t="s">
        <v>21</v>
      </c>
      <c r="S88" s="70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</row>
    <row r="89" spans="2:51" x14ac:dyDescent="0.25">
      <c r="B89" s="83" t="s">
        <v>129</v>
      </c>
      <c r="C89" s="64" t="s">
        <v>130</v>
      </c>
      <c r="D89" s="64" t="s">
        <v>17</v>
      </c>
      <c r="E89" s="64" t="s">
        <v>117</v>
      </c>
      <c r="F89" s="64">
        <v>11030660001</v>
      </c>
      <c r="G89" s="82" t="s">
        <v>25</v>
      </c>
      <c r="H89" s="64" t="s">
        <v>20</v>
      </c>
      <c r="I89" s="65">
        <v>-277.80999999999921</v>
      </c>
      <c r="J89" s="65">
        <v>0</v>
      </c>
      <c r="K89" s="65">
        <v>1000</v>
      </c>
      <c r="L89" s="65">
        <v>24.2</v>
      </c>
      <c r="M89" s="70">
        <v>0</v>
      </c>
      <c r="N89" s="88">
        <f>Tabela1[[#This Row],[1QZ DE DEZ 26]]-Tabela1[[#This Row],[SALDO FINAL]]-Tabela1[[#This Row],[SALDO CARTAO]]-Tabela1[[#This Row],[ADIANTAMENTO]]</f>
        <v>975.8</v>
      </c>
      <c r="O89" s="67">
        <f>(-Tabela1[[#This Row],[SALDO REEMBOLSAR]]*$O$4)</f>
        <v>55.561999999999841</v>
      </c>
      <c r="P89" s="90">
        <f>IF(Tabela1[[#This Row],[CARGA PARCIAL]]&lt;0,0,Tabela1[[#This Row],[CARGA PARCIAL]])</f>
        <v>975.8</v>
      </c>
      <c r="Q89" s="93">
        <f>IF(Tabela1[[#This Row],[CARGA PARCIAL]]&lt;0,0,Tabela1[[#This Row],[CARGA PARCIAL]])+Tabela1[[#This Row],[REEMBOLSO]]</f>
        <v>1031.3619999999999</v>
      </c>
      <c r="R89" s="66" t="s">
        <v>21</v>
      </c>
      <c r="S89" s="70"/>
      <c r="T89" s="36"/>
      <c r="AW89"/>
      <c r="AX89"/>
      <c r="AY89"/>
    </row>
    <row r="90" spans="2:51" x14ac:dyDescent="0.25">
      <c r="B90" s="83" t="s">
        <v>79</v>
      </c>
      <c r="C90" s="64" t="s">
        <v>80</v>
      </c>
      <c r="D90" s="64" t="s">
        <v>17</v>
      </c>
      <c r="E90" s="64" t="s">
        <v>81</v>
      </c>
      <c r="F90" s="64">
        <v>11062670001</v>
      </c>
      <c r="G90" s="82" t="s">
        <v>32</v>
      </c>
      <c r="H90" s="64" t="s">
        <v>33</v>
      </c>
      <c r="I90" s="65">
        <v>0</v>
      </c>
      <c r="J90" s="65">
        <v>577</v>
      </c>
      <c r="K90" s="65">
        <v>1600</v>
      </c>
      <c r="L90" s="65">
        <v>0</v>
      </c>
      <c r="M90" s="66">
        <v>0</v>
      </c>
      <c r="N90" s="88">
        <f>Tabela1[[#This Row],[1QZ DE DEZ 26]]-Tabela1[[#This Row],[SALDO FINAL]]-Tabela1[[#This Row],[SALDO CARTAO]]-Tabela1[[#This Row],[ADIANTAMENTO]]</f>
        <v>1023</v>
      </c>
      <c r="O90" s="67">
        <f>(-Tabela1[[#This Row],[SALDO REEMBOLSAR]]*$O$4)</f>
        <v>0</v>
      </c>
      <c r="P90" s="90">
        <f>IF(Tabela1[[#This Row],[CARGA PARCIAL]]&lt;0,0,Tabela1[[#This Row],[CARGA PARCIAL]])</f>
        <v>1023</v>
      </c>
      <c r="Q90" s="93">
        <f>IF(Tabela1[[#This Row],[CARGA PARCIAL]]&lt;0,0,Tabela1[[#This Row],[CARGA PARCIAL]])+Tabela1[[#This Row],[REEMBOLSO]]</f>
        <v>1023</v>
      </c>
      <c r="R90" s="66" t="s">
        <v>21</v>
      </c>
      <c r="S90" s="70"/>
      <c r="T90" s="36"/>
      <c r="AW90"/>
      <c r="AX90"/>
      <c r="AY90"/>
    </row>
    <row r="91" spans="2:51" x14ac:dyDescent="0.25">
      <c r="B91" s="83" t="s">
        <v>506</v>
      </c>
      <c r="C91" s="64" t="s">
        <v>507</v>
      </c>
      <c r="D91" s="64" t="s">
        <v>17</v>
      </c>
      <c r="E91" s="64" t="s">
        <v>508</v>
      </c>
      <c r="F91" s="64">
        <v>11062830001</v>
      </c>
      <c r="G91" s="82" t="s">
        <v>19</v>
      </c>
      <c r="H91" s="64" t="s">
        <v>20</v>
      </c>
      <c r="I91" s="65">
        <v>-527.43999999999846</v>
      </c>
      <c r="J91" s="65">
        <v>0</v>
      </c>
      <c r="K91" s="65">
        <v>1000</v>
      </c>
      <c r="L91" s="65">
        <v>94.18</v>
      </c>
      <c r="M91" s="66">
        <v>0</v>
      </c>
      <c r="N91" s="88">
        <f>Tabela1[[#This Row],[1QZ DE DEZ 26]]-Tabela1[[#This Row],[SALDO FINAL]]-Tabela1[[#This Row],[SALDO CARTAO]]-Tabela1[[#This Row],[ADIANTAMENTO]]</f>
        <v>905.81999999999994</v>
      </c>
      <c r="O91" s="67">
        <f>(-Tabela1[[#This Row],[SALDO REEMBOLSAR]]*$O$4)</f>
        <v>105.4879999999997</v>
      </c>
      <c r="P91" s="90">
        <f>IF(Tabela1[[#This Row],[CARGA PARCIAL]]&lt;0,0,Tabela1[[#This Row],[CARGA PARCIAL]])</f>
        <v>905.81999999999994</v>
      </c>
      <c r="Q91" s="93">
        <f>IF(Tabela1[[#This Row],[CARGA PARCIAL]]&lt;0,0,Tabela1[[#This Row],[CARGA PARCIAL]])+Tabela1[[#This Row],[REEMBOLSO]]</f>
        <v>1011.3079999999997</v>
      </c>
      <c r="R91" s="66" t="s">
        <v>21</v>
      </c>
      <c r="S91" s="70"/>
      <c r="T91" s="36"/>
      <c r="AW91"/>
      <c r="AX91"/>
      <c r="AY91"/>
    </row>
    <row r="92" spans="2:51" x14ac:dyDescent="0.25">
      <c r="B92" s="83" t="s">
        <v>376</v>
      </c>
      <c r="C92" s="64" t="s">
        <v>377</v>
      </c>
      <c r="D92" s="64" t="s">
        <v>17</v>
      </c>
      <c r="E92" s="64" t="s">
        <v>1784</v>
      </c>
      <c r="F92" s="64">
        <v>11010110001</v>
      </c>
      <c r="G92" s="82" t="s">
        <v>236</v>
      </c>
      <c r="H92" s="64" t="s">
        <v>33</v>
      </c>
      <c r="I92" s="65">
        <v>-70</v>
      </c>
      <c r="J92" s="65">
        <v>0</v>
      </c>
      <c r="K92" s="65">
        <v>1000</v>
      </c>
      <c r="L92" s="65">
        <v>70</v>
      </c>
      <c r="M92" s="66">
        <v>0</v>
      </c>
      <c r="N92" s="88">
        <f>Tabela1[[#This Row],[1QZ DE DEZ 26]]-Tabela1[[#This Row],[SALDO FINAL]]-Tabela1[[#This Row],[SALDO CARTAO]]-Tabela1[[#This Row],[ADIANTAMENTO]]</f>
        <v>930</v>
      </c>
      <c r="O92" s="67">
        <f>-Tabela1[[#This Row],[SALDO REEMBOLSAR]]</f>
        <v>70</v>
      </c>
      <c r="P92" s="90">
        <f>IF(Tabela1[[#This Row],[CARGA PARCIAL]]&lt;0,0,Tabela1[[#This Row],[CARGA PARCIAL]])</f>
        <v>930</v>
      </c>
      <c r="Q92" s="93">
        <f>IF(Tabela1[[#This Row],[CARGA PARCIAL]]&lt;0,0,Tabela1[[#This Row],[CARGA PARCIAL]])+Tabela1[[#This Row],[REEMBOLSO]]</f>
        <v>1000</v>
      </c>
      <c r="R92" s="66" t="s">
        <v>21</v>
      </c>
      <c r="S92" s="70"/>
      <c r="T92" s="36"/>
      <c r="AW92"/>
      <c r="AX92"/>
      <c r="AY92"/>
    </row>
    <row r="93" spans="2:51" x14ac:dyDescent="0.25">
      <c r="B93" s="83" t="s">
        <v>1881</v>
      </c>
      <c r="C93" s="64" t="s">
        <v>1882</v>
      </c>
      <c r="D93" s="64" t="s">
        <v>17</v>
      </c>
      <c r="E93" s="64" t="s">
        <v>610</v>
      </c>
      <c r="F93" s="64">
        <v>11062450001</v>
      </c>
      <c r="G93" s="82" t="s">
        <v>25</v>
      </c>
      <c r="H93" s="64" t="s">
        <v>20</v>
      </c>
      <c r="I93" s="65">
        <v>0</v>
      </c>
      <c r="J93" s="65">
        <v>0</v>
      </c>
      <c r="K93" s="65">
        <v>1000</v>
      </c>
      <c r="L93" s="65">
        <v>0</v>
      </c>
      <c r="M93" s="70">
        <v>0</v>
      </c>
      <c r="N93" s="88">
        <f>Tabela1[[#This Row],[1QZ DE DEZ 26]]-Tabela1[[#This Row],[SALDO FINAL]]-Tabela1[[#This Row],[SALDO CARTAO]]-Tabela1[[#This Row],[ADIANTAMENTO]]</f>
        <v>1000</v>
      </c>
      <c r="O93" s="67">
        <f>(-Tabela1[[#This Row],[SALDO REEMBOLSAR]]*$O$4)</f>
        <v>0</v>
      </c>
      <c r="P93" s="90">
        <f>IF(Tabela1[[#This Row],[CARGA PARCIAL]]&lt;0,0,Tabela1[[#This Row],[CARGA PARCIAL]])</f>
        <v>1000</v>
      </c>
      <c r="Q93" s="93">
        <f>IF(Tabela1[[#This Row],[CARGA PARCIAL]]&lt;0,0,Tabela1[[#This Row],[CARGA PARCIAL]])+Tabela1[[#This Row],[REEMBOLSO]]</f>
        <v>1000</v>
      </c>
      <c r="R93" s="66" t="s">
        <v>21</v>
      </c>
      <c r="S93" s="70"/>
      <c r="T93" s="36"/>
      <c r="AW93"/>
      <c r="AX93"/>
      <c r="AY93"/>
    </row>
    <row r="94" spans="2:51" x14ac:dyDescent="0.25">
      <c r="B94" s="83" t="s">
        <v>549</v>
      </c>
      <c r="C94" s="64" t="s">
        <v>550</v>
      </c>
      <c r="D94" s="64" t="s">
        <v>17</v>
      </c>
      <c r="E94" s="64" t="s">
        <v>249</v>
      </c>
      <c r="F94" s="64">
        <v>11030860001</v>
      </c>
      <c r="G94" s="82" t="s">
        <v>244</v>
      </c>
      <c r="H94" s="64" t="s">
        <v>33</v>
      </c>
      <c r="I94" s="65">
        <v>0</v>
      </c>
      <c r="J94" s="65">
        <v>9.2499999999971987</v>
      </c>
      <c r="K94" s="65">
        <v>1000</v>
      </c>
      <c r="L94" s="65">
        <v>2.08</v>
      </c>
      <c r="M94" s="70">
        <v>0</v>
      </c>
      <c r="N94" s="88">
        <f>Tabela1[[#This Row],[1QZ DE DEZ 26]]-Tabela1[[#This Row],[SALDO FINAL]]-Tabela1[[#This Row],[SALDO CARTAO]]-Tabela1[[#This Row],[ADIANTAMENTO]]</f>
        <v>988.6700000000028</v>
      </c>
      <c r="O94" s="67">
        <f>(-Tabela1[[#This Row],[SALDO REEMBOLSAR]]*$O$4)</f>
        <v>0</v>
      </c>
      <c r="P94" s="90">
        <f>IF(Tabela1[[#This Row],[CARGA PARCIAL]]&lt;0,0,Tabela1[[#This Row],[CARGA PARCIAL]])</f>
        <v>988.6700000000028</v>
      </c>
      <c r="Q94" s="93">
        <f>IF(Tabela1[[#This Row],[CARGA PARCIAL]]&lt;0,0,Tabela1[[#This Row],[CARGA PARCIAL]])+Tabela1[[#This Row],[REEMBOLSO]]</f>
        <v>988.6700000000028</v>
      </c>
      <c r="R94" s="66" t="s">
        <v>21</v>
      </c>
      <c r="S94" s="70"/>
      <c r="T94" s="36"/>
      <c r="AW94"/>
      <c r="AX94"/>
      <c r="AY94"/>
    </row>
    <row r="95" spans="2:51" x14ac:dyDescent="0.25">
      <c r="B95" s="103" t="s">
        <v>663</v>
      </c>
      <c r="C95" s="102" t="s">
        <v>664</v>
      </c>
      <c r="D95" s="64" t="s">
        <v>17</v>
      </c>
      <c r="E95" s="64" t="s">
        <v>665</v>
      </c>
      <c r="F95" s="64">
        <v>11010080001</v>
      </c>
      <c r="G95" s="82" t="s">
        <v>244</v>
      </c>
      <c r="H95" s="64" t="s">
        <v>33</v>
      </c>
      <c r="I95" s="65">
        <v>0</v>
      </c>
      <c r="J95" s="118">
        <v>0</v>
      </c>
      <c r="K95" s="65">
        <v>1000</v>
      </c>
      <c r="L95" s="65">
        <v>14.03</v>
      </c>
      <c r="M95" s="70">
        <v>0</v>
      </c>
      <c r="N95" s="88">
        <f>Tabela1[[#This Row],[1QZ DE DEZ 26]]-Tabela1[[#This Row],[SALDO FINAL]]-Tabela1[[#This Row],[SALDO CARTAO]]-Tabela1[[#This Row],[ADIANTAMENTO]]</f>
        <v>985.97</v>
      </c>
      <c r="O95" s="67">
        <f>(-Tabela1[[#This Row],[SALDO REEMBOLSAR]]*$O$4)</f>
        <v>0</v>
      </c>
      <c r="P95" s="122">
        <f>IF(Tabela1[[#This Row],[CARGA PARCIAL]]&lt;0,0,Tabela1[[#This Row],[CARGA PARCIAL]])</f>
        <v>985.97</v>
      </c>
      <c r="Q95" s="93">
        <f>IF(Tabela1[[#This Row],[CARGA PARCIAL]]&lt;0,0,Tabela1[[#This Row],[CARGA PARCIAL]])+Tabela1[[#This Row],[REEMBOLSO]]</f>
        <v>985.97</v>
      </c>
      <c r="R95" s="66" t="s">
        <v>21</v>
      </c>
      <c r="S95" s="70"/>
      <c r="T95" s="36"/>
      <c r="AW95"/>
      <c r="AX95"/>
      <c r="AY95"/>
    </row>
    <row r="96" spans="2:51" x14ac:dyDescent="0.25">
      <c r="B96" s="103" t="s">
        <v>378</v>
      </c>
      <c r="C96" s="102" t="s">
        <v>379</v>
      </c>
      <c r="D96" s="64" t="s">
        <v>17</v>
      </c>
      <c r="E96" s="64" t="s">
        <v>380</v>
      </c>
      <c r="F96" s="64">
        <v>11030620001</v>
      </c>
      <c r="G96" s="82" t="s">
        <v>236</v>
      </c>
      <c r="H96" s="64" t="s">
        <v>33</v>
      </c>
      <c r="I96" s="65">
        <v>-922.38000000000284</v>
      </c>
      <c r="J96" s="65">
        <v>0</v>
      </c>
      <c r="K96" s="65">
        <v>800</v>
      </c>
      <c r="L96" s="65">
        <v>3</v>
      </c>
      <c r="M96" s="66">
        <v>0</v>
      </c>
      <c r="N96" s="88">
        <f>Tabela1[[#This Row],[1QZ DE DEZ 26]]-Tabela1[[#This Row],[SALDO FINAL]]-Tabela1[[#This Row],[SALDO CARTAO]]-Tabela1[[#This Row],[ADIANTAMENTO]]</f>
        <v>797</v>
      </c>
      <c r="O96" s="67">
        <f>(-Tabela1[[#This Row],[SALDO REEMBOLSAR]]*$O$4)</f>
        <v>184.47600000000057</v>
      </c>
      <c r="P96" s="122">
        <f>IF(Tabela1[[#This Row],[CARGA PARCIAL]]&lt;0,0,Tabela1[[#This Row],[CARGA PARCIAL]])</f>
        <v>797</v>
      </c>
      <c r="Q96" s="93">
        <f>IF(Tabela1[[#This Row],[CARGA PARCIAL]]&lt;0,0,Tabela1[[#This Row],[CARGA PARCIAL]])+Tabela1[[#This Row],[REEMBOLSO]]</f>
        <v>981.47600000000057</v>
      </c>
      <c r="R96" s="66" t="s">
        <v>21</v>
      </c>
      <c r="S96" s="70"/>
      <c r="T96" s="36"/>
      <c r="AW96"/>
      <c r="AX96"/>
      <c r="AY96"/>
    </row>
    <row r="97" spans="2:51" x14ac:dyDescent="0.25">
      <c r="B97" s="103" t="s">
        <v>193</v>
      </c>
      <c r="C97" s="102" t="s">
        <v>194</v>
      </c>
      <c r="D97" s="64" t="s">
        <v>17</v>
      </c>
      <c r="E97" s="64" t="s">
        <v>195</v>
      </c>
      <c r="F97" s="64">
        <v>11010170001</v>
      </c>
      <c r="G97" s="82" t="s">
        <v>25</v>
      </c>
      <c r="H97" s="64" t="s">
        <v>20</v>
      </c>
      <c r="I97" s="65">
        <v>-154.02000000000393</v>
      </c>
      <c r="J97" s="65">
        <v>0</v>
      </c>
      <c r="K97" s="65">
        <v>1000</v>
      </c>
      <c r="L97" s="65">
        <v>189.59</v>
      </c>
      <c r="M97" s="70">
        <v>0</v>
      </c>
      <c r="N97" s="88">
        <f>Tabela1[[#This Row],[1QZ DE DEZ 26]]-Tabela1[[#This Row],[SALDO FINAL]]-Tabela1[[#This Row],[SALDO CARTAO]]-Tabela1[[#This Row],[ADIANTAMENTO]]</f>
        <v>810.41</v>
      </c>
      <c r="O97" s="67">
        <f>-Tabela1[[#This Row],[SALDO REEMBOLSAR]]</f>
        <v>154.02000000000393</v>
      </c>
      <c r="P97" s="122">
        <f>IF(Tabela1[[#This Row],[CARGA PARCIAL]]&lt;0,0,Tabela1[[#This Row],[CARGA PARCIAL]])</f>
        <v>810.41</v>
      </c>
      <c r="Q97" s="93">
        <f>IF(Tabela1[[#This Row],[CARGA PARCIAL]]&lt;0,0,Tabela1[[#This Row],[CARGA PARCIAL]])+Tabela1[[#This Row],[REEMBOLSO]]</f>
        <v>964.43000000000393</v>
      </c>
      <c r="R97" s="66" t="s">
        <v>21</v>
      </c>
      <c r="S97" s="70"/>
      <c r="T97" s="36"/>
      <c r="AW97"/>
      <c r="AX97"/>
      <c r="AY97"/>
    </row>
    <row r="98" spans="2:51" x14ac:dyDescent="0.25">
      <c r="B98" s="103" t="s">
        <v>354</v>
      </c>
      <c r="C98" s="102" t="s">
        <v>355</v>
      </c>
      <c r="D98" s="64" t="s">
        <v>17</v>
      </c>
      <c r="E98" s="64" t="s">
        <v>283</v>
      </c>
      <c r="F98" s="64">
        <v>11030870001</v>
      </c>
      <c r="G98" s="82" t="s">
        <v>284</v>
      </c>
      <c r="H98" s="64" t="s">
        <v>20</v>
      </c>
      <c r="I98" s="65">
        <v>-2237.4100000000435</v>
      </c>
      <c r="J98" s="65">
        <v>0</v>
      </c>
      <c r="K98" s="65">
        <v>500</v>
      </c>
      <c r="L98" s="65">
        <v>9</v>
      </c>
      <c r="M98" s="66">
        <v>0</v>
      </c>
      <c r="N98" s="88">
        <f>Tabela1[[#This Row],[1QZ DE DEZ 26]]-Tabela1[[#This Row],[SALDO FINAL]]-Tabela1[[#This Row],[SALDO CARTAO]]-Tabela1[[#This Row],[ADIANTAMENTO]]</f>
        <v>491</v>
      </c>
      <c r="O98" s="67">
        <f>(-Tabela1[[#This Row],[SALDO REEMBOLSAR]]*$O$4)</f>
        <v>447.48200000000872</v>
      </c>
      <c r="P98" s="122">
        <f>IF(Tabela1[[#This Row],[CARGA PARCIAL]]&lt;0,0,Tabela1[[#This Row],[CARGA PARCIAL]])</f>
        <v>491</v>
      </c>
      <c r="Q98" s="93">
        <f>IF(Tabela1[[#This Row],[CARGA PARCIAL]]&lt;0,0,Tabela1[[#This Row],[CARGA PARCIAL]])+Tabela1[[#This Row],[REEMBOLSO]]</f>
        <v>938.48200000000872</v>
      </c>
      <c r="R98" s="66" t="s">
        <v>21</v>
      </c>
      <c r="S98" s="70"/>
      <c r="T98" s="36"/>
      <c r="AW98"/>
      <c r="AX98"/>
      <c r="AY98"/>
    </row>
    <row r="99" spans="2:51" x14ac:dyDescent="0.25">
      <c r="B99" s="83" t="s">
        <v>447</v>
      </c>
      <c r="C99" s="64" t="s">
        <v>448</v>
      </c>
      <c r="D99" s="64" t="s">
        <v>17</v>
      </c>
      <c r="E99" s="64" t="s">
        <v>360</v>
      </c>
      <c r="F99" s="64">
        <v>11061720001</v>
      </c>
      <c r="G99" s="82" t="s">
        <v>244</v>
      </c>
      <c r="H99" s="64" t="s">
        <v>33</v>
      </c>
      <c r="I99" s="65">
        <v>-227.10999999998785</v>
      </c>
      <c r="J99" s="65">
        <v>0</v>
      </c>
      <c r="K99" s="65">
        <v>900</v>
      </c>
      <c r="L99" s="65">
        <v>9</v>
      </c>
      <c r="M99" s="66">
        <v>0</v>
      </c>
      <c r="N99" s="88">
        <f>Tabela1[[#This Row],[1QZ DE DEZ 26]]-Tabela1[[#This Row],[SALDO FINAL]]-Tabela1[[#This Row],[SALDO CARTAO]]-Tabela1[[#This Row],[ADIANTAMENTO]]</f>
        <v>891</v>
      </c>
      <c r="O99" s="67">
        <f>(-Tabela1[[#This Row],[SALDO REEMBOLSAR]]*$O$4)</f>
        <v>45.421999999997574</v>
      </c>
      <c r="P99" s="90">
        <f>IF(Tabela1[[#This Row],[CARGA PARCIAL]]&lt;0,0,Tabela1[[#This Row],[CARGA PARCIAL]])</f>
        <v>891</v>
      </c>
      <c r="Q99" s="93">
        <f>IF(Tabela1[[#This Row],[CARGA PARCIAL]]&lt;0,0,Tabela1[[#This Row],[CARGA PARCIAL]])+Tabela1[[#This Row],[REEMBOLSO]]</f>
        <v>936.42199999999752</v>
      </c>
      <c r="R99" s="66" t="s">
        <v>21</v>
      </c>
      <c r="S99" s="70"/>
      <c r="T99" s="36"/>
      <c r="AW99"/>
      <c r="AX99"/>
      <c r="AY99"/>
    </row>
    <row r="100" spans="2:51" x14ac:dyDescent="0.25">
      <c r="B100" s="83" t="s">
        <v>136</v>
      </c>
      <c r="C100" s="64" t="s">
        <v>137</v>
      </c>
      <c r="D100" s="64" t="s">
        <v>17</v>
      </c>
      <c r="E100" s="64" t="s">
        <v>18</v>
      </c>
      <c r="F100" s="64">
        <v>11040170001</v>
      </c>
      <c r="G100" s="82" t="s">
        <v>19</v>
      </c>
      <c r="H100" s="64" t="s">
        <v>20</v>
      </c>
      <c r="I100" s="65">
        <v>0</v>
      </c>
      <c r="J100" s="65">
        <v>67.890000000002189</v>
      </c>
      <c r="K100" s="65">
        <v>1000</v>
      </c>
      <c r="L100" s="65">
        <v>5.71</v>
      </c>
      <c r="M100" s="66">
        <v>0</v>
      </c>
      <c r="N100" s="88">
        <f>Tabela1[[#This Row],[1QZ DE DEZ 26]]-Tabela1[[#This Row],[SALDO FINAL]]-Tabela1[[#This Row],[SALDO CARTAO]]-Tabela1[[#This Row],[ADIANTAMENTO]]</f>
        <v>926.39999999999782</v>
      </c>
      <c r="O100" s="67">
        <f>(-Tabela1[[#This Row],[SALDO REEMBOLSAR]]*$O$4)</f>
        <v>0</v>
      </c>
      <c r="P100" s="90">
        <f>IF(Tabela1[[#This Row],[CARGA PARCIAL]]&lt;0,0,Tabela1[[#This Row],[CARGA PARCIAL]])</f>
        <v>926.39999999999782</v>
      </c>
      <c r="Q100" s="93">
        <f>IF(Tabela1[[#This Row],[CARGA PARCIAL]]&lt;0,0,Tabela1[[#This Row],[CARGA PARCIAL]])+Tabela1[[#This Row],[REEMBOLSO]]</f>
        <v>926.39999999999782</v>
      </c>
      <c r="R100" s="66" t="s">
        <v>21</v>
      </c>
      <c r="S100" s="70"/>
      <c r="T100" s="36"/>
      <c r="AW100"/>
      <c r="AX100"/>
      <c r="AY100"/>
    </row>
    <row r="101" spans="2:51" x14ac:dyDescent="0.25">
      <c r="B101" s="83" t="s">
        <v>537</v>
      </c>
      <c r="C101" s="64" t="s">
        <v>538</v>
      </c>
      <c r="D101" s="64" t="s">
        <v>17</v>
      </c>
      <c r="E101" s="64" t="s">
        <v>360</v>
      </c>
      <c r="F101" s="64">
        <v>11061720001</v>
      </c>
      <c r="G101" s="82" t="s">
        <v>244</v>
      </c>
      <c r="H101" s="64" t="s">
        <v>33</v>
      </c>
      <c r="I101" s="65">
        <v>-109.67000000000623</v>
      </c>
      <c r="J101" s="65">
        <v>0</v>
      </c>
      <c r="K101" s="65">
        <v>800</v>
      </c>
      <c r="L101" s="65">
        <v>5.51</v>
      </c>
      <c r="M101" s="66">
        <v>0</v>
      </c>
      <c r="N101" s="88">
        <f>Tabela1[[#This Row],[1QZ DE DEZ 26]]-Tabela1[[#This Row],[SALDO FINAL]]-Tabela1[[#This Row],[SALDO CARTAO]]-Tabela1[[#This Row],[ADIANTAMENTO]]</f>
        <v>794.49</v>
      </c>
      <c r="O101" s="67">
        <f>-Tabela1[[#This Row],[SALDO REEMBOLSAR]]</f>
        <v>109.67000000000623</v>
      </c>
      <c r="P101" s="90">
        <f>IF(Tabela1[[#This Row],[CARGA PARCIAL]]&lt;0,0,Tabela1[[#This Row],[CARGA PARCIAL]])</f>
        <v>794.49</v>
      </c>
      <c r="Q101" s="93">
        <f>IF(Tabela1[[#This Row],[CARGA PARCIAL]]&lt;0,0,Tabela1[[#This Row],[CARGA PARCIAL]])+Tabela1[[#This Row],[REEMBOLSO]]</f>
        <v>904.16000000000622</v>
      </c>
      <c r="R101" s="66" t="s">
        <v>21</v>
      </c>
      <c r="S101" s="70"/>
      <c r="T101" s="36"/>
      <c r="AW101"/>
      <c r="AX101"/>
      <c r="AY101"/>
    </row>
    <row r="102" spans="2:51" x14ac:dyDescent="0.25">
      <c r="B102" s="83" t="s">
        <v>214</v>
      </c>
      <c r="C102" s="64" t="s">
        <v>215</v>
      </c>
      <c r="D102" s="64" t="s">
        <v>17</v>
      </c>
      <c r="E102" s="64" t="s">
        <v>216</v>
      </c>
      <c r="F102" s="64">
        <v>11080230001</v>
      </c>
      <c r="G102" s="82" t="s">
        <v>19</v>
      </c>
      <c r="H102" s="64" t="s">
        <v>20</v>
      </c>
      <c r="I102" s="65">
        <v>-1083.2399999999993</v>
      </c>
      <c r="J102" s="65">
        <v>0</v>
      </c>
      <c r="K102" s="65">
        <v>750</v>
      </c>
      <c r="L102" s="65">
        <v>72.44</v>
      </c>
      <c r="M102" s="70">
        <v>0</v>
      </c>
      <c r="N102" s="88">
        <f>Tabela1[[#This Row],[1QZ DE DEZ 26]]-Tabela1[[#This Row],[SALDO FINAL]]-Tabela1[[#This Row],[SALDO CARTAO]]-Tabela1[[#This Row],[ADIANTAMENTO]]</f>
        <v>677.56</v>
      </c>
      <c r="O102" s="67">
        <f>(-Tabela1[[#This Row],[SALDO REEMBOLSAR]]*$O$4)</f>
        <v>216.64799999999988</v>
      </c>
      <c r="P102" s="90">
        <f>IF(Tabela1[[#This Row],[CARGA PARCIAL]]&lt;0,0,Tabela1[[#This Row],[CARGA PARCIAL]])</f>
        <v>677.56</v>
      </c>
      <c r="Q102" s="93">
        <f>IF(Tabela1[[#This Row],[CARGA PARCIAL]]&lt;0,0,Tabela1[[#This Row],[CARGA PARCIAL]])+Tabela1[[#This Row],[REEMBOLSO]]</f>
        <v>894.20799999999986</v>
      </c>
      <c r="R102" s="66" t="s">
        <v>21</v>
      </c>
      <c r="S102" s="70"/>
      <c r="T102" s="36"/>
      <c r="AW102"/>
      <c r="AX102"/>
      <c r="AY102"/>
    </row>
    <row r="103" spans="2:51" x14ac:dyDescent="0.25">
      <c r="B103" s="83" t="s">
        <v>813</v>
      </c>
      <c r="C103" s="64" t="s">
        <v>814</v>
      </c>
      <c r="D103" s="64" t="s">
        <v>17</v>
      </c>
      <c r="E103" s="64" t="s">
        <v>347</v>
      </c>
      <c r="F103" s="64">
        <v>11040040001</v>
      </c>
      <c r="G103" s="82" t="s">
        <v>1989</v>
      </c>
      <c r="H103" s="64" t="s">
        <v>20</v>
      </c>
      <c r="I103" s="65">
        <v>0</v>
      </c>
      <c r="J103" s="65">
        <v>607.13999999999987</v>
      </c>
      <c r="K103" s="65">
        <v>1500</v>
      </c>
      <c r="L103" s="65">
        <v>0.98</v>
      </c>
      <c r="M103" s="70">
        <v>0</v>
      </c>
      <c r="N103" s="88">
        <f>Tabela1[[#This Row],[1QZ DE DEZ 26]]-Tabela1[[#This Row],[SALDO FINAL]]-Tabela1[[#This Row],[SALDO CARTAO]]-Tabela1[[#This Row],[ADIANTAMENTO]]</f>
        <v>891.88000000000011</v>
      </c>
      <c r="O103" s="67">
        <f>(-Tabela1[[#This Row],[SALDO REEMBOLSAR]]*$O$4)</f>
        <v>0</v>
      </c>
      <c r="P103" s="90">
        <f>IF(Tabela1[[#This Row],[CARGA PARCIAL]]&lt;0,0,Tabela1[[#This Row],[CARGA PARCIAL]])</f>
        <v>891.88000000000011</v>
      </c>
      <c r="Q103" s="93">
        <f>IF(Tabela1[[#This Row],[CARGA PARCIAL]]&lt;0,0,Tabela1[[#This Row],[CARGA PARCIAL]])+Tabela1[[#This Row],[REEMBOLSO]]</f>
        <v>891.88000000000011</v>
      </c>
      <c r="R103" s="66" t="s">
        <v>21</v>
      </c>
      <c r="S103" s="70"/>
      <c r="T103" s="36"/>
      <c r="AW103"/>
      <c r="AX103"/>
      <c r="AY103"/>
    </row>
    <row r="104" spans="2:51" x14ac:dyDescent="0.25">
      <c r="B104" s="83" t="s">
        <v>600</v>
      </c>
      <c r="C104" s="64" t="s">
        <v>601</v>
      </c>
      <c r="D104" s="64" t="s">
        <v>17</v>
      </c>
      <c r="E104" s="64" t="s">
        <v>360</v>
      </c>
      <c r="F104" s="64">
        <v>11061720001</v>
      </c>
      <c r="G104" s="82" t="s">
        <v>244</v>
      </c>
      <c r="H104" s="64" t="s">
        <v>33</v>
      </c>
      <c r="I104" s="65">
        <v>-101.27999999999975</v>
      </c>
      <c r="J104" s="65">
        <v>0</v>
      </c>
      <c r="K104" s="65">
        <v>800</v>
      </c>
      <c r="L104" s="65">
        <v>19</v>
      </c>
      <c r="M104" s="66">
        <v>0</v>
      </c>
      <c r="N104" s="88">
        <f>Tabela1[[#This Row],[1QZ DE DEZ 26]]-Tabela1[[#This Row],[SALDO FINAL]]-Tabela1[[#This Row],[SALDO CARTAO]]-Tabela1[[#This Row],[ADIANTAMENTO]]</f>
        <v>781</v>
      </c>
      <c r="O104" s="67">
        <f>-Tabela1[[#This Row],[SALDO REEMBOLSAR]]</f>
        <v>101.27999999999975</v>
      </c>
      <c r="P104" s="90">
        <f>IF(Tabela1[[#This Row],[CARGA PARCIAL]]&lt;0,0,Tabela1[[#This Row],[CARGA PARCIAL]])</f>
        <v>781</v>
      </c>
      <c r="Q104" s="93">
        <f>IF(Tabela1[[#This Row],[CARGA PARCIAL]]&lt;0,0,Tabela1[[#This Row],[CARGA PARCIAL]])+Tabela1[[#This Row],[REEMBOLSO]]</f>
        <v>882.27999999999975</v>
      </c>
      <c r="R104" s="66" t="s">
        <v>21</v>
      </c>
      <c r="S104" s="70"/>
      <c r="T104" s="36"/>
      <c r="AW104"/>
      <c r="AX104"/>
      <c r="AY104"/>
    </row>
    <row r="105" spans="2:51" x14ac:dyDescent="0.25">
      <c r="B105" s="83" t="s">
        <v>511</v>
      </c>
      <c r="C105" s="64" t="s">
        <v>512</v>
      </c>
      <c r="D105" s="64" t="s">
        <v>17</v>
      </c>
      <c r="E105" s="64" t="s">
        <v>513</v>
      </c>
      <c r="F105" s="64">
        <v>11061400001</v>
      </c>
      <c r="G105" s="82" t="s">
        <v>244</v>
      </c>
      <c r="H105" s="64" t="s">
        <v>33</v>
      </c>
      <c r="I105" s="65">
        <v>0</v>
      </c>
      <c r="J105" s="65">
        <v>317.77000000001044</v>
      </c>
      <c r="K105" s="65">
        <v>1200</v>
      </c>
      <c r="L105" s="65">
        <v>0</v>
      </c>
      <c r="M105" s="66">
        <v>0</v>
      </c>
      <c r="N105" s="88">
        <f>Tabela1[[#This Row],[1QZ DE DEZ 26]]-Tabela1[[#This Row],[SALDO FINAL]]-Tabela1[[#This Row],[SALDO CARTAO]]-Tabela1[[#This Row],[ADIANTAMENTO]]</f>
        <v>882.22999999998956</v>
      </c>
      <c r="O105" s="67">
        <f>(-Tabela1[[#This Row],[SALDO REEMBOLSAR]]*$O$4)</f>
        <v>0</v>
      </c>
      <c r="P105" s="90">
        <f>IF(Tabela1[[#This Row],[CARGA PARCIAL]]&lt;0,0,Tabela1[[#This Row],[CARGA PARCIAL]])</f>
        <v>882.22999999998956</v>
      </c>
      <c r="Q105" s="93">
        <f>IF(Tabela1[[#This Row],[CARGA PARCIAL]]&lt;0,0,Tabela1[[#This Row],[CARGA PARCIAL]])+Tabela1[[#This Row],[REEMBOLSO]]</f>
        <v>882.22999999998956</v>
      </c>
      <c r="R105" s="66" t="s">
        <v>21</v>
      </c>
      <c r="S105" s="70"/>
      <c r="T105" s="36"/>
      <c r="AW105"/>
      <c r="AX105"/>
      <c r="AY105"/>
    </row>
    <row r="106" spans="2:51" x14ac:dyDescent="0.25">
      <c r="B106" s="103" t="s">
        <v>191</v>
      </c>
      <c r="C106" s="102" t="s">
        <v>192</v>
      </c>
      <c r="D106" s="64" t="s">
        <v>17</v>
      </c>
      <c r="E106" s="64" t="s">
        <v>106</v>
      </c>
      <c r="F106" s="64">
        <v>11030770001</v>
      </c>
      <c r="G106" s="82" t="s">
        <v>19</v>
      </c>
      <c r="H106" s="64" t="s">
        <v>20</v>
      </c>
      <c r="I106" s="65">
        <v>0</v>
      </c>
      <c r="J106" s="65">
        <v>624.21000000000959</v>
      </c>
      <c r="K106" s="65">
        <v>1500</v>
      </c>
      <c r="L106" s="65">
        <v>6.73</v>
      </c>
      <c r="M106" s="66">
        <v>0</v>
      </c>
      <c r="N106" s="88">
        <f>Tabela1[[#This Row],[1QZ DE DEZ 26]]-Tabela1[[#This Row],[SALDO FINAL]]-Tabela1[[#This Row],[SALDO CARTAO]]-Tabela1[[#This Row],[ADIANTAMENTO]]</f>
        <v>869.0599999999904</v>
      </c>
      <c r="O106" s="67">
        <f>(-Tabela1[[#This Row],[SALDO REEMBOLSAR]]*$O$4)</f>
        <v>0</v>
      </c>
      <c r="P106" s="122">
        <f>IF(Tabela1[[#This Row],[CARGA PARCIAL]]&lt;0,0,Tabela1[[#This Row],[CARGA PARCIAL]])</f>
        <v>869.0599999999904</v>
      </c>
      <c r="Q106" s="93">
        <f>IF(Tabela1[[#This Row],[CARGA PARCIAL]]&lt;0,0,Tabela1[[#This Row],[CARGA PARCIAL]])+Tabela1[[#This Row],[REEMBOLSO]]</f>
        <v>869.0599999999904</v>
      </c>
      <c r="R106" s="66" t="s">
        <v>21</v>
      </c>
      <c r="S106" s="70"/>
      <c r="T106" s="36"/>
      <c r="AW106"/>
      <c r="AX106"/>
      <c r="AY106"/>
    </row>
    <row r="107" spans="2:51" x14ac:dyDescent="0.25">
      <c r="B107" s="83" t="s">
        <v>1781</v>
      </c>
      <c r="C107" s="64" t="s">
        <v>1782</v>
      </c>
      <c r="D107" s="64" t="s">
        <v>17</v>
      </c>
      <c r="E107" s="64" t="s">
        <v>610</v>
      </c>
      <c r="F107" s="64">
        <v>11062450001</v>
      </c>
      <c r="G107" s="82" t="s">
        <v>25</v>
      </c>
      <c r="H107" s="64" t="s">
        <v>20</v>
      </c>
      <c r="I107" s="65">
        <v>-99.529999999999916</v>
      </c>
      <c r="J107" s="65">
        <v>0</v>
      </c>
      <c r="K107" s="65">
        <v>750</v>
      </c>
      <c r="L107" s="65">
        <v>0</v>
      </c>
      <c r="M107" s="66">
        <v>0</v>
      </c>
      <c r="N107" s="88">
        <f>Tabela1[[#This Row],[1QZ DE DEZ 26]]-Tabela1[[#This Row],[SALDO FINAL]]-Tabela1[[#This Row],[SALDO CARTAO]]-Tabela1[[#This Row],[ADIANTAMENTO]]</f>
        <v>750</v>
      </c>
      <c r="O107" s="67">
        <f>-Tabela1[[#This Row],[SALDO REEMBOLSAR]]</f>
        <v>99.529999999999916</v>
      </c>
      <c r="P107" s="90">
        <f>IF(Tabela1[[#This Row],[CARGA PARCIAL]]&lt;0,0,Tabela1[[#This Row],[CARGA PARCIAL]])</f>
        <v>750</v>
      </c>
      <c r="Q107" s="93">
        <f>IF(Tabela1[[#This Row],[CARGA PARCIAL]]&lt;0,0,Tabela1[[#This Row],[CARGA PARCIAL]])+Tabela1[[#This Row],[REEMBOLSO]]</f>
        <v>849.53</v>
      </c>
      <c r="R107" s="66" t="s">
        <v>21</v>
      </c>
      <c r="S107" s="70"/>
      <c r="T107" s="36"/>
      <c r="AW107"/>
      <c r="AX107"/>
      <c r="AY107"/>
    </row>
    <row r="108" spans="2:51" x14ac:dyDescent="0.25">
      <c r="B108" s="103" t="s">
        <v>228</v>
      </c>
      <c r="C108" s="102" t="s">
        <v>229</v>
      </c>
      <c r="D108" s="64" t="s">
        <v>17</v>
      </c>
      <c r="E108" s="64" t="s">
        <v>230</v>
      </c>
      <c r="F108" s="64">
        <v>11062160001</v>
      </c>
      <c r="G108" s="82" t="s">
        <v>19</v>
      </c>
      <c r="H108" s="64" t="s">
        <v>20</v>
      </c>
      <c r="I108" s="65">
        <v>-216.86999999999819</v>
      </c>
      <c r="J108" s="65">
        <v>0</v>
      </c>
      <c r="K108" s="65">
        <v>800</v>
      </c>
      <c r="L108" s="65">
        <v>0.87</v>
      </c>
      <c r="M108" s="70">
        <v>0</v>
      </c>
      <c r="N108" s="88">
        <f>Tabela1[[#This Row],[1QZ DE DEZ 26]]-Tabela1[[#This Row],[SALDO FINAL]]-Tabela1[[#This Row],[SALDO CARTAO]]-Tabela1[[#This Row],[ADIANTAMENTO]]</f>
        <v>799.13</v>
      </c>
      <c r="O108" s="67">
        <f>(-Tabela1[[#This Row],[SALDO REEMBOLSAR]]*$O$4)</f>
        <v>43.37399999999964</v>
      </c>
      <c r="P108" s="122">
        <f>IF(Tabela1[[#This Row],[CARGA PARCIAL]]&lt;0,0,Tabela1[[#This Row],[CARGA PARCIAL]])</f>
        <v>799.13</v>
      </c>
      <c r="Q108" s="93">
        <f>IF(Tabela1[[#This Row],[CARGA PARCIAL]]&lt;0,0,Tabela1[[#This Row],[CARGA PARCIAL]])+Tabela1[[#This Row],[REEMBOLSO]]</f>
        <v>842.50399999999968</v>
      </c>
      <c r="R108" s="66" t="s">
        <v>21</v>
      </c>
      <c r="S108" s="70"/>
      <c r="T108" s="36"/>
      <c r="AW108"/>
      <c r="AX108"/>
      <c r="AY108"/>
    </row>
    <row r="109" spans="2:51" x14ac:dyDescent="0.25">
      <c r="B109" s="83" t="s">
        <v>684</v>
      </c>
      <c r="C109" s="64" t="s">
        <v>685</v>
      </c>
      <c r="D109" s="64" t="s">
        <v>17</v>
      </c>
      <c r="E109" s="64" t="s">
        <v>360</v>
      </c>
      <c r="F109" s="64">
        <v>11061720001</v>
      </c>
      <c r="G109" s="82" t="s">
        <v>244</v>
      </c>
      <c r="H109" s="64" t="s">
        <v>33</v>
      </c>
      <c r="I109" s="65">
        <v>-15.679999999997889</v>
      </c>
      <c r="J109" s="65">
        <v>0</v>
      </c>
      <c r="K109" s="65">
        <v>800</v>
      </c>
      <c r="L109" s="65">
        <v>3.11</v>
      </c>
      <c r="M109" s="66">
        <v>0</v>
      </c>
      <c r="N109" s="88">
        <f>Tabela1[[#This Row],[1QZ DE DEZ 26]]-Tabela1[[#This Row],[SALDO FINAL]]-Tabela1[[#This Row],[SALDO CARTAO]]-Tabela1[[#This Row],[ADIANTAMENTO]]</f>
        <v>796.89</v>
      </c>
      <c r="O109" s="67">
        <f>-Tabela1[[#This Row],[SALDO REEMBOLSAR]]</f>
        <v>15.679999999997889</v>
      </c>
      <c r="P109" s="90">
        <f>IF(Tabela1[[#This Row],[CARGA PARCIAL]]&lt;0,0,Tabela1[[#This Row],[CARGA PARCIAL]])</f>
        <v>796.89</v>
      </c>
      <c r="Q109" s="93">
        <f>IF(Tabela1[[#This Row],[CARGA PARCIAL]]&lt;0,0,Tabela1[[#This Row],[CARGA PARCIAL]])+Tabela1[[#This Row],[REEMBOLSO]]</f>
        <v>812.56999999999789</v>
      </c>
      <c r="R109" s="66" t="s">
        <v>21</v>
      </c>
      <c r="S109" s="70"/>
      <c r="T109" s="36"/>
      <c r="AW109"/>
      <c r="AX109"/>
      <c r="AY109"/>
    </row>
    <row r="110" spans="2:51" x14ac:dyDescent="0.25">
      <c r="B110" s="83" t="s">
        <v>22</v>
      </c>
      <c r="C110" s="64" t="s">
        <v>23</v>
      </c>
      <c r="D110" s="64" t="s">
        <v>17</v>
      </c>
      <c r="E110" s="64" t="s">
        <v>24</v>
      </c>
      <c r="F110" s="64">
        <v>11040160001</v>
      </c>
      <c r="G110" s="82" t="s">
        <v>25</v>
      </c>
      <c r="H110" s="64" t="s">
        <v>20</v>
      </c>
      <c r="I110" s="65">
        <v>-55.360000000000582</v>
      </c>
      <c r="J110" s="65">
        <v>0</v>
      </c>
      <c r="K110" s="65">
        <v>750</v>
      </c>
      <c r="L110" s="65">
        <v>0</v>
      </c>
      <c r="M110" s="70">
        <v>0</v>
      </c>
      <c r="N110" s="88">
        <f>Tabela1[[#This Row],[1QZ DE DEZ 26]]-Tabela1[[#This Row],[SALDO FINAL]]-Tabela1[[#This Row],[SALDO CARTAO]]-Tabela1[[#This Row],[ADIANTAMENTO]]</f>
        <v>750</v>
      </c>
      <c r="O110" s="67">
        <f>-Tabela1[[#This Row],[SALDO REEMBOLSAR]]</f>
        <v>55.360000000000582</v>
      </c>
      <c r="P110" s="90">
        <f>IF(Tabela1[[#This Row],[CARGA PARCIAL]]&lt;0,0,Tabela1[[#This Row],[CARGA PARCIAL]])</f>
        <v>750</v>
      </c>
      <c r="Q110" s="93">
        <f>IF(Tabela1[[#This Row],[CARGA PARCIAL]]&lt;0,0,Tabela1[[#This Row],[CARGA PARCIAL]])+Tabela1[[#This Row],[REEMBOLSO]]</f>
        <v>805.36000000000058</v>
      </c>
      <c r="R110" s="66" t="s">
        <v>21</v>
      </c>
      <c r="S110" s="70"/>
      <c r="T110" s="36"/>
      <c r="AW110"/>
      <c r="AX110"/>
      <c r="AY110"/>
    </row>
    <row r="111" spans="2:51" x14ac:dyDescent="0.25">
      <c r="B111" s="103" t="s">
        <v>670</v>
      </c>
      <c r="C111" s="102" t="s">
        <v>671</v>
      </c>
      <c r="D111" s="64" t="s">
        <v>17</v>
      </c>
      <c r="E111" s="64" t="s">
        <v>360</v>
      </c>
      <c r="F111" s="64">
        <v>11061720001</v>
      </c>
      <c r="G111" s="82" t="s">
        <v>244</v>
      </c>
      <c r="H111" s="64" t="s">
        <v>33</v>
      </c>
      <c r="I111" s="65">
        <v>-352.65000000000117</v>
      </c>
      <c r="J111" s="65">
        <v>0</v>
      </c>
      <c r="K111" s="65">
        <v>800</v>
      </c>
      <c r="L111" s="65">
        <v>66.930000000000007</v>
      </c>
      <c r="M111" s="70">
        <v>0</v>
      </c>
      <c r="N111" s="88">
        <f>Tabela1[[#This Row],[1QZ DE DEZ 26]]-Tabela1[[#This Row],[SALDO FINAL]]-Tabela1[[#This Row],[SALDO CARTAO]]-Tabela1[[#This Row],[ADIANTAMENTO]]</f>
        <v>733.06999999999994</v>
      </c>
      <c r="O111" s="67">
        <f>(-Tabela1[[#This Row],[SALDO REEMBOLSAR]]*$O$4)</f>
        <v>70.530000000000243</v>
      </c>
      <c r="P111" s="122">
        <f>IF(Tabela1[[#This Row],[CARGA PARCIAL]]&lt;0,0,Tabela1[[#This Row],[CARGA PARCIAL]])</f>
        <v>733.06999999999994</v>
      </c>
      <c r="Q111" s="93">
        <f>IF(Tabela1[[#This Row],[CARGA PARCIAL]]&lt;0,0,Tabela1[[#This Row],[CARGA PARCIAL]])+Tabela1[[#This Row],[REEMBOLSO]]</f>
        <v>803.60000000000014</v>
      </c>
      <c r="R111" s="66" t="s">
        <v>21</v>
      </c>
      <c r="S111" s="70"/>
      <c r="T111" s="36"/>
      <c r="AW111"/>
      <c r="AX111"/>
      <c r="AY111"/>
    </row>
    <row r="112" spans="2:51" x14ac:dyDescent="0.25">
      <c r="B112" s="83" t="s">
        <v>790</v>
      </c>
      <c r="C112" s="64" t="s">
        <v>791</v>
      </c>
      <c r="D112" s="64" t="s">
        <v>17</v>
      </c>
      <c r="E112" s="64" t="s">
        <v>360</v>
      </c>
      <c r="F112" s="64">
        <v>11061720001</v>
      </c>
      <c r="G112" s="82" t="s">
        <v>244</v>
      </c>
      <c r="H112" s="64" t="s">
        <v>33</v>
      </c>
      <c r="I112" s="65">
        <v>-28.330000000000435</v>
      </c>
      <c r="J112" s="65">
        <v>0</v>
      </c>
      <c r="K112" s="65">
        <v>800</v>
      </c>
      <c r="L112" s="65">
        <v>28.81</v>
      </c>
      <c r="M112" s="66">
        <v>0</v>
      </c>
      <c r="N112" s="88">
        <f>Tabela1[[#This Row],[1QZ DE DEZ 26]]-Tabela1[[#This Row],[SALDO FINAL]]-Tabela1[[#This Row],[SALDO CARTAO]]-Tabela1[[#This Row],[ADIANTAMENTO]]</f>
        <v>771.19</v>
      </c>
      <c r="O112" s="67">
        <f>-Tabela1[[#This Row],[SALDO REEMBOLSAR]]</f>
        <v>28.330000000000435</v>
      </c>
      <c r="P112" s="90">
        <f>IF(Tabela1[[#This Row],[CARGA PARCIAL]]&lt;0,0,Tabela1[[#This Row],[CARGA PARCIAL]])</f>
        <v>771.19</v>
      </c>
      <c r="Q112" s="93">
        <f>IF(Tabela1[[#This Row],[CARGA PARCIAL]]&lt;0,0,Tabela1[[#This Row],[CARGA PARCIAL]])+Tabela1[[#This Row],[REEMBOLSO]]</f>
        <v>799.52000000000044</v>
      </c>
      <c r="R112" s="66" t="s">
        <v>21</v>
      </c>
      <c r="S112" s="70"/>
      <c r="T112" s="36"/>
      <c r="AW112"/>
      <c r="AX112"/>
      <c r="AY112"/>
    </row>
    <row r="113" spans="2:51" x14ac:dyDescent="0.25">
      <c r="B113" s="103" t="s">
        <v>764</v>
      </c>
      <c r="C113" s="102" t="s">
        <v>765</v>
      </c>
      <c r="D113" s="64" t="s">
        <v>17</v>
      </c>
      <c r="E113" s="64" t="s">
        <v>360</v>
      </c>
      <c r="F113" s="64">
        <v>11061720001</v>
      </c>
      <c r="G113" s="82" t="s">
        <v>244</v>
      </c>
      <c r="H113" s="64" t="s">
        <v>33</v>
      </c>
      <c r="I113" s="65">
        <v>-7.000000000000874</v>
      </c>
      <c r="J113" s="65">
        <v>0</v>
      </c>
      <c r="K113" s="65">
        <v>800</v>
      </c>
      <c r="L113" s="65">
        <v>8.2100000000000009</v>
      </c>
      <c r="M113" s="70">
        <v>0</v>
      </c>
      <c r="N113" s="88">
        <f>Tabela1[[#This Row],[1QZ DE DEZ 26]]-Tabela1[[#This Row],[SALDO FINAL]]-Tabela1[[#This Row],[SALDO CARTAO]]-Tabela1[[#This Row],[ADIANTAMENTO]]</f>
        <v>791.79</v>
      </c>
      <c r="O113" s="67">
        <f>-Tabela1[[#This Row],[SALDO REEMBOLSAR]]</f>
        <v>7.000000000000874</v>
      </c>
      <c r="P113" s="122">
        <f>IF(Tabela1[[#This Row],[CARGA PARCIAL]]&lt;0,0,Tabela1[[#This Row],[CARGA PARCIAL]])</f>
        <v>791.79</v>
      </c>
      <c r="Q113" s="93">
        <f>IF(Tabela1[[#This Row],[CARGA PARCIAL]]&lt;0,0,Tabela1[[#This Row],[CARGA PARCIAL]])+Tabela1[[#This Row],[REEMBOLSO]]</f>
        <v>798.79000000000087</v>
      </c>
      <c r="R113" s="66" t="s">
        <v>21</v>
      </c>
      <c r="S113" s="70"/>
      <c r="T113" s="36"/>
      <c r="AW113"/>
      <c r="AX113"/>
      <c r="AY113"/>
    </row>
    <row r="114" spans="2:51" x14ac:dyDescent="0.25">
      <c r="B114" s="83" t="s">
        <v>520</v>
      </c>
      <c r="C114" s="64" t="s">
        <v>521</v>
      </c>
      <c r="D114" s="64" t="s">
        <v>17</v>
      </c>
      <c r="E114" s="64" t="s">
        <v>360</v>
      </c>
      <c r="F114" s="64">
        <v>11061720001</v>
      </c>
      <c r="G114" s="82" t="s">
        <v>244</v>
      </c>
      <c r="H114" s="64" t="s">
        <v>33</v>
      </c>
      <c r="I114" s="65">
        <v>-2.3499999999963617</v>
      </c>
      <c r="J114" s="65">
        <v>0</v>
      </c>
      <c r="K114" s="65">
        <v>800</v>
      </c>
      <c r="L114" s="65">
        <v>5.35</v>
      </c>
      <c r="M114" s="70">
        <v>0</v>
      </c>
      <c r="N114" s="88">
        <f>Tabela1[[#This Row],[1QZ DE DEZ 26]]-Tabela1[[#This Row],[SALDO FINAL]]-Tabela1[[#This Row],[SALDO CARTAO]]-Tabela1[[#This Row],[ADIANTAMENTO]]</f>
        <v>794.65</v>
      </c>
      <c r="O114" s="67">
        <f>-Tabela1[[#This Row],[SALDO REEMBOLSAR]]</f>
        <v>2.3499999999963617</v>
      </c>
      <c r="P114" s="90">
        <f>IF(Tabela1[[#This Row],[CARGA PARCIAL]]&lt;0,0,Tabela1[[#This Row],[CARGA PARCIAL]])</f>
        <v>794.65</v>
      </c>
      <c r="Q114" s="93">
        <f>IF(Tabela1[[#This Row],[CARGA PARCIAL]]&lt;0,0,Tabela1[[#This Row],[CARGA PARCIAL]])+Tabela1[[#This Row],[REEMBOLSO]]</f>
        <v>796.99999999999636</v>
      </c>
      <c r="R114" s="66" t="s">
        <v>21</v>
      </c>
      <c r="S114" s="70"/>
      <c r="T114" s="36"/>
      <c r="AW114"/>
      <c r="AX114"/>
      <c r="AY114"/>
    </row>
    <row r="115" spans="2:51" x14ac:dyDescent="0.25">
      <c r="B115" s="83" t="s">
        <v>527</v>
      </c>
      <c r="C115" s="64" t="s">
        <v>528</v>
      </c>
      <c r="D115" s="64" t="s">
        <v>17</v>
      </c>
      <c r="E115" s="64" t="s">
        <v>360</v>
      </c>
      <c r="F115" s="64">
        <v>11061720001</v>
      </c>
      <c r="G115" s="82" t="s">
        <v>244</v>
      </c>
      <c r="H115" s="64" t="s">
        <v>33</v>
      </c>
      <c r="I115" s="65">
        <v>-34.449999999998255</v>
      </c>
      <c r="J115" s="65">
        <v>0</v>
      </c>
      <c r="K115" s="65">
        <v>800</v>
      </c>
      <c r="L115" s="65">
        <v>38.78</v>
      </c>
      <c r="M115" s="70">
        <v>0</v>
      </c>
      <c r="N115" s="88">
        <f>Tabela1[[#This Row],[1QZ DE DEZ 26]]-Tabela1[[#This Row],[SALDO FINAL]]-Tabela1[[#This Row],[SALDO CARTAO]]-Tabela1[[#This Row],[ADIANTAMENTO]]</f>
        <v>761.22</v>
      </c>
      <c r="O115" s="67">
        <f>-Tabela1[[#This Row],[SALDO REEMBOLSAR]]</f>
        <v>34.449999999998255</v>
      </c>
      <c r="P115" s="90">
        <f>IF(Tabela1[[#This Row],[CARGA PARCIAL]]&lt;0,0,Tabela1[[#This Row],[CARGA PARCIAL]])</f>
        <v>761.22</v>
      </c>
      <c r="Q115" s="93">
        <f>IF(Tabela1[[#This Row],[CARGA PARCIAL]]&lt;0,0,Tabela1[[#This Row],[CARGA PARCIAL]])+Tabela1[[#This Row],[REEMBOLSO]]</f>
        <v>795.66999999999825</v>
      </c>
      <c r="R115" s="66" t="s">
        <v>21</v>
      </c>
      <c r="S115" s="70"/>
      <c r="T115" s="36"/>
      <c r="AW115"/>
      <c r="AX115"/>
      <c r="AY115"/>
    </row>
    <row r="116" spans="2:51" x14ac:dyDescent="0.25">
      <c r="B116" s="103" t="s">
        <v>695</v>
      </c>
      <c r="C116" s="102" t="s">
        <v>696</v>
      </c>
      <c r="D116" s="64" t="s">
        <v>17</v>
      </c>
      <c r="E116" s="64" t="s">
        <v>360</v>
      </c>
      <c r="F116" s="64">
        <v>11061720001</v>
      </c>
      <c r="G116" s="82" t="s">
        <v>244</v>
      </c>
      <c r="H116" s="64" t="s">
        <v>33</v>
      </c>
      <c r="I116" s="65">
        <v>-62.700000000000543</v>
      </c>
      <c r="J116" s="65">
        <v>0</v>
      </c>
      <c r="K116" s="65">
        <v>800</v>
      </c>
      <c r="L116" s="65">
        <v>74.05</v>
      </c>
      <c r="M116" s="70">
        <v>0</v>
      </c>
      <c r="N116" s="88">
        <f>Tabela1[[#This Row],[1QZ DE DEZ 26]]-Tabela1[[#This Row],[SALDO FINAL]]-Tabela1[[#This Row],[SALDO CARTAO]]-Tabela1[[#This Row],[ADIANTAMENTO]]</f>
        <v>725.95</v>
      </c>
      <c r="O116" s="67">
        <f>-Tabela1[[#This Row],[SALDO REEMBOLSAR]]</f>
        <v>62.700000000000543</v>
      </c>
      <c r="P116" s="122">
        <f>IF(Tabela1[[#This Row],[CARGA PARCIAL]]&lt;0,0,Tabela1[[#This Row],[CARGA PARCIAL]])</f>
        <v>725.95</v>
      </c>
      <c r="Q116" s="93">
        <f>IF(Tabela1[[#This Row],[CARGA PARCIAL]]&lt;0,0,Tabela1[[#This Row],[CARGA PARCIAL]])+Tabela1[[#This Row],[REEMBOLSO]]</f>
        <v>788.65000000000055</v>
      </c>
      <c r="R116" s="66" t="s">
        <v>21</v>
      </c>
      <c r="S116" s="70"/>
      <c r="T116" s="36"/>
      <c r="AW116"/>
      <c r="AX116"/>
      <c r="AY116"/>
    </row>
    <row r="117" spans="2:51" x14ac:dyDescent="0.25">
      <c r="B117" s="103" t="s">
        <v>792</v>
      </c>
      <c r="C117" s="102" t="s">
        <v>793</v>
      </c>
      <c r="D117" s="64" t="s">
        <v>17</v>
      </c>
      <c r="E117" s="64" t="s">
        <v>360</v>
      </c>
      <c r="F117" s="64">
        <v>11061720001</v>
      </c>
      <c r="G117" s="82" t="s">
        <v>244</v>
      </c>
      <c r="H117" s="64" t="s">
        <v>33</v>
      </c>
      <c r="I117" s="65">
        <v>0</v>
      </c>
      <c r="J117" s="65">
        <v>0</v>
      </c>
      <c r="K117" s="65">
        <v>800</v>
      </c>
      <c r="L117" s="65">
        <v>15.9</v>
      </c>
      <c r="M117" s="70">
        <v>0</v>
      </c>
      <c r="N117" s="88">
        <f>Tabela1[[#This Row],[1QZ DE DEZ 26]]-Tabela1[[#This Row],[SALDO FINAL]]-Tabela1[[#This Row],[SALDO CARTAO]]-Tabela1[[#This Row],[ADIANTAMENTO]]</f>
        <v>784.1</v>
      </c>
      <c r="O117" s="67">
        <f>(-Tabela1[[#This Row],[SALDO REEMBOLSAR]]*$O$4)</f>
        <v>0</v>
      </c>
      <c r="P117" s="122">
        <f>IF(Tabela1[[#This Row],[CARGA PARCIAL]]&lt;0,0,Tabela1[[#This Row],[CARGA PARCIAL]])</f>
        <v>784.1</v>
      </c>
      <c r="Q117" s="93">
        <f>IF(Tabela1[[#This Row],[CARGA PARCIAL]]&lt;0,0,Tabela1[[#This Row],[CARGA PARCIAL]])+Tabela1[[#This Row],[REEMBOLSO]]</f>
        <v>784.1</v>
      </c>
      <c r="R117" s="66" t="s">
        <v>21</v>
      </c>
      <c r="S117" s="70"/>
      <c r="T117" s="36"/>
      <c r="AW117"/>
      <c r="AX117"/>
      <c r="AY117"/>
    </row>
    <row r="118" spans="2:51" x14ac:dyDescent="0.25">
      <c r="B118" s="83" t="s">
        <v>543</v>
      </c>
      <c r="C118" s="64" t="s">
        <v>544</v>
      </c>
      <c r="D118" s="64" t="s">
        <v>17</v>
      </c>
      <c r="E118" s="64" t="s">
        <v>360</v>
      </c>
      <c r="F118" s="64">
        <v>11061720001</v>
      </c>
      <c r="G118" s="82" t="s">
        <v>244</v>
      </c>
      <c r="H118" s="64" t="s">
        <v>33</v>
      </c>
      <c r="I118" s="65">
        <v>0</v>
      </c>
      <c r="J118" s="65">
        <v>21.22999999999978</v>
      </c>
      <c r="K118" s="65">
        <v>800</v>
      </c>
      <c r="L118" s="65">
        <v>0.76</v>
      </c>
      <c r="M118" s="66">
        <v>0</v>
      </c>
      <c r="N118" s="88">
        <f>Tabela1[[#This Row],[1QZ DE DEZ 26]]-Tabela1[[#This Row],[SALDO FINAL]]-Tabela1[[#This Row],[SALDO CARTAO]]-Tabela1[[#This Row],[ADIANTAMENTO]]</f>
        <v>778.01000000000022</v>
      </c>
      <c r="O118" s="67">
        <f>(-Tabela1[[#This Row],[SALDO REEMBOLSAR]]*$O$4)</f>
        <v>0</v>
      </c>
      <c r="P118" s="90">
        <f>IF(Tabela1[[#This Row],[CARGA PARCIAL]]&lt;0,0,Tabela1[[#This Row],[CARGA PARCIAL]])</f>
        <v>778.01000000000022</v>
      </c>
      <c r="Q118" s="93">
        <f>IF(Tabela1[[#This Row],[CARGA PARCIAL]]&lt;0,0,Tabela1[[#This Row],[CARGA PARCIAL]])+Tabela1[[#This Row],[REEMBOLSO]]</f>
        <v>778.01000000000022</v>
      </c>
      <c r="R118" s="66" t="s">
        <v>21</v>
      </c>
      <c r="S118" s="70"/>
      <c r="T118" s="36"/>
      <c r="AW118"/>
      <c r="AX118"/>
      <c r="AY118"/>
    </row>
    <row r="119" spans="2:51" x14ac:dyDescent="0.25">
      <c r="B119" s="83" t="s">
        <v>140</v>
      </c>
      <c r="C119" s="64" t="s">
        <v>141</v>
      </c>
      <c r="D119" s="64" t="s">
        <v>17</v>
      </c>
      <c r="E119" s="64" t="s">
        <v>59</v>
      </c>
      <c r="F119" s="64">
        <v>11030640001</v>
      </c>
      <c r="G119" s="82" t="s">
        <v>32</v>
      </c>
      <c r="H119" s="64" t="s">
        <v>33</v>
      </c>
      <c r="I119" s="65">
        <v>0</v>
      </c>
      <c r="J119" s="65">
        <v>215.46000000000006</v>
      </c>
      <c r="K119" s="65">
        <v>1000</v>
      </c>
      <c r="L119" s="65">
        <v>8.2100000000000009</v>
      </c>
      <c r="M119" s="70">
        <v>0</v>
      </c>
      <c r="N119" s="88">
        <f>Tabela1[[#This Row],[1QZ DE DEZ 26]]-Tabela1[[#This Row],[SALDO FINAL]]-Tabela1[[#This Row],[SALDO CARTAO]]-Tabela1[[#This Row],[ADIANTAMENTO]]</f>
        <v>776.32999999999993</v>
      </c>
      <c r="O119" s="67">
        <f>(-Tabela1[[#This Row],[SALDO REEMBOLSAR]]*$O$4)</f>
        <v>0</v>
      </c>
      <c r="P119" s="90">
        <f>IF(Tabela1[[#This Row],[CARGA PARCIAL]]&lt;0,0,Tabela1[[#This Row],[CARGA PARCIAL]])</f>
        <v>776.32999999999993</v>
      </c>
      <c r="Q119" s="93">
        <f>IF(Tabela1[[#This Row],[CARGA PARCIAL]]&lt;0,0,Tabela1[[#This Row],[CARGA PARCIAL]])+Tabela1[[#This Row],[REEMBOLSO]]</f>
        <v>776.32999999999993</v>
      </c>
      <c r="R119" s="66" t="s">
        <v>21</v>
      </c>
      <c r="S119" s="70"/>
      <c r="T119" s="36"/>
      <c r="AW119"/>
      <c r="AX119"/>
      <c r="AY119"/>
    </row>
    <row r="120" spans="2:51" x14ac:dyDescent="0.25">
      <c r="B120" s="83" t="s">
        <v>369</v>
      </c>
      <c r="C120" s="64" t="s">
        <v>370</v>
      </c>
      <c r="D120" s="64" t="s">
        <v>17</v>
      </c>
      <c r="E120" s="64" t="s">
        <v>371</v>
      </c>
      <c r="F120" s="64">
        <v>11062020001</v>
      </c>
      <c r="G120" s="82" t="s">
        <v>244</v>
      </c>
      <c r="H120" s="64" t="s">
        <v>33</v>
      </c>
      <c r="I120" s="65">
        <v>0</v>
      </c>
      <c r="J120" s="65">
        <v>2197.9199999999987</v>
      </c>
      <c r="K120" s="65">
        <v>3000</v>
      </c>
      <c r="L120" s="65">
        <v>48.1</v>
      </c>
      <c r="M120" s="70">
        <v>0</v>
      </c>
      <c r="N120" s="88">
        <f>Tabela1[[#This Row],[1QZ DE DEZ 26]]-Tabela1[[#This Row],[SALDO FINAL]]-Tabela1[[#This Row],[SALDO CARTAO]]-Tabela1[[#This Row],[ADIANTAMENTO]]</f>
        <v>753.98000000000127</v>
      </c>
      <c r="O120" s="67">
        <f>(-Tabela1[[#This Row],[SALDO REEMBOLSAR]]*$O$4)</f>
        <v>0</v>
      </c>
      <c r="P120" s="90">
        <f>IF(Tabela1[[#This Row],[CARGA PARCIAL]]&lt;0,0,Tabela1[[#This Row],[CARGA PARCIAL]])</f>
        <v>753.98000000000127</v>
      </c>
      <c r="Q120" s="93">
        <f>IF(Tabela1[[#This Row],[CARGA PARCIAL]]&lt;0,0,Tabela1[[#This Row],[CARGA PARCIAL]])+Tabela1[[#This Row],[REEMBOLSO]]</f>
        <v>753.98000000000127</v>
      </c>
      <c r="R120" s="66" t="s">
        <v>21</v>
      </c>
      <c r="S120" s="70"/>
      <c r="T120" s="36"/>
      <c r="AW120"/>
      <c r="AX120"/>
      <c r="AY120"/>
    </row>
    <row r="121" spans="2:51" x14ac:dyDescent="0.25">
      <c r="B121" s="83" t="s">
        <v>782</v>
      </c>
      <c r="C121" s="64" t="s">
        <v>783</v>
      </c>
      <c r="D121" s="64" t="s">
        <v>17</v>
      </c>
      <c r="E121" s="64" t="s">
        <v>360</v>
      </c>
      <c r="F121" s="64">
        <v>11061720001</v>
      </c>
      <c r="G121" s="82" t="s">
        <v>244</v>
      </c>
      <c r="H121" s="64" t="s">
        <v>33</v>
      </c>
      <c r="I121" s="65">
        <v>0</v>
      </c>
      <c r="J121" s="65">
        <v>42.100000000000364</v>
      </c>
      <c r="K121" s="65">
        <v>800</v>
      </c>
      <c r="L121" s="65">
        <v>6</v>
      </c>
      <c r="M121" s="66">
        <v>0</v>
      </c>
      <c r="N121" s="88">
        <f>Tabela1[[#This Row],[1QZ DE DEZ 26]]-Tabela1[[#This Row],[SALDO FINAL]]-Tabela1[[#This Row],[SALDO CARTAO]]-Tabela1[[#This Row],[ADIANTAMENTO]]</f>
        <v>751.89999999999964</v>
      </c>
      <c r="O121" s="67">
        <f>(-Tabela1[[#This Row],[SALDO REEMBOLSAR]]*$O$4)</f>
        <v>0</v>
      </c>
      <c r="P121" s="90">
        <f>IF(Tabela1[[#This Row],[CARGA PARCIAL]]&lt;0,0,Tabela1[[#This Row],[CARGA PARCIAL]])</f>
        <v>751.89999999999964</v>
      </c>
      <c r="Q121" s="93">
        <f>IF(Tabela1[[#This Row],[CARGA PARCIAL]]&lt;0,0,Tabela1[[#This Row],[CARGA PARCIAL]])+Tabela1[[#This Row],[REEMBOLSO]]</f>
        <v>751.89999999999964</v>
      </c>
      <c r="R121" s="66" t="s">
        <v>21</v>
      </c>
      <c r="S121" s="70"/>
      <c r="T121" s="36"/>
      <c r="AW121"/>
      <c r="AX121"/>
      <c r="AY121"/>
    </row>
    <row r="122" spans="2:51" x14ac:dyDescent="0.25">
      <c r="B122" s="103" t="s">
        <v>1985</v>
      </c>
      <c r="C122" s="102" t="s">
        <v>1986</v>
      </c>
      <c r="D122" s="64" t="s">
        <v>17</v>
      </c>
      <c r="E122" s="64" t="s">
        <v>610</v>
      </c>
      <c r="F122" s="64">
        <v>11062450001</v>
      </c>
      <c r="G122" s="82" t="s">
        <v>25</v>
      </c>
      <c r="H122" s="64" t="s">
        <v>20</v>
      </c>
      <c r="I122" s="65">
        <v>0</v>
      </c>
      <c r="J122" s="65">
        <v>0</v>
      </c>
      <c r="K122" s="65">
        <v>750</v>
      </c>
      <c r="L122" s="65">
        <v>0</v>
      </c>
      <c r="M122" s="70">
        <v>0</v>
      </c>
      <c r="N122" s="88">
        <f>Tabela1[[#This Row],[1QZ DE DEZ 26]]-Tabela1[[#This Row],[SALDO FINAL]]-Tabela1[[#This Row],[SALDO CARTAO]]-Tabela1[[#This Row],[ADIANTAMENTO]]</f>
        <v>750</v>
      </c>
      <c r="O122" s="67">
        <f>(-Tabela1[[#This Row],[SALDO REEMBOLSAR]]*$O$4)</f>
        <v>0</v>
      </c>
      <c r="P122" s="122">
        <f>IF(Tabela1[[#This Row],[CARGA PARCIAL]]&lt;0,0,Tabela1[[#This Row],[CARGA PARCIAL]])</f>
        <v>750</v>
      </c>
      <c r="Q122" s="93">
        <f>IF(Tabela1[[#This Row],[CARGA PARCIAL]]&lt;0,0,Tabela1[[#This Row],[CARGA PARCIAL]])+Tabela1[[#This Row],[REEMBOLSO]]</f>
        <v>750</v>
      </c>
      <c r="R122" s="66" t="s">
        <v>21</v>
      </c>
      <c r="S122" s="70"/>
      <c r="T122" s="36"/>
      <c r="AW122"/>
      <c r="AX122"/>
      <c r="AY122"/>
    </row>
    <row r="123" spans="2:51" x14ac:dyDescent="0.25">
      <c r="B123" s="83" t="s">
        <v>541</v>
      </c>
      <c r="C123" s="64" t="s">
        <v>542</v>
      </c>
      <c r="D123" s="64" t="s">
        <v>17</v>
      </c>
      <c r="E123" s="64" t="s">
        <v>360</v>
      </c>
      <c r="F123" s="64">
        <v>11061720001</v>
      </c>
      <c r="G123" s="82" t="s">
        <v>244</v>
      </c>
      <c r="H123" s="64" t="s">
        <v>33</v>
      </c>
      <c r="I123" s="65">
        <v>0</v>
      </c>
      <c r="J123" s="65">
        <v>52.51999999999969</v>
      </c>
      <c r="K123" s="65">
        <v>800</v>
      </c>
      <c r="L123" s="65">
        <v>1.32</v>
      </c>
      <c r="M123" s="66">
        <v>0</v>
      </c>
      <c r="N123" s="88">
        <f>Tabela1[[#This Row],[1QZ DE DEZ 26]]-Tabela1[[#This Row],[SALDO FINAL]]-Tabela1[[#This Row],[SALDO CARTAO]]-Tabela1[[#This Row],[ADIANTAMENTO]]</f>
        <v>746.16000000000031</v>
      </c>
      <c r="O123" s="67">
        <f>(-Tabela1[[#This Row],[SALDO REEMBOLSAR]]*$O$4)</f>
        <v>0</v>
      </c>
      <c r="P123" s="90">
        <f>IF(Tabela1[[#This Row],[CARGA PARCIAL]]&lt;0,0,Tabela1[[#This Row],[CARGA PARCIAL]])</f>
        <v>746.16000000000031</v>
      </c>
      <c r="Q123" s="93">
        <f>IF(Tabela1[[#This Row],[CARGA PARCIAL]]&lt;0,0,Tabela1[[#This Row],[CARGA PARCIAL]])+Tabela1[[#This Row],[REEMBOLSO]]</f>
        <v>746.16000000000031</v>
      </c>
      <c r="R123" s="66" t="s">
        <v>21</v>
      </c>
      <c r="S123" s="70"/>
      <c r="T123" s="36"/>
      <c r="AW123"/>
      <c r="AX123"/>
      <c r="AY123"/>
    </row>
    <row r="124" spans="2:51" x14ac:dyDescent="0.25">
      <c r="B124" s="83" t="s">
        <v>247</v>
      </c>
      <c r="C124" s="64" t="s">
        <v>248</v>
      </c>
      <c r="D124" s="64" t="s">
        <v>17</v>
      </c>
      <c r="E124" s="64" t="s">
        <v>249</v>
      </c>
      <c r="F124" s="64">
        <v>11030860001</v>
      </c>
      <c r="G124" s="82" t="s">
        <v>244</v>
      </c>
      <c r="H124" s="64" t="s">
        <v>33</v>
      </c>
      <c r="I124" s="65">
        <v>-4137.3699999999981</v>
      </c>
      <c r="J124" s="65">
        <v>0</v>
      </c>
      <c r="K124" s="65">
        <v>750</v>
      </c>
      <c r="L124" s="65">
        <v>9.6300000000000008</v>
      </c>
      <c r="M124" s="66">
        <v>0</v>
      </c>
      <c r="N124" s="88">
        <f>Tabela1[[#This Row],[1QZ DE DEZ 26]]-Tabela1[[#This Row],[SALDO FINAL]]-Tabela1[[#This Row],[SALDO CARTAO]]-Tabela1[[#This Row],[ADIANTAMENTO]]</f>
        <v>740.37</v>
      </c>
      <c r="O124" s="67">
        <v>0</v>
      </c>
      <c r="P124" s="90">
        <f>IF(Tabela1[[#This Row],[CARGA PARCIAL]]&lt;0,0,Tabela1[[#This Row],[CARGA PARCIAL]])</f>
        <v>740.37</v>
      </c>
      <c r="Q124" s="93">
        <f>IF(Tabela1[[#This Row],[CARGA PARCIAL]]&lt;0,0,Tabela1[[#This Row],[CARGA PARCIAL]])+Tabela1[[#This Row],[REEMBOLSO]]</f>
        <v>740.37</v>
      </c>
      <c r="R124" s="66" t="s">
        <v>21</v>
      </c>
      <c r="S124" s="70"/>
      <c r="T124" s="36"/>
      <c r="AW124"/>
      <c r="AX124"/>
      <c r="AY124"/>
    </row>
    <row r="125" spans="2:51" x14ac:dyDescent="0.25">
      <c r="B125" s="83" t="s">
        <v>318</v>
      </c>
      <c r="C125" s="64" t="s">
        <v>319</v>
      </c>
      <c r="D125" s="64" t="s">
        <v>17</v>
      </c>
      <c r="E125" s="64" t="s">
        <v>290</v>
      </c>
      <c r="F125" s="64">
        <v>11010370001</v>
      </c>
      <c r="G125" s="82" t="s">
        <v>244</v>
      </c>
      <c r="H125" s="64" t="s">
        <v>33</v>
      </c>
      <c r="I125" s="65">
        <v>-32.329999999999906</v>
      </c>
      <c r="J125" s="65">
        <v>0</v>
      </c>
      <c r="K125" s="65">
        <v>700</v>
      </c>
      <c r="L125" s="65">
        <v>0.48</v>
      </c>
      <c r="M125" s="66">
        <v>0</v>
      </c>
      <c r="N125" s="88">
        <f>Tabela1[[#This Row],[1QZ DE DEZ 26]]-Tabela1[[#This Row],[SALDO FINAL]]-Tabela1[[#This Row],[SALDO CARTAO]]-Tabela1[[#This Row],[ADIANTAMENTO]]</f>
        <v>699.52</v>
      </c>
      <c r="O125" s="67">
        <f>-Tabela1[[#This Row],[SALDO REEMBOLSAR]]</f>
        <v>32.329999999999906</v>
      </c>
      <c r="P125" s="90">
        <f>IF(Tabela1[[#This Row],[CARGA PARCIAL]]&lt;0,0,Tabela1[[#This Row],[CARGA PARCIAL]])</f>
        <v>699.52</v>
      </c>
      <c r="Q125" s="93">
        <f>IF(Tabela1[[#This Row],[CARGA PARCIAL]]&lt;0,0,Tabela1[[#This Row],[CARGA PARCIAL]])+Tabela1[[#This Row],[REEMBOLSO]]</f>
        <v>731.84999999999991</v>
      </c>
      <c r="R125" s="66" t="s">
        <v>21</v>
      </c>
      <c r="S125" s="70"/>
      <c r="T125" s="36"/>
      <c r="AW125"/>
      <c r="AX125"/>
      <c r="AY125"/>
    </row>
    <row r="126" spans="2:51" x14ac:dyDescent="0.25">
      <c r="B126" s="83" t="s">
        <v>482</v>
      </c>
      <c r="C126" s="64" t="s">
        <v>483</v>
      </c>
      <c r="D126" s="64" t="s">
        <v>17</v>
      </c>
      <c r="E126" s="64" t="s">
        <v>360</v>
      </c>
      <c r="F126" s="64">
        <v>11061720001</v>
      </c>
      <c r="G126" s="82" t="s">
        <v>244</v>
      </c>
      <c r="H126" s="64" t="s">
        <v>33</v>
      </c>
      <c r="I126" s="65">
        <v>0</v>
      </c>
      <c r="J126" s="65">
        <v>70</v>
      </c>
      <c r="K126" s="65">
        <v>800</v>
      </c>
      <c r="L126" s="65">
        <v>7</v>
      </c>
      <c r="M126" s="66">
        <v>0</v>
      </c>
      <c r="N126" s="88">
        <f>Tabela1[[#This Row],[1QZ DE DEZ 26]]-Tabela1[[#This Row],[SALDO FINAL]]-Tabela1[[#This Row],[SALDO CARTAO]]-Tabela1[[#This Row],[ADIANTAMENTO]]</f>
        <v>723</v>
      </c>
      <c r="O126" s="67">
        <f>(-Tabela1[[#This Row],[SALDO REEMBOLSAR]]*$O$4)</f>
        <v>0</v>
      </c>
      <c r="P126" s="90">
        <f>IF(Tabela1[[#This Row],[CARGA PARCIAL]]&lt;0,0,Tabela1[[#This Row],[CARGA PARCIAL]])</f>
        <v>723</v>
      </c>
      <c r="Q126" s="93">
        <f>IF(Tabela1[[#This Row],[CARGA PARCIAL]]&lt;0,0,Tabela1[[#This Row],[CARGA PARCIAL]])+Tabela1[[#This Row],[REEMBOLSO]]</f>
        <v>723</v>
      </c>
      <c r="R126" s="66" t="s">
        <v>21</v>
      </c>
      <c r="S126" s="70"/>
      <c r="T126" s="36"/>
      <c r="AW126"/>
      <c r="AX126"/>
      <c r="AY126"/>
    </row>
    <row r="127" spans="2:51" x14ac:dyDescent="0.25">
      <c r="B127" s="103" t="s">
        <v>705</v>
      </c>
      <c r="C127" s="102" t="s">
        <v>706</v>
      </c>
      <c r="D127" s="64" t="s">
        <v>17</v>
      </c>
      <c r="E127" s="64" t="s">
        <v>24</v>
      </c>
      <c r="F127" s="64">
        <v>11040160001</v>
      </c>
      <c r="G127" s="82" t="s">
        <v>25</v>
      </c>
      <c r="H127" s="64" t="s">
        <v>20</v>
      </c>
      <c r="I127" s="65">
        <v>0</v>
      </c>
      <c r="J127" s="65">
        <v>57.870000000000005</v>
      </c>
      <c r="K127" s="65">
        <v>800</v>
      </c>
      <c r="L127" s="65">
        <v>25.63</v>
      </c>
      <c r="M127" s="70">
        <v>0</v>
      </c>
      <c r="N127" s="88">
        <f>Tabela1[[#This Row],[1QZ DE DEZ 26]]-Tabela1[[#This Row],[SALDO FINAL]]-Tabela1[[#This Row],[SALDO CARTAO]]-Tabela1[[#This Row],[ADIANTAMENTO]]</f>
        <v>716.5</v>
      </c>
      <c r="O127" s="67">
        <f>(-Tabela1[[#This Row],[SALDO REEMBOLSAR]]*$O$4)</f>
        <v>0</v>
      </c>
      <c r="P127" s="122">
        <f>IF(Tabela1[[#This Row],[CARGA PARCIAL]]&lt;0,0,Tabela1[[#This Row],[CARGA PARCIAL]])</f>
        <v>716.5</v>
      </c>
      <c r="Q127" s="93">
        <f>IF(Tabela1[[#This Row],[CARGA PARCIAL]]&lt;0,0,Tabela1[[#This Row],[CARGA PARCIAL]])+Tabela1[[#This Row],[REEMBOLSO]]</f>
        <v>716.5</v>
      </c>
      <c r="R127" s="66" t="s">
        <v>21</v>
      </c>
      <c r="S127" s="70"/>
      <c r="T127" s="36"/>
      <c r="AW127"/>
      <c r="AX127"/>
      <c r="AY127"/>
    </row>
    <row r="128" spans="2:51" x14ac:dyDescent="0.25">
      <c r="B128" s="103" t="s">
        <v>804</v>
      </c>
      <c r="C128" s="102" t="s">
        <v>805</v>
      </c>
      <c r="D128" s="64" t="s">
        <v>17</v>
      </c>
      <c r="E128" s="64" t="s">
        <v>360</v>
      </c>
      <c r="F128" s="64">
        <v>11061720001</v>
      </c>
      <c r="G128" s="82" t="s">
        <v>244</v>
      </c>
      <c r="H128" s="64" t="s">
        <v>33</v>
      </c>
      <c r="I128" s="65">
        <v>0</v>
      </c>
      <c r="J128" s="65">
        <v>0</v>
      </c>
      <c r="K128" s="65">
        <v>800</v>
      </c>
      <c r="L128" s="65">
        <v>91.1</v>
      </c>
      <c r="M128" s="70">
        <v>0</v>
      </c>
      <c r="N128" s="88">
        <f>Tabela1[[#This Row],[1QZ DE DEZ 26]]-Tabela1[[#This Row],[SALDO FINAL]]-Tabela1[[#This Row],[SALDO CARTAO]]-Tabela1[[#This Row],[ADIANTAMENTO]]</f>
        <v>708.9</v>
      </c>
      <c r="O128" s="67">
        <f>(-Tabela1[[#This Row],[SALDO REEMBOLSAR]]*$O$4)</f>
        <v>0</v>
      </c>
      <c r="P128" s="122">
        <f>IF(Tabela1[[#This Row],[CARGA PARCIAL]]&lt;0,0,Tabela1[[#This Row],[CARGA PARCIAL]])</f>
        <v>708.9</v>
      </c>
      <c r="Q128" s="93">
        <f>IF(Tabela1[[#This Row],[CARGA PARCIAL]]&lt;0,0,Tabela1[[#This Row],[CARGA PARCIAL]])+Tabela1[[#This Row],[REEMBOLSO]]</f>
        <v>708.9</v>
      </c>
      <c r="R128" s="66" t="s">
        <v>21</v>
      </c>
      <c r="S128" s="70"/>
      <c r="T128" s="36"/>
      <c r="AW128"/>
      <c r="AX128"/>
      <c r="AY128"/>
    </row>
    <row r="129" spans="2:51" x14ac:dyDescent="0.25">
      <c r="B129" s="103" t="s">
        <v>419</v>
      </c>
      <c r="C129" s="102" t="s">
        <v>420</v>
      </c>
      <c r="D129" s="64" t="s">
        <v>17</v>
      </c>
      <c r="E129" s="64" t="s">
        <v>2000</v>
      </c>
      <c r="F129" s="64">
        <v>11080400001</v>
      </c>
      <c r="G129" s="82" t="s">
        <v>244</v>
      </c>
      <c r="H129" s="64" t="s">
        <v>33</v>
      </c>
      <c r="I129" s="65">
        <v>-632.59000000000015</v>
      </c>
      <c r="J129" s="65">
        <v>0</v>
      </c>
      <c r="K129" s="65">
        <v>600</v>
      </c>
      <c r="L129" s="65">
        <v>19</v>
      </c>
      <c r="M129" s="66">
        <v>0</v>
      </c>
      <c r="N129" s="88">
        <f>Tabela1[[#This Row],[1QZ DE DEZ 26]]-Tabela1[[#This Row],[SALDO FINAL]]-Tabela1[[#This Row],[SALDO CARTAO]]-Tabela1[[#This Row],[ADIANTAMENTO]]</f>
        <v>581</v>
      </c>
      <c r="O129" s="67">
        <f>(-Tabela1[[#This Row],[SALDO REEMBOLSAR]]*$O$4)</f>
        <v>126.51800000000003</v>
      </c>
      <c r="P129" s="122">
        <f>IF(Tabela1[[#This Row],[CARGA PARCIAL]]&lt;0,0,Tabela1[[#This Row],[CARGA PARCIAL]])</f>
        <v>581</v>
      </c>
      <c r="Q129" s="93">
        <f>IF(Tabela1[[#This Row],[CARGA PARCIAL]]&lt;0,0,Tabela1[[#This Row],[CARGA PARCIAL]])+Tabela1[[#This Row],[REEMBOLSO]]</f>
        <v>707.51800000000003</v>
      </c>
      <c r="R129" s="66" t="s">
        <v>21</v>
      </c>
      <c r="S129" s="70"/>
      <c r="T129" s="36"/>
      <c r="AW129"/>
      <c r="AX129"/>
      <c r="AY129"/>
    </row>
    <row r="130" spans="2:51" x14ac:dyDescent="0.25">
      <c r="B130" s="83" t="s">
        <v>589</v>
      </c>
      <c r="C130" s="64" t="s">
        <v>590</v>
      </c>
      <c r="D130" s="64" t="s">
        <v>17</v>
      </c>
      <c r="E130" s="64" t="s">
        <v>513</v>
      </c>
      <c r="F130" s="64">
        <v>11061400001</v>
      </c>
      <c r="G130" s="82" t="s">
        <v>244</v>
      </c>
      <c r="H130" s="64" t="s">
        <v>33</v>
      </c>
      <c r="I130" s="65">
        <v>-4.88</v>
      </c>
      <c r="J130" s="65">
        <v>0</v>
      </c>
      <c r="K130" s="65">
        <v>700</v>
      </c>
      <c r="L130" s="65">
        <v>4.88</v>
      </c>
      <c r="M130" s="66">
        <v>0</v>
      </c>
      <c r="N130" s="88">
        <f>Tabela1[[#This Row],[1QZ DE DEZ 26]]-Tabela1[[#This Row],[SALDO FINAL]]-Tabela1[[#This Row],[SALDO CARTAO]]-Tabela1[[#This Row],[ADIANTAMENTO]]</f>
        <v>695.12</v>
      </c>
      <c r="O130" s="67">
        <f>-Tabela1[[#This Row],[SALDO REEMBOLSAR]]</f>
        <v>4.88</v>
      </c>
      <c r="P130" s="90">
        <f>IF(Tabela1[[#This Row],[CARGA PARCIAL]]&lt;0,0,Tabela1[[#This Row],[CARGA PARCIAL]])</f>
        <v>695.12</v>
      </c>
      <c r="Q130" s="93">
        <f>IF(Tabela1[[#This Row],[CARGA PARCIAL]]&lt;0,0,Tabela1[[#This Row],[CARGA PARCIAL]])+Tabela1[[#This Row],[REEMBOLSO]]</f>
        <v>700</v>
      </c>
      <c r="R130" s="66" t="s">
        <v>21</v>
      </c>
      <c r="S130" s="70"/>
      <c r="T130" s="36"/>
      <c r="AW130"/>
      <c r="AX130"/>
      <c r="AY130"/>
    </row>
    <row r="131" spans="2:51" x14ac:dyDescent="0.25">
      <c r="B131" s="101" t="s">
        <v>142</v>
      </c>
      <c r="C131" s="102" t="s">
        <v>143</v>
      </c>
      <c r="D131" s="64" t="s">
        <v>17</v>
      </c>
      <c r="E131" s="64" t="s">
        <v>59</v>
      </c>
      <c r="F131" s="64">
        <v>11030640001</v>
      </c>
      <c r="G131" s="82" t="s">
        <v>32</v>
      </c>
      <c r="H131" s="64" t="s">
        <v>33</v>
      </c>
      <c r="I131" s="65">
        <v>-51.499999999997442</v>
      </c>
      <c r="J131" s="65">
        <v>0</v>
      </c>
      <c r="K131" s="65">
        <v>800</v>
      </c>
      <c r="L131" s="65">
        <v>156.69999999999999</v>
      </c>
      <c r="M131" s="70">
        <v>0</v>
      </c>
      <c r="N131" s="88">
        <f>Tabela1[[#This Row],[1QZ DE DEZ 26]]-Tabela1[[#This Row],[SALDO FINAL]]-Tabela1[[#This Row],[SALDO CARTAO]]-Tabela1[[#This Row],[ADIANTAMENTO]]</f>
        <v>643.29999999999995</v>
      </c>
      <c r="O131" s="67">
        <f>-Tabela1[[#This Row],[SALDO REEMBOLSAR]]</f>
        <v>51.499999999997442</v>
      </c>
      <c r="P131" s="122">
        <f>IF(Tabela1[[#This Row],[CARGA PARCIAL]]&lt;0,0,Tabela1[[#This Row],[CARGA PARCIAL]])</f>
        <v>643.29999999999995</v>
      </c>
      <c r="Q131" s="93">
        <f>IF(Tabela1[[#This Row],[CARGA PARCIAL]]&lt;0,0,Tabela1[[#This Row],[CARGA PARCIAL]])+Tabela1[[#This Row],[REEMBOLSO]]</f>
        <v>694.79999999999745</v>
      </c>
      <c r="R131" s="66" t="s">
        <v>21</v>
      </c>
      <c r="S131" s="70"/>
      <c r="T131" s="36"/>
      <c r="AW131"/>
      <c r="AX131"/>
      <c r="AY131"/>
    </row>
    <row r="132" spans="2:51" x14ac:dyDescent="0.25">
      <c r="B132" s="103" t="s">
        <v>326</v>
      </c>
      <c r="C132" s="102" t="s">
        <v>327</v>
      </c>
      <c r="D132" s="64" t="s">
        <v>17</v>
      </c>
      <c r="E132" s="108" t="s">
        <v>1999</v>
      </c>
      <c r="F132" s="64">
        <v>11030810001</v>
      </c>
      <c r="G132" s="82" t="s">
        <v>1989</v>
      </c>
      <c r="H132" s="64" t="s">
        <v>20</v>
      </c>
      <c r="I132" s="65">
        <v>-1548.900000000001</v>
      </c>
      <c r="J132" s="65">
        <v>0</v>
      </c>
      <c r="K132" s="65">
        <v>1000</v>
      </c>
      <c r="L132" s="65">
        <v>617.67999999999995</v>
      </c>
      <c r="M132" s="66">
        <v>0</v>
      </c>
      <c r="N132" s="88">
        <f>Tabela1[[#This Row],[1QZ DE DEZ 26]]-Tabela1[[#This Row],[SALDO FINAL]]-Tabela1[[#This Row],[SALDO CARTAO]]-Tabela1[[#This Row],[ADIANTAMENTO]]</f>
        <v>382.32000000000005</v>
      </c>
      <c r="O132" s="67">
        <f>(-Tabela1[[#This Row],[SALDO REEMBOLSAR]]*$O$4)</f>
        <v>309.7800000000002</v>
      </c>
      <c r="P132" s="122">
        <f>IF(Tabela1[[#This Row],[CARGA PARCIAL]]&lt;0,0,Tabela1[[#This Row],[CARGA PARCIAL]])</f>
        <v>382.32000000000005</v>
      </c>
      <c r="Q132" s="93">
        <f>IF(Tabela1[[#This Row],[CARGA PARCIAL]]&lt;0,0,Tabela1[[#This Row],[CARGA PARCIAL]])+Tabela1[[#This Row],[REEMBOLSO]]</f>
        <v>692.10000000000025</v>
      </c>
      <c r="R132" s="66" t="s">
        <v>21</v>
      </c>
      <c r="S132" s="70"/>
      <c r="T132" s="36"/>
      <c r="AW132"/>
      <c r="AX132"/>
      <c r="AY132"/>
    </row>
    <row r="133" spans="2:51" x14ac:dyDescent="0.25">
      <c r="B133" s="83" t="s">
        <v>138</v>
      </c>
      <c r="C133" s="64" t="s">
        <v>139</v>
      </c>
      <c r="D133" s="64" t="s">
        <v>17</v>
      </c>
      <c r="E133" s="64" t="s">
        <v>312</v>
      </c>
      <c r="F133" s="64">
        <v>11030850001</v>
      </c>
      <c r="G133" s="82" t="s">
        <v>25</v>
      </c>
      <c r="H133" s="64" t="s">
        <v>20</v>
      </c>
      <c r="I133" s="65">
        <v>-1353.7799999999997</v>
      </c>
      <c r="J133" s="65">
        <v>0</v>
      </c>
      <c r="K133" s="65">
        <v>3000</v>
      </c>
      <c r="L133" s="65">
        <v>2584.62</v>
      </c>
      <c r="M133" s="66">
        <v>0</v>
      </c>
      <c r="N133" s="88">
        <f>Tabela1[[#This Row],[1QZ DE DEZ 26]]-Tabela1[[#This Row],[SALDO FINAL]]-Tabela1[[#This Row],[SALDO CARTAO]]-Tabela1[[#This Row],[ADIANTAMENTO]]</f>
        <v>415.38000000000011</v>
      </c>
      <c r="O133" s="67">
        <f>(-Tabela1[[#This Row],[SALDO REEMBOLSAR]]*$O$4)</f>
        <v>270.75599999999997</v>
      </c>
      <c r="P133" s="90">
        <f>IF(Tabela1[[#This Row],[CARGA PARCIAL]]&lt;0,0,Tabela1[[#This Row],[CARGA PARCIAL]])</f>
        <v>415.38000000000011</v>
      </c>
      <c r="Q133" s="93">
        <f>IF(Tabela1[[#This Row],[CARGA PARCIAL]]&lt;0,0,Tabela1[[#This Row],[CARGA PARCIAL]])+Tabela1[[#This Row],[REEMBOLSO]]</f>
        <v>686.13600000000008</v>
      </c>
      <c r="R133" s="66" t="s">
        <v>21</v>
      </c>
      <c r="S133" s="70"/>
      <c r="T133" s="36"/>
      <c r="AW133"/>
      <c r="AX133"/>
      <c r="AY133"/>
    </row>
    <row r="134" spans="2:51" x14ac:dyDescent="0.25">
      <c r="B134" s="103" t="s">
        <v>796</v>
      </c>
      <c r="C134" s="102" t="s">
        <v>797</v>
      </c>
      <c r="D134" s="64" t="s">
        <v>17</v>
      </c>
      <c r="E134" s="64" t="s">
        <v>360</v>
      </c>
      <c r="F134" s="64">
        <v>11061720001</v>
      </c>
      <c r="G134" s="82" t="s">
        <v>244</v>
      </c>
      <c r="H134" s="64" t="s">
        <v>33</v>
      </c>
      <c r="I134" s="65">
        <v>-5.5499999999972403</v>
      </c>
      <c r="J134" s="65">
        <v>0</v>
      </c>
      <c r="K134" s="65">
        <v>800</v>
      </c>
      <c r="L134" s="65">
        <v>120.01</v>
      </c>
      <c r="M134" s="66">
        <v>0</v>
      </c>
      <c r="N134" s="88">
        <f>Tabela1[[#This Row],[1QZ DE DEZ 26]]-Tabela1[[#This Row],[SALDO FINAL]]-Tabela1[[#This Row],[SALDO CARTAO]]-Tabela1[[#This Row],[ADIANTAMENTO]]</f>
        <v>679.99</v>
      </c>
      <c r="O134" s="67">
        <f>-Tabela1[[#This Row],[SALDO REEMBOLSAR]]</f>
        <v>5.5499999999972403</v>
      </c>
      <c r="P134" s="122">
        <f>IF(Tabela1[[#This Row],[CARGA PARCIAL]]&lt;0,0,Tabela1[[#This Row],[CARGA PARCIAL]])</f>
        <v>679.99</v>
      </c>
      <c r="Q134" s="93">
        <f>IF(Tabela1[[#This Row],[CARGA PARCIAL]]&lt;0,0,Tabela1[[#This Row],[CARGA PARCIAL]])+Tabela1[[#This Row],[REEMBOLSO]]</f>
        <v>685.53999999999724</v>
      </c>
      <c r="R134" s="66" t="s">
        <v>21</v>
      </c>
      <c r="S134" s="70"/>
      <c r="T134" s="36"/>
      <c r="AW134"/>
      <c r="AX134"/>
      <c r="AY134"/>
    </row>
    <row r="135" spans="2:51" x14ac:dyDescent="0.25">
      <c r="B135" s="83" t="s">
        <v>361</v>
      </c>
      <c r="C135" s="64" t="s">
        <v>362</v>
      </c>
      <c r="D135" s="64" t="s">
        <v>17</v>
      </c>
      <c r="E135" s="64" t="s">
        <v>360</v>
      </c>
      <c r="F135" s="64">
        <v>11061720001</v>
      </c>
      <c r="G135" s="82" t="s">
        <v>244</v>
      </c>
      <c r="H135" s="64" t="s">
        <v>33</v>
      </c>
      <c r="I135" s="65">
        <v>0</v>
      </c>
      <c r="J135" s="65">
        <v>26.890000000002146</v>
      </c>
      <c r="K135" s="65">
        <v>750</v>
      </c>
      <c r="L135" s="65">
        <v>40</v>
      </c>
      <c r="M135" s="66">
        <v>0</v>
      </c>
      <c r="N135" s="88">
        <f>Tabela1[[#This Row],[1QZ DE DEZ 26]]-Tabela1[[#This Row],[SALDO FINAL]]-Tabela1[[#This Row],[SALDO CARTAO]]-Tabela1[[#This Row],[ADIANTAMENTO]]</f>
        <v>683.10999999999785</v>
      </c>
      <c r="O135" s="67">
        <f>(-Tabela1[[#This Row],[SALDO REEMBOLSAR]]*$O$4)</f>
        <v>0</v>
      </c>
      <c r="P135" s="90">
        <f>IF(Tabela1[[#This Row],[CARGA PARCIAL]]&lt;0,0,Tabela1[[#This Row],[CARGA PARCIAL]])</f>
        <v>683.10999999999785</v>
      </c>
      <c r="Q135" s="93">
        <f>IF(Tabela1[[#This Row],[CARGA PARCIAL]]&lt;0,0,Tabela1[[#This Row],[CARGA PARCIAL]])+Tabela1[[#This Row],[REEMBOLSO]]</f>
        <v>683.10999999999785</v>
      </c>
      <c r="R135" s="66" t="s">
        <v>21</v>
      </c>
      <c r="S135" s="70"/>
      <c r="T135" s="36"/>
      <c r="AW135"/>
      <c r="AX135"/>
      <c r="AY135"/>
    </row>
    <row r="136" spans="2:51" x14ac:dyDescent="0.25">
      <c r="B136" s="103" t="s">
        <v>396</v>
      </c>
      <c r="C136" s="102" t="s">
        <v>397</v>
      </c>
      <c r="D136" s="64" t="s">
        <v>17</v>
      </c>
      <c r="E136" s="64" t="s">
        <v>398</v>
      </c>
      <c r="F136" s="64">
        <v>11030730001</v>
      </c>
      <c r="G136" s="82" t="s">
        <v>1989</v>
      </c>
      <c r="H136" s="64" t="s">
        <v>20</v>
      </c>
      <c r="I136" s="65">
        <v>-459.36999999999796</v>
      </c>
      <c r="J136" s="65">
        <v>0</v>
      </c>
      <c r="K136" s="65">
        <v>640</v>
      </c>
      <c r="L136" s="65">
        <v>63.84</v>
      </c>
      <c r="M136" s="66">
        <v>0</v>
      </c>
      <c r="N136" s="88">
        <f>Tabela1[[#This Row],[1QZ DE DEZ 26]]-Tabela1[[#This Row],[SALDO FINAL]]-Tabela1[[#This Row],[SALDO CARTAO]]-Tabela1[[#This Row],[ADIANTAMENTO]]</f>
        <v>576.16</v>
      </c>
      <c r="O136" s="67">
        <f>(-Tabela1[[#This Row],[SALDO REEMBOLSAR]]*$O$4)</f>
        <v>91.873999999999597</v>
      </c>
      <c r="P136" s="122">
        <f>IF(Tabela1[[#This Row],[CARGA PARCIAL]]&lt;0,0,Tabela1[[#This Row],[CARGA PARCIAL]])</f>
        <v>576.16</v>
      </c>
      <c r="Q136" s="93">
        <f>IF(Tabela1[[#This Row],[CARGA PARCIAL]]&lt;0,0,Tabela1[[#This Row],[CARGA PARCIAL]])+Tabela1[[#This Row],[REEMBOLSO]]</f>
        <v>668.03399999999954</v>
      </c>
      <c r="R136" s="66" t="s">
        <v>21</v>
      </c>
      <c r="S136" s="70"/>
      <c r="T136" s="36"/>
      <c r="AW136"/>
      <c r="AX136"/>
      <c r="AY136"/>
    </row>
    <row r="137" spans="2:51" x14ac:dyDescent="0.25">
      <c r="B137" s="83" t="s">
        <v>381</v>
      </c>
      <c r="C137" s="64" t="s">
        <v>382</v>
      </c>
      <c r="D137" s="64" t="s">
        <v>17</v>
      </c>
      <c r="E137" s="64" t="s">
        <v>283</v>
      </c>
      <c r="F137" s="64">
        <v>11030870001</v>
      </c>
      <c r="G137" s="82" t="s">
        <v>284</v>
      </c>
      <c r="H137" s="64" t="s">
        <v>20</v>
      </c>
      <c r="I137" s="65">
        <v>0</v>
      </c>
      <c r="J137" s="65">
        <v>2436.8199999999979</v>
      </c>
      <c r="K137" s="65">
        <v>3250</v>
      </c>
      <c r="L137" s="65">
        <v>148.80000000000001</v>
      </c>
      <c r="M137" s="70">
        <v>0</v>
      </c>
      <c r="N137" s="88">
        <f>Tabela1[[#This Row],[1QZ DE DEZ 26]]-Tabela1[[#This Row],[SALDO FINAL]]-Tabela1[[#This Row],[SALDO CARTAO]]-Tabela1[[#This Row],[ADIANTAMENTO]]</f>
        <v>664.38000000000216</v>
      </c>
      <c r="O137" s="67">
        <f>(-Tabela1[[#This Row],[SALDO REEMBOLSAR]]*$O$4)</f>
        <v>0</v>
      </c>
      <c r="P137" s="90">
        <f>IF(Tabela1[[#This Row],[CARGA PARCIAL]]&lt;0,0,Tabela1[[#This Row],[CARGA PARCIAL]])</f>
        <v>664.38000000000216</v>
      </c>
      <c r="Q137" s="93">
        <f>IF(Tabela1[[#This Row],[CARGA PARCIAL]]&lt;0,0,Tabela1[[#This Row],[CARGA PARCIAL]])+Tabela1[[#This Row],[REEMBOLSO]]</f>
        <v>664.38000000000216</v>
      </c>
      <c r="R137" s="66" t="s">
        <v>21</v>
      </c>
      <c r="S137" s="70"/>
      <c r="T137" s="36"/>
      <c r="AW137"/>
      <c r="AX137"/>
      <c r="AY137"/>
    </row>
    <row r="138" spans="2:51" x14ac:dyDescent="0.25">
      <c r="B138" s="83" t="s">
        <v>743</v>
      </c>
      <c r="C138" s="64" t="s">
        <v>744</v>
      </c>
      <c r="D138" s="64" t="s">
        <v>17</v>
      </c>
      <c r="E138" s="64" t="s">
        <v>360</v>
      </c>
      <c r="F138" s="64">
        <v>11061720001</v>
      </c>
      <c r="G138" s="82" t="s">
        <v>244</v>
      </c>
      <c r="H138" s="64" t="s">
        <v>33</v>
      </c>
      <c r="I138" s="65">
        <v>0</v>
      </c>
      <c r="J138" s="65">
        <v>122.83999999999854</v>
      </c>
      <c r="K138" s="65">
        <v>800</v>
      </c>
      <c r="L138" s="65">
        <v>20.010000000000002</v>
      </c>
      <c r="M138" s="70">
        <v>0</v>
      </c>
      <c r="N138" s="88">
        <f>Tabela1[[#This Row],[1QZ DE DEZ 26]]-Tabela1[[#This Row],[SALDO FINAL]]-Tabela1[[#This Row],[SALDO CARTAO]]-Tabela1[[#This Row],[ADIANTAMENTO]]</f>
        <v>657.15000000000146</v>
      </c>
      <c r="O138" s="67">
        <f>(-Tabela1[[#This Row],[SALDO REEMBOLSAR]]*$O$4)</f>
        <v>0</v>
      </c>
      <c r="P138" s="90">
        <f>IF(Tabela1[[#This Row],[CARGA PARCIAL]]&lt;0,0,Tabela1[[#This Row],[CARGA PARCIAL]])</f>
        <v>657.15000000000146</v>
      </c>
      <c r="Q138" s="93">
        <f>IF(Tabela1[[#This Row],[CARGA PARCIAL]]&lt;0,0,Tabela1[[#This Row],[CARGA PARCIAL]])+Tabela1[[#This Row],[REEMBOLSO]]</f>
        <v>657.15000000000146</v>
      </c>
      <c r="R138" s="66" t="s">
        <v>21</v>
      </c>
      <c r="S138" s="70"/>
      <c r="T138" s="36"/>
      <c r="AW138"/>
      <c r="AX138"/>
      <c r="AY138"/>
    </row>
    <row r="139" spans="2:51" x14ac:dyDescent="0.25">
      <c r="B139" s="103" t="s">
        <v>757</v>
      </c>
      <c r="C139" s="102" t="s">
        <v>758</v>
      </c>
      <c r="D139" s="64" t="s">
        <v>17</v>
      </c>
      <c r="E139" s="64" t="s">
        <v>360</v>
      </c>
      <c r="F139" s="64">
        <v>11061720001</v>
      </c>
      <c r="G139" s="82" t="s">
        <v>244</v>
      </c>
      <c r="H139" s="64" t="s">
        <v>33</v>
      </c>
      <c r="I139" s="65">
        <v>-5.0000000000006821</v>
      </c>
      <c r="J139" s="65">
        <v>0</v>
      </c>
      <c r="K139" s="65">
        <v>800</v>
      </c>
      <c r="L139" s="65">
        <v>161.26</v>
      </c>
      <c r="M139" s="70">
        <v>0</v>
      </c>
      <c r="N139" s="88">
        <f>Tabela1[[#This Row],[1QZ DE DEZ 26]]-Tabela1[[#This Row],[SALDO FINAL]]-Tabela1[[#This Row],[SALDO CARTAO]]-Tabela1[[#This Row],[ADIANTAMENTO]]</f>
        <v>638.74</v>
      </c>
      <c r="O139" s="67">
        <f>-Tabela1[[#This Row],[SALDO REEMBOLSAR]]</f>
        <v>5.0000000000006821</v>
      </c>
      <c r="P139" s="122">
        <f>IF(Tabela1[[#This Row],[CARGA PARCIAL]]&lt;0,0,Tabela1[[#This Row],[CARGA PARCIAL]])</f>
        <v>638.74</v>
      </c>
      <c r="Q139" s="93">
        <f>IF(Tabela1[[#This Row],[CARGA PARCIAL]]&lt;0,0,Tabela1[[#This Row],[CARGA PARCIAL]])+Tabela1[[#This Row],[REEMBOLSO]]</f>
        <v>643.74000000000069</v>
      </c>
      <c r="R139" s="66" t="s">
        <v>21</v>
      </c>
      <c r="S139" s="70"/>
      <c r="T139" s="36"/>
      <c r="AW139"/>
      <c r="AX139"/>
      <c r="AY139"/>
    </row>
    <row r="140" spans="2:51" x14ac:dyDescent="0.25">
      <c r="B140" s="83" t="s">
        <v>822</v>
      </c>
      <c r="C140" s="64" t="s">
        <v>823</v>
      </c>
      <c r="D140" s="64" t="s">
        <v>17</v>
      </c>
      <c r="E140" s="64" t="s">
        <v>824</v>
      </c>
      <c r="F140" s="64">
        <v>11030900001</v>
      </c>
      <c r="G140" s="82" t="s">
        <v>19</v>
      </c>
      <c r="H140" s="64" t="s">
        <v>20</v>
      </c>
      <c r="I140" s="65">
        <v>-3216.1099999999997</v>
      </c>
      <c r="J140" s="65">
        <v>0</v>
      </c>
      <c r="K140" s="65">
        <v>1000</v>
      </c>
      <c r="L140" s="65">
        <v>1423.96</v>
      </c>
      <c r="M140" s="66">
        <v>0</v>
      </c>
      <c r="N140" s="88">
        <f>Tabela1[[#This Row],[1QZ DE DEZ 26]]-Tabela1[[#This Row],[SALDO FINAL]]-Tabela1[[#This Row],[SALDO CARTAO]]-Tabela1[[#This Row],[ADIANTAMENTO]]</f>
        <v>-423.96000000000004</v>
      </c>
      <c r="O140" s="67">
        <f>(-Tabela1[[#This Row],[SALDO REEMBOLSAR]]*$O$4)</f>
        <v>643.22199999999998</v>
      </c>
      <c r="P140" s="90">
        <f>IF(Tabela1[[#This Row],[CARGA PARCIAL]]&lt;0,0,Tabela1[[#This Row],[CARGA PARCIAL]])</f>
        <v>0</v>
      </c>
      <c r="Q140" s="93">
        <f>IF(Tabela1[[#This Row],[CARGA PARCIAL]]&lt;0,0,Tabela1[[#This Row],[CARGA PARCIAL]])+Tabela1[[#This Row],[REEMBOLSO]]</f>
        <v>643.22199999999998</v>
      </c>
      <c r="R140" s="66" t="s">
        <v>21</v>
      </c>
      <c r="S140" s="70"/>
      <c r="T140" s="36"/>
      <c r="AW140"/>
      <c r="AX140"/>
      <c r="AY140"/>
    </row>
    <row r="141" spans="2:51" x14ac:dyDescent="0.25">
      <c r="B141" s="103" t="s">
        <v>703</v>
      </c>
      <c r="C141" s="102" t="s">
        <v>704</v>
      </c>
      <c r="D141" s="64" t="s">
        <v>17</v>
      </c>
      <c r="E141" s="64" t="s">
        <v>360</v>
      </c>
      <c r="F141" s="64">
        <v>11061720001</v>
      </c>
      <c r="G141" s="82" t="s">
        <v>244</v>
      </c>
      <c r="H141" s="64" t="s">
        <v>33</v>
      </c>
      <c r="I141" s="65">
        <v>0</v>
      </c>
      <c r="J141" s="65">
        <v>159.89000000000124</v>
      </c>
      <c r="K141" s="65">
        <v>800</v>
      </c>
      <c r="L141" s="65">
        <v>2</v>
      </c>
      <c r="M141" s="70">
        <v>0</v>
      </c>
      <c r="N141" s="88">
        <f>Tabela1[[#This Row],[1QZ DE DEZ 26]]-Tabela1[[#This Row],[SALDO FINAL]]-Tabela1[[#This Row],[SALDO CARTAO]]-Tabela1[[#This Row],[ADIANTAMENTO]]</f>
        <v>638.10999999999876</v>
      </c>
      <c r="O141" s="67">
        <f>(-Tabela1[[#This Row],[SALDO REEMBOLSAR]]*$O$4)</f>
        <v>0</v>
      </c>
      <c r="P141" s="122">
        <f>IF(Tabela1[[#This Row],[CARGA PARCIAL]]&lt;0,0,Tabela1[[#This Row],[CARGA PARCIAL]])</f>
        <v>638.10999999999876</v>
      </c>
      <c r="Q141" s="93">
        <f>IF(Tabela1[[#This Row],[CARGA PARCIAL]]&lt;0,0,Tabela1[[#This Row],[CARGA PARCIAL]])+Tabela1[[#This Row],[REEMBOLSO]]</f>
        <v>638.10999999999876</v>
      </c>
      <c r="R141" s="66" t="s">
        <v>21</v>
      </c>
      <c r="S141" s="70"/>
      <c r="T141" s="36"/>
      <c r="AW141"/>
      <c r="AX141"/>
      <c r="AY141"/>
    </row>
    <row r="142" spans="2:51" x14ac:dyDescent="0.25">
      <c r="B142" s="83" t="s">
        <v>233</v>
      </c>
      <c r="C142" s="64" t="s">
        <v>234</v>
      </c>
      <c r="D142" s="64" t="s">
        <v>17</v>
      </c>
      <c r="E142" s="64" t="s">
        <v>235</v>
      </c>
      <c r="F142" s="64">
        <v>11010140001</v>
      </c>
      <c r="G142" s="82" t="s">
        <v>236</v>
      </c>
      <c r="H142" s="64" t="s">
        <v>33</v>
      </c>
      <c r="I142" s="65">
        <v>0</v>
      </c>
      <c r="J142" s="65">
        <v>102.82999999999936</v>
      </c>
      <c r="K142" s="65">
        <v>800</v>
      </c>
      <c r="L142" s="65">
        <v>59.87</v>
      </c>
      <c r="M142" s="70">
        <v>0</v>
      </c>
      <c r="N142" s="88">
        <f>Tabela1[[#This Row],[1QZ DE DEZ 26]]-Tabela1[[#This Row],[SALDO FINAL]]-Tabela1[[#This Row],[SALDO CARTAO]]-Tabela1[[#This Row],[ADIANTAMENTO]]</f>
        <v>637.30000000000064</v>
      </c>
      <c r="O142" s="67">
        <f>(-Tabela1[[#This Row],[SALDO REEMBOLSAR]]*$O$4)</f>
        <v>0</v>
      </c>
      <c r="P142" s="90">
        <f>IF(Tabela1[[#This Row],[CARGA PARCIAL]]&lt;0,0,Tabela1[[#This Row],[CARGA PARCIAL]])</f>
        <v>637.30000000000064</v>
      </c>
      <c r="Q142" s="93">
        <f>IF(Tabela1[[#This Row],[CARGA PARCIAL]]&lt;0,0,Tabela1[[#This Row],[CARGA PARCIAL]])+Tabela1[[#This Row],[REEMBOLSO]]</f>
        <v>637.30000000000064</v>
      </c>
      <c r="R142" s="66" t="s">
        <v>21</v>
      </c>
      <c r="S142" s="70"/>
      <c r="T142" s="36"/>
      <c r="AW142"/>
      <c r="AX142"/>
      <c r="AY142"/>
    </row>
    <row r="143" spans="2:51" x14ac:dyDescent="0.25">
      <c r="B143" s="83" t="s">
        <v>598</v>
      </c>
      <c r="C143" s="64" t="s">
        <v>599</v>
      </c>
      <c r="D143" s="64" t="s">
        <v>17</v>
      </c>
      <c r="E143" s="64" t="s">
        <v>265</v>
      </c>
      <c r="F143" s="64">
        <v>1201005</v>
      </c>
      <c r="G143" s="82" t="s">
        <v>236</v>
      </c>
      <c r="H143" s="64" t="s">
        <v>33</v>
      </c>
      <c r="I143" s="65">
        <v>-686.13999999999908</v>
      </c>
      <c r="J143" s="65">
        <v>0</v>
      </c>
      <c r="K143" s="65">
        <v>1500</v>
      </c>
      <c r="L143" s="65">
        <v>1006.85</v>
      </c>
      <c r="M143" s="70">
        <v>0</v>
      </c>
      <c r="N143" s="88">
        <f>Tabela1[[#This Row],[1QZ DE DEZ 26]]-Tabela1[[#This Row],[SALDO FINAL]]-Tabela1[[#This Row],[SALDO CARTAO]]-Tabela1[[#This Row],[ADIANTAMENTO]]</f>
        <v>493.15</v>
      </c>
      <c r="O143" s="67">
        <f>(-Tabela1[[#This Row],[SALDO REEMBOLSAR]]*$O$4)</f>
        <v>137.22799999999981</v>
      </c>
      <c r="P143" s="90">
        <f>IF(Tabela1[[#This Row],[CARGA PARCIAL]]&lt;0,0,Tabela1[[#This Row],[CARGA PARCIAL]])</f>
        <v>493.15</v>
      </c>
      <c r="Q143" s="93">
        <f>IF(Tabela1[[#This Row],[CARGA PARCIAL]]&lt;0,0,Tabela1[[#This Row],[CARGA PARCIAL]])+Tabela1[[#This Row],[REEMBOLSO]]</f>
        <v>630.37799999999982</v>
      </c>
      <c r="R143" s="66" t="s">
        <v>21</v>
      </c>
      <c r="S143" s="70" t="s">
        <v>76</v>
      </c>
      <c r="T143" s="36"/>
      <c r="AW143"/>
      <c r="AX143"/>
      <c r="AY143"/>
    </row>
    <row r="144" spans="2:51" x14ac:dyDescent="0.25">
      <c r="B144" s="83" t="s">
        <v>491</v>
      </c>
      <c r="C144" s="64" t="s">
        <v>492</v>
      </c>
      <c r="D144" s="64" t="s">
        <v>17</v>
      </c>
      <c r="E144" s="64" t="s">
        <v>360</v>
      </c>
      <c r="F144" s="64">
        <v>11061720001</v>
      </c>
      <c r="G144" s="82" t="s">
        <v>244</v>
      </c>
      <c r="H144" s="64" t="s">
        <v>33</v>
      </c>
      <c r="I144" s="65">
        <v>0</v>
      </c>
      <c r="J144" s="65">
        <v>165.23000000000411</v>
      </c>
      <c r="K144" s="65">
        <v>800</v>
      </c>
      <c r="L144" s="65">
        <v>10</v>
      </c>
      <c r="M144" s="66">
        <v>0</v>
      </c>
      <c r="N144" s="88">
        <f>Tabela1[[#This Row],[1QZ DE DEZ 26]]-Tabela1[[#This Row],[SALDO FINAL]]-Tabela1[[#This Row],[SALDO CARTAO]]-Tabela1[[#This Row],[ADIANTAMENTO]]</f>
        <v>624.76999999999589</v>
      </c>
      <c r="O144" s="67">
        <f>(-Tabela1[[#This Row],[SALDO REEMBOLSAR]]*$O$4)</f>
        <v>0</v>
      </c>
      <c r="P144" s="90">
        <f>IF(Tabela1[[#This Row],[CARGA PARCIAL]]&lt;0,0,Tabela1[[#This Row],[CARGA PARCIAL]])</f>
        <v>624.76999999999589</v>
      </c>
      <c r="Q144" s="93">
        <f>IF(Tabela1[[#This Row],[CARGA PARCIAL]]&lt;0,0,Tabela1[[#This Row],[CARGA PARCIAL]])+Tabela1[[#This Row],[REEMBOLSO]]</f>
        <v>624.76999999999589</v>
      </c>
      <c r="R144" s="66" t="s">
        <v>21</v>
      </c>
      <c r="S144" s="70"/>
      <c r="T144" s="36"/>
      <c r="AW144"/>
      <c r="AX144"/>
      <c r="AY144"/>
    </row>
    <row r="145" spans="2:51" x14ac:dyDescent="0.25">
      <c r="B145" s="103" t="s">
        <v>697</v>
      </c>
      <c r="C145" s="102" t="s">
        <v>698</v>
      </c>
      <c r="D145" s="64" t="s">
        <v>17</v>
      </c>
      <c r="E145" s="64" t="s">
        <v>24</v>
      </c>
      <c r="F145" s="64">
        <v>11040160001</v>
      </c>
      <c r="G145" s="82" t="s">
        <v>25</v>
      </c>
      <c r="H145" s="64" t="s">
        <v>20</v>
      </c>
      <c r="I145" s="65">
        <v>0</v>
      </c>
      <c r="J145" s="65">
        <v>178.54999999999976</v>
      </c>
      <c r="K145" s="65">
        <v>800</v>
      </c>
      <c r="L145" s="65">
        <v>0.98</v>
      </c>
      <c r="M145" s="70">
        <v>0</v>
      </c>
      <c r="N145" s="88">
        <f>Tabela1[[#This Row],[1QZ DE DEZ 26]]-Tabela1[[#This Row],[SALDO FINAL]]-Tabela1[[#This Row],[SALDO CARTAO]]-Tabela1[[#This Row],[ADIANTAMENTO]]</f>
        <v>620.47000000000025</v>
      </c>
      <c r="O145" s="67">
        <f>(-Tabela1[[#This Row],[SALDO REEMBOLSAR]]*$O$4)</f>
        <v>0</v>
      </c>
      <c r="P145" s="122">
        <f>IF(Tabela1[[#This Row],[CARGA PARCIAL]]&lt;0,0,Tabela1[[#This Row],[CARGA PARCIAL]])</f>
        <v>620.47000000000025</v>
      </c>
      <c r="Q145" s="93">
        <f>IF(Tabela1[[#This Row],[CARGA PARCIAL]]&lt;0,0,Tabela1[[#This Row],[CARGA PARCIAL]])+Tabela1[[#This Row],[REEMBOLSO]]</f>
        <v>620.47000000000025</v>
      </c>
      <c r="R145" s="66" t="s">
        <v>21</v>
      </c>
      <c r="S145" s="70"/>
      <c r="T145" s="36"/>
      <c r="AW145"/>
      <c r="AX145"/>
      <c r="AY145"/>
    </row>
    <row r="146" spans="2:51" x14ac:dyDescent="0.25">
      <c r="B146" s="83" t="s">
        <v>557</v>
      </c>
      <c r="C146" s="64" t="s">
        <v>558</v>
      </c>
      <c r="D146" s="64" t="s">
        <v>17</v>
      </c>
      <c r="E146" s="64" t="s">
        <v>290</v>
      </c>
      <c r="F146" s="64">
        <v>11010370001</v>
      </c>
      <c r="G146" s="82" t="s">
        <v>244</v>
      </c>
      <c r="H146" s="64" t="s">
        <v>33</v>
      </c>
      <c r="I146" s="65">
        <v>0</v>
      </c>
      <c r="J146" s="65">
        <v>287.83999999999946</v>
      </c>
      <c r="K146" s="65">
        <v>1000</v>
      </c>
      <c r="L146" s="65">
        <v>96.47</v>
      </c>
      <c r="M146" s="70">
        <v>0</v>
      </c>
      <c r="N146" s="88">
        <f>Tabela1[[#This Row],[1QZ DE DEZ 26]]-Tabela1[[#This Row],[SALDO FINAL]]-Tabela1[[#This Row],[SALDO CARTAO]]-Tabela1[[#This Row],[ADIANTAMENTO]]</f>
        <v>615.69000000000051</v>
      </c>
      <c r="O146" s="67">
        <f>(-Tabela1[[#This Row],[SALDO REEMBOLSAR]]*$O$4)</f>
        <v>0</v>
      </c>
      <c r="P146" s="90">
        <f>IF(Tabela1[[#This Row],[CARGA PARCIAL]]&lt;0,0,Tabela1[[#This Row],[CARGA PARCIAL]])</f>
        <v>615.69000000000051</v>
      </c>
      <c r="Q146" s="93">
        <f>IF(Tabela1[[#This Row],[CARGA PARCIAL]]&lt;0,0,Tabela1[[#This Row],[CARGA PARCIAL]])+Tabela1[[#This Row],[REEMBOLSO]]</f>
        <v>615.69000000000051</v>
      </c>
      <c r="R146" s="66" t="s">
        <v>21</v>
      </c>
      <c r="S146" s="70"/>
      <c r="T146" s="36"/>
      <c r="AW146"/>
      <c r="AX146"/>
      <c r="AY146"/>
    </row>
    <row r="147" spans="2:51" x14ac:dyDescent="0.25">
      <c r="B147" s="83" t="s">
        <v>220</v>
      </c>
      <c r="C147" s="64" t="s">
        <v>221</v>
      </c>
      <c r="D147" s="64" t="s">
        <v>17</v>
      </c>
      <c r="E147" s="64" t="s">
        <v>18</v>
      </c>
      <c r="F147" s="64">
        <v>11040170001</v>
      </c>
      <c r="G147" s="82" t="s">
        <v>19</v>
      </c>
      <c r="H147" s="64" t="s">
        <v>20</v>
      </c>
      <c r="I147" s="65">
        <v>0</v>
      </c>
      <c r="J147" s="65">
        <v>306.97000000000094</v>
      </c>
      <c r="K147" s="65">
        <v>1000</v>
      </c>
      <c r="L147" s="65">
        <v>96.03</v>
      </c>
      <c r="M147" s="70">
        <v>0</v>
      </c>
      <c r="N147" s="88">
        <f>Tabela1[[#This Row],[1QZ DE DEZ 26]]-Tabela1[[#This Row],[SALDO FINAL]]-Tabela1[[#This Row],[SALDO CARTAO]]-Tabela1[[#This Row],[ADIANTAMENTO]]</f>
        <v>596.99999999999909</v>
      </c>
      <c r="O147" s="67">
        <f>(-Tabela1[[#This Row],[SALDO REEMBOLSAR]]*$O$4)</f>
        <v>0</v>
      </c>
      <c r="P147" s="90">
        <f>IF(Tabela1[[#This Row],[CARGA PARCIAL]]&lt;0,0,Tabela1[[#This Row],[CARGA PARCIAL]])</f>
        <v>596.99999999999909</v>
      </c>
      <c r="Q147" s="93">
        <f>IF(Tabela1[[#This Row],[CARGA PARCIAL]]&lt;0,0,Tabela1[[#This Row],[CARGA PARCIAL]])+Tabela1[[#This Row],[REEMBOLSO]]</f>
        <v>596.99999999999909</v>
      </c>
      <c r="R147" s="66" t="s">
        <v>21</v>
      </c>
      <c r="S147" s="70"/>
      <c r="T147" s="36"/>
      <c r="AW147"/>
      <c r="AX147"/>
      <c r="AY147"/>
    </row>
    <row r="148" spans="2:51" x14ac:dyDescent="0.25">
      <c r="B148" s="83" t="s">
        <v>365</v>
      </c>
      <c r="C148" s="64" t="s">
        <v>366</v>
      </c>
      <c r="D148" s="64" t="s">
        <v>17</v>
      </c>
      <c r="E148" s="64" t="s">
        <v>360</v>
      </c>
      <c r="F148" s="64">
        <v>11061720001</v>
      </c>
      <c r="G148" s="82" t="s">
        <v>244</v>
      </c>
      <c r="H148" s="64" t="s">
        <v>33</v>
      </c>
      <c r="I148" s="65">
        <v>0</v>
      </c>
      <c r="J148" s="65">
        <v>123.37000000000553</v>
      </c>
      <c r="K148" s="65">
        <v>800</v>
      </c>
      <c r="L148" s="65">
        <v>80.8</v>
      </c>
      <c r="M148" s="84">
        <v>0</v>
      </c>
      <c r="N148" s="88">
        <f>Tabela1[[#This Row],[1QZ DE DEZ 26]]-Tabela1[[#This Row],[SALDO FINAL]]-Tabela1[[#This Row],[SALDO CARTAO]]-Tabela1[[#This Row],[ADIANTAMENTO]]</f>
        <v>595.82999999999447</v>
      </c>
      <c r="O148" s="67">
        <f>(-Tabela1[[#This Row],[SALDO REEMBOLSAR]]*$O$4)</f>
        <v>0</v>
      </c>
      <c r="P148" s="90">
        <f>IF(Tabela1[[#This Row],[CARGA PARCIAL]]&lt;0,0,Tabela1[[#This Row],[CARGA PARCIAL]])</f>
        <v>595.82999999999447</v>
      </c>
      <c r="Q148" s="93">
        <f>IF(Tabela1[[#This Row],[CARGA PARCIAL]]&lt;0,0,Tabela1[[#This Row],[CARGA PARCIAL]])+Tabela1[[#This Row],[REEMBOLSO]]</f>
        <v>595.82999999999447</v>
      </c>
      <c r="R148" s="66" t="s">
        <v>21</v>
      </c>
      <c r="S148" s="70"/>
      <c r="T148" s="36"/>
      <c r="AW148"/>
      <c r="AX148"/>
      <c r="AY148"/>
    </row>
    <row r="149" spans="2:51" x14ac:dyDescent="0.25">
      <c r="B149" s="83" t="s">
        <v>202</v>
      </c>
      <c r="C149" s="64" t="s">
        <v>203</v>
      </c>
      <c r="D149" s="64" t="s">
        <v>17</v>
      </c>
      <c r="E149" s="64" t="s">
        <v>204</v>
      </c>
      <c r="F149" s="64">
        <v>11062600001</v>
      </c>
      <c r="G149" s="82" t="s">
        <v>19</v>
      </c>
      <c r="H149" s="64" t="s">
        <v>20</v>
      </c>
      <c r="I149" s="65">
        <v>0</v>
      </c>
      <c r="J149" s="65">
        <v>51.429999999999339</v>
      </c>
      <c r="K149" s="65">
        <v>700</v>
      </c>
      <c r="L149" s="65">
        <v>64.540000000000006</v>
      </c>
      <c r="M149" s="84">
        <v>0</v>
      </c>
      <c r="N149" s="88">
        <f>Tabela1[[#This Row],[1QZ DE DEZ 26]]-Tabela1[[#This Row],[SALDO FINAL]]-Tabela1[[#This Row],[SALDO CARTAO]]-Tabela1[[#This Row],[ADIANTAMENTO]]</f>
        <v>584.03000000000065</v>
      </c>
      <c r="O149" s="67">
        <f>(-Tabela1[[#This Row],[SALDO REEMBOLSAR]]*$O$4)</f>
        <v>0</v>
      </c>
      <c r="P149" s="90">
        <f>IF(Tabela1[[#This Row],[CARGA PARCIAL]]&lt;0,0,Tabela1[[#This Row],[CARGA PARCIAL]])</f>
        <v>584.03000000000065</v>
      </c>
      <c r="Q149" s="93">
        <f>IF(Tabela1[[#This Row],[CARGA PARCIAL]]&lt;0,0,Tabela1[[#This Row],[CARGA PARCIAL]])+Tabela1[[#This Row],[REEMBOLSO]]</f>
        <v>584.03000000000065</v>
      </c>
      <c r="R149" s="66" t="s">
        <v>21</v>
      </c>
      <c r="S149" s="70"/>
      <c r="T149" s="36"/>
      <c r="AW149"/>
      <c r="AX149"/>
      <c r="AY149"/>
    </row>
    <row r="150" spans="2:51" x14ac:dyDescent="0.25">
      <c r="B150" s="83" t="s">
        <v>388</v>
      </c>
      <c r="C150" s="64" t="s">
        <v>389</v>
      </c>
      <c r="D150" s="64" t="s">
        <v>17</v>
      </c>
      <c r="E150" s="64" t="s">
        <v>1617</v>
      </c>
      <c r="F150" s="64">
        <v>11062660001</v>
      </c>
      <c r="G150" s="82" t="s">
        <v>236</v>
      </c>
      <c r="H150" s="64" t="s">
        <v>33</v>
      </c>
      <c r="I150" s="65">
        <v>0</v>
      </c>
      <c r="J150" s="65">
        <v>117.33000000000027</v>
      </c>
      <c r="K150" s="65">
        <v>750</v>
      </c>
      <c r="L150" s="65">
        <v>71.37</v>
      </c>
      <c r="M150" s="84">
        <v>0</v>
      </c>
      <c r="N150" s="88">
        <f>Tabela1[[#This Row],[1QZ DE DEZ 26]]-Tabela1[[#This Row],[SALDO FINAL]]-Tabela1[[#This Row],[SALDO CARTAO]]-Tabela1[[#This Row],[ADIANTAMENTO]]</f>
        <v>561.29999999999973</v>
      </c>
      <c r="O150" s="67">
        <f>(-Tabela1[[#This Row],[SALDO REEMBOLSAR]]*$O$4)</f>
        <v>0</v>
      </c>
      <c r="P150" s="90">
        <f>IF(Tabela1[[#This Row],[CARGA PARCIAL]]&lt;0,0,Tabela1[[#This Row],[CARGA PARCIAL]])</f>
        <v>561.29999999999973</v>
      </c>
      <c r="Q150" s="93">
        <f>IF(Tabela1[[#This Row],[CARGA PARCIAL]]&lt;0,0,Tabela1[[#This Row],[CARGA PARCIAL]])+Tabela1[[#This Row],[REEMBOLSO]]</f>
        <v>561.29999999999973</v>
      </c>
      <c r="R150" s="66" t="s">
        <v>21</v>
      </c>
      <c r="S150" s="70"/>
      <c r="T150" s="36"/>
      <c r="AW150"/>
      <c r="AX150"/>
      <c r="AY150"/>
    </row>
    <row r="151" spans="2:51" x14ac:dyDescent="0.25">
      <c r="B151" s="103" t="s">
        <v>463</v>
      </c>
      <c r="C151" s="102" t="s">
        <v>464</v>
      </c>
      <c r="D151" s="64" t="s">
        <v>17</v>
      </c>
      <c r="E151" s="64" t="s">
        <v>360</v>
      </c>
      <c r="F151" s="64">
        <v>11061720001</v>
      </c>
      <c r="G151" s="82" t="s">
        <v>244</v>
      </c>
      <c r="H151" s="64" t="s">
        <v>33</v>
      </c>
      <c r="I151" s="65">
        <v>-481.14999999999611</v>
      </c>
      <c r="J151" s="65">
        <v>0</v>
      </c>
      <c r="K151" s="65">
        <v>600</v>
      </c>
      <c r="L151" s="65">
        <v>142.08000000000001</v>
      </c>
      <c r="M151" s="84">
        <v>0</v>
      </c>
      <c r="N151" s="88">
        <f>Tabela1[[#This Row],[1QZ DE DEZ 26]]-Tabela1[[#This Row],[SALDO FINAL]]-Tabela1[[#This Row],[SALDO CARTAO]]-Tabela1[[#This Row],[ADIANTAMENTO]]</f>
        <v>457.91999999999996</v>
      </c>
      <c r="O151" s="67">
        <f>(-Tabela1[[#This Row],[SALDO REEMBOLSAR]]*$O$4)</f>
        <v>96.229999999999222</v>
      </c>
      <c r="P151" s="122">
        <f>IF(Tabela1[[#This Row],[CARGA PARCIAL]]&lt;0,0,Tabela1[[#This Row],[CARGA PARCIAL]])</f>
        <v>457.91999999999996</v>
      </c>
      <c r="Q151" s="93">
        <f>IF(Tabela1[[#This Row],[CARGA PARCIAL]]&lt;0,0,Tabela1[[#This Row],[CARGA PARCIAL]])+Tabela1[[#This Row],[REEMBOLSO]]</f>
        <v>554.14999999999918</v>
      </c>
      <c r="R151" s="66" t="s">
        <v>21</v>
      </c>
      <c r="S151" s="70"/>
      <c r="T151" s="36"/>
      <c r="AW151"/>
      <c r="AX151"/>
      <c r="AY151"/>
    </row>
    <row r="152" spans="2:51" x14ac:dyDescent="0.25">
      <c r="B152" s="83" t="s">
        <v>449</v>
      </c>
      <c r="C152" s="64" t="s">
        <v>450</v>
      </c>
      <c r="D152" s="64" t="s">
        <v>17</v>
      </c>
      <c r="E152" s="64" t="s">
        <v>360</v>
      </c>
      <c r="F152" s="64">
        <v>11061720001</v>
      </c>
      <c r="G152" s="82" t="s">
        <v>244</v>
      </c>
      <c r="H152" s="64" t="s">
        <v>33</v>
      </c>
      <c r="I152" s="65">
        <v>0</v>
      </c>
      <c r="J152" s="65">
        <v>183.17999999999938</v>
      </c>
      <c r="K152" s="65">
        <v>800</v>
      </c>
      <c r="L152" s="65">
        <v>64</v>
      </c>
      <c r="M152" s="84">
        <v>0</v>
      </c>
      <c r="N152" s="88">
        <f>Tabela1[[#This Row],[1QZ DE DEZ 26]]-Tabela1[[#This Row],[SALDO FINAL]]-Tabela1[[#This Row],[SALDO CARTAO]]-Tabela1[[#This Row],[ADIANTAMENTO]]</f>
        <v>552.82000000000062</v>
      </c>
      <c r="O152" s="67">
        <f>(-Tabela1[[#This Row],[SALDO REEMBOLSAR]]*$O$4)</f>
        <v>0</v>
      </c>
      <c r="P152" s="90">
        <f>IF(Tabela1[[#This Row],[CARGA PARCIAL]]&lt;0,0,Tabela1[[#This Row],[CARGA PARCIAL]])</f>
        <v>552.82000000000062</v>
      </c>
      <c r="Q152" s="93">
        <f>IF(Tabela1[[#This Row],[CARGA PARCIAL]]&lt;0,0,Tabela1[[#This Row],[CARGA PARCIAL]])+Tabela1[[#This Row],[REEMBOLSO]]</f>
        <v>552.82000000000062</v>
      </c>
      <c r="R152" s="66" t="s">
        <v>21</v>
      </c>
      <c r="S152" s="70"/>
      <c r="AY152"/>
    </row>
    <row r="153" spans="2:51" x14ac:dyDescent="0.25">
      <c r="B153" s="83" t="s">
        <v>602</v>
      </c>
      <c r="C153" s="64" t="s">
        <v>603</v>
      </c>
      <c r="D153" s="64" t="s">
        <v>17</v>
      </c>
      <c r="E153" s="64" t="s">
        <v>360</v>
      </c>
      <c r="F153" s="64">
        <v>11061720001</v>
      </c>
      <c r="G153" s="82" t="s">
        <v>244</v>
      </c>
      <c r="H153" s="64" t="s">
        <v>33</v>
      </c>
      <c r="I153" s="65">
        <v>0</v>
      </c>
      <c r="J153" s="65">
        <v>250.54999999999552</v>
      </c>
      <c r="K153" s="65">
        <v>800</v>
      </c>
      <c r="L153" s="65">
        <v>0.87</v>
      </c>
      <c r="M153" s="66">
        <v>0</v>
      </c>
      <c r="N153" s="88">
        <f>Tabela1[[#This Row],[1QZ DE DEZ 26]]-Tabela1[[#This Row],[SALDO FINAL]]-Tabela1[[#This Row],[SALDO CARTAO]]-Tabela1[[#This Row],[ADIANTAMENTO]]</f>
        <v>548.58000000000447</v>
      </c>
      <c r="O153" s="67">
        <f>(-Tabela1[[#This Row],[SALDO REEMBOLSAR]]*$O$4)</f>
        <v>0</v>
      </c>
      <c r="P153" s="90">
        <f>IF(Tabela1[[#This Row],[CARGA PARCIAL]]&lt;0,0,Tabela1[[#This Row],[CARGA PARCIAL]])</f>
        <v>548.58000000000447</v>
      </c>
      <c r="Q153" s="93">
        <f>IF(Tabela1[[#This Row],[CARGA PARCIAL]]&lt;0,0,Tabela1[[#This Row],[CARGA PARCIAL]])+Tabela1[[#This Row],[REEMBOLSO]]</f>
        <v>548.58000000000447</v>
      </c>
      <c r="R153" s="66" t="s">
        <v>21</v>
      </c>
      <c r="S153" s="70"/>
      <c r="AY153"/>
    </row>
    <row r="154" spans="2:51" x14ac:dyDescent="0.25">
      <c r="B154" s="83" t="s">
        <v>285</v>
      </c>
      <c r="C154" s="64" t="s">
        <v>286</v>
      </c>
      <c r="D154" s="64" t="s">
        <v>17</v>
      </c>
      <c r="E154" s="64" t="s">
        <v>186</v>
      </c>
      <c r="F154" s="64">
        <v>1201017</v>
      </c>
      <c r="G154" s="82" t="s">
        <v>25</v>
      </c>
      <c r="H154" s="64" t="s">
        <v>20</v>
      </c>
      <c r="I154" s="65">
        <v>-248.29000000000036</v>
      </c>
      <c r="J154" s="65">
        <v>0</v>
      </c>
      <c r="K154" s="65">
        <v>500</v>
      </c>
      <c r="L154" s="65">
        <v>5.94</v>
      </c>
      <c r="M154" s="84">
        <v>0</v>
      </c>
      <c r="N154" s="88">
        <f>Tabela1[[#This Row],[1QZ DE DEZ 26]]-Tabela1[[#This Row],[SALDO FINAL]]-Tabela1[[#This Row],[SALDO CARTAO]]-Tabela1[[#This Row],[ADIANTAMENTO]]</f>
        <v>494.06</v>
      </c>
      <c r="O154" s="67">
        <f>(-Tabela1[[#This Row],[SALDO REEMBOLSAR]]*$O$4)</f>
        <v>49.658000000000072</v>
      </c>
      <c r="P154" s="90">
        <f>IF(Tabela1[[#This Row],[CARGA PARCIAL]]&lt;0,0,Tabela1[[#This Row],[CARGA PARCIAL]])</f>
        <v>494.06</v>
      </c>
      <c r="Q154" s="93">
        <f>IF(Tabela1[[#This Row],[CARGA PARCIAL]]&lt;0,0,Tabela1[[#This Row],[CARGA PARCIAL]])+Tabela1[[#This Row],[REEMBOLSO]]</f>
        <v>543.71800000000007</v>
      </c>
      <c r="R154" s="66" t="s">
        <v>21</v>
      </c>
      <c r="S154" s="70"/>
      <c r="AY154"/>
    </row>
    <row r="155" spans="2:51" x14ac:dyDescent="0.25">
      <c r="B155" s="83" t="s">
        <v>502</v>
      </c>
      <c r="C155" s="64" t="s">
        <v>503</v>
      </c>
      <c r="D155" s="64" t="s">
        <v>17</v>
      </c>
      <c r="E155" s="64" t="s">
        <v>360</v>
      </c>
      <c r="F155" s="64">
        <v>11061720001</v>
      </c>
      <c r="G155" s="82" t="s">
        <v>244</v>
      </c>
      <c r="H155" s="64" t="s">
        <v>33</v>
      </c>
      <c r="I155" s="65">
        <v>0</v>
      </c>
      <c r="J155" s="65">
        <v>258.03000000000003</v>
      </c>
      <c r="K155" s="65">
        <v>800</v>
      </c>
      <c r="L155" s="65">
        <v>0.68</v>
      </c>
      <c r="M155" s="84">
        <v>0</v>
      </c>
      <c r="N155" s="88">
        <f>Tabela1[[#This Row],[1QZ DE DEZ 26]]-Tabela1[[#This Row],[SALDO FINAL]]-Tabela1[[#This Row],[SALDO CARTAO]]-Tabela1[[#This Row],[ADIANTAMENTO]]</f>
        <v>541.29000000000008</v>
      </c>
      <c r="O155" s="67">
        <f>(-Tabela1[[#This Row],[SALDO REEMBOLSAR]]*$O$4)</f>
        <v>0</v>
      </c>
      <c r="P155" s="90">
        <f>IF(Tabela1[[#This Row],[CARGA PARCIAL]]&lt;0,0,Tabela1[[#This Row],[CARGA PARCIAL]])</f>
        <v>541.29000000000008</v>
      </c>
      <c r="Q155" s="93">
        <f>IF(Tabela1[[#This Row],[CARGA PARCIAL]]&lt;0,0,Tabela1[[#This Row],[CARGA PARCIAL]])+Tabela1[[#This Row],[REEMBOLSO]]</f>
        <v>541.29000000000008</v>
      </c>
      <c r="R155" s="66" t="s">
        <v>21</v>
      </c>
      <c r="S155" s="70"/>
      <c r="AY155"/>
    </row>
    <row r="156" spans="2:51" x14ac:dyDescent="0.25">
      <c r="B156" s="103" t="s">
        <v>1359</v>
      </c>
      <c r="C156" s="102" t="s">
        <v>1893</v>
      </c>
      <c r="D156" s="64" t="s">
        <v>17</v>
      </c>
      <c r="E156" s="64" t="s">
        <v>488</v>
      </c>
      <c r="F156" s="64">
        <v>11061820001</v>
      </c>
      <c r="G156" s="82" t="s">
        <v>236</v>
      </c>
      <c r="H156" s="64" t="s">
        <v>33</v>
      </c>
      <c r="I156" s="65">
        <v>-226.95999999999924</v>
      </c>
      <c r="J156" s="65">
        <v>0</v>
      </c>
      <c r="K156" s="65">
        <v>500</v>
      </c>
      <c r="L156" s="65">
        <v>9.1199999999999992</v>
      </c>
      <c r="M156" s="84">
        <v>0</v>
      </c>
      <c r="N156" s="88">
        <f>Tabela1[[#This Row],[1QZ DE DEZ 26]]-Tabela1[[#This Row],[SALDO FINAL]]-Tabela1[[#This Row],[SALDO CARTAO]]-Tabela1[[#This Row],[ADIANTAMENTO]]</f>
        <v>490.88</v>
      </c>
      <c r="O156" s="67">
        <f>(-Tabela1[[#This Row],[SALDO REEMBOLSAR]]*$O$4)</f>
        <v>45.391999999999854</v>
      </c>
      <c r="P156" s="122">
        <f>IF(Tabela1[[#This Row],[CARGA PARCIAL]]&lt;0,0,Tabela1[[#This Row],[CARGA PARCIAL]])</f>
        <v>490.88</v>
      </c>
      <c r="Q156" s="93">
        <f>IF(Tabela1[[#This Row],[CARGA PARCIAL]]&lt;0,0,Tabela1[[#This Row],[CARGA PARCIAL]])+Tabela1[[#This Row],[REEMBOLSO]]</f>
        <v>536.27199999999982</v>
      </c>
      <c r="R156" s="66" t="s">
        <v>21</v>
      </c>
      <c r="S156" s="70"/>
      <c r="AY156"/>
    </row>
    <row r="157" spans="2:51" x14ac:dyDescent="0.25">
      <c r="B157" s="83" t="s">
        <v>107</v>
      </c>
      <c r="C157" s="64" t="s">
        <v>108</v>
      </c>
      <c r="D157" s="64" t="s">
        <v>17</v>
      </c>
      <c r="E157" s="64" t="s">
        <v>100</v>
      </c>
      <c r="F157" s="64">
        <v>11030820001</v>
      </c>
      <c r="G157" s="82" t="s">
        <v>55</v>
      </c>
      <c r="H157" s="64" t="s">
        <v>56</v>
      </c>
      <c r="I157" s="65">
        <v>-753.41999999999734</v>
      </c>
      <c r="J157" s="65">
        <v>0</v>
      </c>
      <c r="K157" s="65">
        <v>1000</v>
      </c>
      <c r="L157" s="65">
        <v>622.04</v>
      </c>
      <c r="M157" s="84">
        <v>0</v>
      </c>
      <c r="N157" s="88">
        <f>Tabela1[[#This Row],[1QZ DE DEZ 26]]-Tabela1[[#This Row],[SALDO FINAL]]-Tabela1[[#This Row],[SALDO CARTAO]]-Tabela1[[#This Row],[ADIANTAMENTO]]</f>
        <v>377.96000000000004</v>
      </c>
      <c r="O157" s="67">
        <f>(-Tabela1[[#This Row],[SALDO REEMBOLSAR]]*$O$4)</f>
        <v>150.68399999999949</v>
      </c>
      <c r="P157" s="90">
        <f>IF(Tabela1[[#This Row],[CARGA PARCIAL]]&lt;0,0,Tabela1[[#This Row],[CARGA PARCIAL]])</f>
        <v>377.96000000000004</v>
      </c>
      <c r="Q157" s="93">
        <f>IF(Tabela1[[#This Row],[CARGA PARCIAL]]&lt;0,0,Tabela1[[#This Row],[CARGA PARCIAL]])+Tabela1[[#This Row],[REEMBOLSO]]</f>
        <v>528.64399999999955</v>
      </c>
      <c r="R157" s="66" t="s">
        <v>21</v>
      </c>
      <c r="S157" s="70"/>
      <c r="AY157"/>
    </row>
    <row r="158" spans="2:51" x14ac:dyDescent="0.25">
      <c r="B158" s="103" t="s">
        <v>773</v>
      </c>
      <c r="C158" s="102" t="s">
        <v>774</v>
      </c>
      <c r="D158" s="64" t="s">
        <v>17</v>
      </c>
      <c r="E158" s="64" t="s">
        <v>360</v>
      </c>
      <c r="F158" s="64">
        <v>11061720001</v>
      </c>
      <c r="G158" s="82" t="s">
        <v>244</v>
      </c>
      <c r="H158" s="64" t="s">
        <v>33</v>
      </c>
      <c r="I158" s="65">
        <v>-190.79999999999842</v>
      </c>
      <c r="J158" s="65">
        <v>0</v>
      </c>
      <c r="K158" s="65">
        <v>600</v>
      </c>
      <c r="L158" s="65">
        <v>271.83</v>
      </c>
      <c r="M158" s="84">
        <v>0</v>
      </c>
      <c r="N158" s="88">
        <f>Tabela1[[#This Row],[1QZ DE DEZ 26]]-Tabela1[[#This Row],[SALDO FINAL]]-Tabela1[[#This Row],[SALDO CARTAO]]-Tabela1[[#This Row],[ADIANTAMENTO]]</f>
        <v>328.17</v>
      </c>
      <c r="O158" s="67">
        <f>-Tabela1[[#This Row],[SALDO REEMBOLSAR]]</f>
        <v>190.79999999999842</v>
      </c>
      <c r="P158" s="122">
        <f>IF(Tabela1[[#This Row],[CARGA PARCIAL]]&lt;0,0,Tabela1[[#This Row],[CARGA PARCIAL]])</f>
        <v>328.17</v>
      </c>
      <c r="Q158" s="93">
        <f>IF(Tabela1[[#This Row],[CARGA PARCIAL]]&lt;0,0,Tabela1[[#This Row],[CARGA PARCIAL]])+Tabela1[[#This Row],[REEMBOLSO]]</f>
        <v>518.96999999999844</v>
      </c>
      <c r="R158" s="66" t="s">
        <v>21</v>
      </c>
      <c r="S158" s="70"/>
      <c r="AY158"/>
    </row>
    <row r="159" spans="2:51" x14ac:dyDescent="0.25">
      <c r="B159" s="83" t="s">
        <v>736</v>
      </c>
      <c r="C159" s="64" t="s">
        <v>737</v>
      </c>
      <c r="D159" s="64" t="s">
        <v>17</v>
      </c>
      <c r="E159" s="64" t="s">
        <v>347</v>
      </c>
      <c r="F159" s="64">
        <v>11040040001</v>
      </c>
      <c r="G159" s="82" t="s">
        <v>1989</v>
      </c>
      <c r="H159" s="64" t="s">
        <v>20</v>
      </c>
      <c r="I159" s="65">
        <v>0</v>
      </c>
      <c r="J159" s="65">
        <v>980.68999999999983</v>
      </c>
      <c r="K159" s="65">
        <v>1500</v>
      </c>
      <c r="L159" s="65">
        <v>5.8</v>
      </c>
      <c r="M159" s="84">
        <v>0</v>
      </c>
      <c r="N159" s="88">
        <f>Tabela1[[#This Row],[1QZ DE DEZ 26]]-Tabela1[[#This Row],[SALDO FINAL]]-Tabela1[[#This Row],[SALDO CARTAO]]-Tabela1[[#This Row],[ADIANTAMENTO]]</f>
        <v>513.51000000000022</v>
      </c>
      <c r="O159" s="67">
        <f>(-Tabela1[[#This Row],[SALDO REEMBOLSAR]]*$O$4)</f>
        <v>0</v>
      </c>
      <c r="P159" s="90">
        <f>IF(Tabela1[[#This Row],[CARGA PARCIAL]]&lt;0,0,Tabela1[[#This Row],[CARGA PARCIAL]])</f>
        <v>513.51000000000022</v>
      </c>
      <c r="Q159" s="93">
        <f>IF(Tabela1[[#This Row],[CARGA PARCIAL]]&lt;0,0,Tabela1[[#This Row],[CARGA PARCIAL]])+Tabela1[[#This Row],[REEMBOLSO]]</f>
        <v>513.51000000000022</v>
      </c>
      <c r="R159" s="66" t="s">
        <v>21</v>
      </c>
      <c r="S159" s="70" t="s">
        <v>76</v>
      </c>
      <c r="AY159"/>
    </row>
    <row r="160" spans="2:51" x14ac:dyDescent="0.25">
      <c r="B160" s="103" t="s">
        <v>640</v>
      </c>
      <c r="C160" s="102" t="s">
        <v>641</v>
      </c>
      <c r="D160" s="64" t="s">
        <v>17</v>
      </c>
      <c r="E160" s="64" t="s">
        <v>642</v>
      </c>
      <c r="F160" s="64">
        <v>11062630001</v>
      </c>
      <c r="G160" s="82" t="s">
        <v>244</v>
      </c>
      <c r="H160" s="64" t="s">
        <v>33</v>
      </c>
      <c r="I160" s="65">
        <v>-1223.1199999999999</v>
      </c>
      <c r="J160" s="65">
        <v>0</v>
      </c>
      <c r="K160" s="65">
        <v>1000</v>
      </c>
      <c r="L160" s="65">
        <v>731.21</v>
      </c>
      <c r="M160" s="84">
        <v>0</v>
      </c>
      <c r="N160" s="88">
        <f>Tabela1[[#This Row],[1QZ DE DEZ 26]]-Tabela1[[#This Row],[SALDO FINAL]]-Tabela1[[#This Row],[SALDO CARTAO]]-Tabela1[[#This Row],[ADIANTAMENTO]]</f>
        <v>268.78999999999996</v>
      </c>
      <c r="O160" s="67">
        <f>(-Tabela1[[#This Row],[SALDO REEMBOLSAR]]*$O$4)</f>
        <v>244.624</v>
      </c>
      <c r="P160" s="122">
        <f>IF(Tabela1[[#This Row],[CARGA PARCIAL]]&lt;0,0,Tabela1[[#This Row],[CARGA PARCIAL]])</f>
        <v>268.78999999999996</v>
      </c>
      <c r="Q160" s="93">
        <f>IF(Tabela1[[#This Row],[CARGA PARCIAL]]&lt;0,0,Tabela1[[#This Row],[CARGA PARCIAL]])+Tabela1[[#This Row],[REEMBOLSO]]</f>
        <v>513.41399999999999</v>
      </c>
      <c r="R160" s="66" t="s">
        <v>21</v>
      </c>
      <c r="S160" s="70"/>
      <c r="AY160"/>
    </row>
    <row r="161" spans="2:51" x14ac:dyDescent="0.25">
      <c r="B161" s="83" t="s">
        <v>509</v>
      </c>
      <c r="C161" s="64" t="s">
        <v>510</v>
      </c>
      <c r="D161" s="64" t="s">
        <v>17</v>
      </c>
      <c r="E161" s="64" t="s">
        <v>24</v>
      </c>
      <c r="F161" s="64">
        <v>11040160001</v>
      </c>
      <c r="G161" s="82" t="s">
        <v>25</v>
      </c>
      <c r="H161" s="64" t="s">
        <v>20</v>
      </c>
      <c r="I161" s="65">
        <v>-13.850000000000072</v>
      </c>
      <c r="J161" s="65">
        <v>0</v>
      </c>
      <c r="K161" s="65">
        <v>500</v>
      </c>
      <c r="L161" s="65">
        <v>10.68</v>
      </c>
      <c r="M161" s="84">
        <v>0</v>
      </c>
      <c r="N161" s="88">
        <f>Tabela1[[#This Row],[1QZ DE DEZ 26]]-Tabela1[[#This Row],[SALDO FINAL]]-Tabela1[[#This Row],[SALDO CARTAO]]-Tabela1[[#This Row],[ADIANTAMENTO]]</f>
        <v>489.32</v>
      </c>
      <c r="O161" s="67">
        <f>-Tabela1[[#This Row],[SALDO REEMBOLSAR]]</f>
        <v>13.850000000000072</v>
      </c>
      <c r="P161" s="90">
        <f>IF(Tabela1[[#This Row],[CARGA PARCIAL]]&lt;0,0,Tabela1[[#This Row],[CARGA PARCIAL]])</f>
        <v>489.32</v>
      </c>
      <c r="Q161" s="93">
        <f>IF(Tabela1[[#This Row],[CARGA PARCIAL]]&lt;0,0,Tabela1[[#This Row],[CARGA PARCIAL]])+Tabela1[[#This Row],[REEMBOLSO]]</f>
        <v>503.17000000000007</v>
      </c>
      <c r="R161" s="66" t="s">
        <v>21</v>
      </c>
      <c r="S161" s="70"/>
      <c r="AY161"/>
    </row>
    <row r="162" spans="2:51" x14ac:dyDescent="0.25">
      <c r="B162" s="103" t="s">
        <v>798</v>
      </c>
      <c r="C162" s="102" t="s">
        <v>799</v>
      </c>
      <c r="D162" s="64" t="s">
        <v>17</v>
      </c>
      <c r="E162" s="64" t="s">
        <v>347</v>
      </c>
      <c r="F162" s="64">
        <v>11040040001</v>
      </c>
      <c r="G162" s="82" t="s">
        <v>1989</v>
      </c>
      <c r="H162" s="64" t="s">
        <v>20</v>
      </c>
      <c r="I162" s="65">
        <v>0</v>
      </c>
      <c r="J162" s="65">
        <v>268.43999999999926</v>
      </c>
      <c r="K162" s="65">
        <v>800</v>
      </c>
      <c r="L162" s="65">
        <v>29.15</v>
      </c>
      <c r="M162" s="84">
        <v>0</v>
      </c>
      <c r="N162" s="88">
        <f>Tabela1[[#This Row],[1QZ DE DEZ 26]]-Tabela1[[#This Row],[SALDO FINAL]]-Tabela1[[#This Row],[SALDO CARTAO]]-Tabela1[[#This Row],[ADIANTAMENTO]]</f>
        <v>502.41000000000076</v>
      </c>
      <c r="O162" s="67">
        <f>(-Tabela1[[#This Row],[SALDO REEMBOLSAR]]*$O$4)</f>
        <v>0</v>
      </c>
      <c r="P162" s="122">
        <f>IF(Tabela1[[#This Row],[CARGA PARCIAL]]&lt;0,0,Tabela1[[#This Row],[CARGA PARCIAL]])</f>
        <v>502.41000000000076</v>
      </c>
      <c r="Q162" s="93">
        <f>IF(Tabela1[[#This Row],[CARGA PARCIAL]]&lt;0,0,Tabela1[[#This Row],[CARGA PARCIAL]])+Tabela1[[#This Row],[REEMBOLSO]]</f>
        <v>502.41000000000076</v>
      </c>
      <c r="R162" s="66" t="s">
        <v>21</v>
      </c>
      <c r="S162" s="70"/>
      <c r="AY162"/>
    </row>
    <row r="163" spans="2:51" x14ac:dyDescent="0.25">
      <c r="B163" s="83" t="s">
        <v>1765</v>
      </c>
      <c r="C163" s="64" t="s">
        <v>1766</v>
      </c>
      <c r="D163" s="64" t="s">
        <v>17</v>
      </c>
      <c r="E163" s="64" t="s">
        <v>1767</v>
      </c>
      <c r="F163" s="64">
        <v>11061830001</v>
      </c>
      <c r="G163" s="82" t="s">
        <v>236</v>
      </c>
      <c r="H163" s="64" t="s">
        <v>33</v>
      </c>
      <c r="I163" s="65">
        <v>-135</v>
      </c>
      <c r="J163" s="65">
        <v>0</v>
      </c>
      <c r="K163" s="65">
        <v>500</v>
      </c>
      <c r="L163" s="65">
        <v>135</v>
      </c>
      <c r="M163" s="84">
        <v>0</v>
      </c>
      <c r="N163" s="88">
        <f>Tabela1[[#This Row],[1QZ DE DEZ 26]]-Tabela1[[#This Row],[SALDO FINAL]]-Tabela1[[#This Row],[SALDO CARTAO]]-Tabela1[[#This Row],[ADIANTAMENTO]]</f>
        <v>365</v>
      </c>
      <c r="O163" s="67">
        <f>-Tabela1[[#This Row],[SALDO REEMBOLSAR]]</f>
        <v>135</v>
      </c>
      <c r="P163" s="90">
        <f>IF(Tabela1[[#This Row],[CARGA PARCIAL]]&lt;0,0,Tabela1[[#This Row],[CARGA PARCIAL]])</f>
        <v>365</v>
      </c>
      <c r="Q163" s="93">
        <f>IF(Tabela1[[#This Row],[CARGA PARCIAL]]&lt;0,0,Tabela1[[#This Row],[CARGA PARCIAL]])+Tabela1[[#This Row],[REEMBOLSO]]</f>
        <v>500</v>
      </c>
      <c r="R163" s="66" t="s">
        <v>21</v>
      </c>
      <c r="S163" s="70"/>
      <c r="AY163"/>
    </row>
    <row r="164" spans="2:51" x14ac:dyDescent="0.25">
      <c r="B164" s="103" t="s">
        <v>1947</v>
      </c>
      <c r="C164" s="102" t="s">
        <v>1948</v>
      </c>
      <c r="D164" s="64" t="s">
        <v>17</v>
      </c>
      <c r="E164" s="64" t="s">
        <v>488</v>
      </c>
      <c r="F164" s="64">
        <v>11061820001</v>
      </c>
      <c r="G164" s="82" t="s">
        <v>236</v>
      </c>
      <c r="H164" s="64" t="s">
        <v>33</v>
      </c>
      <c r="I164" s="65">
        <v>0</v>
      </c>
      <c r="J164" s="65">
        <v>0</v>
      </c>
      <c r="K164" s="65">
        <v>500</v>
      </c>
      <c r="L164" s="65">
        <v>0</v>
      </c>
      <c r="M164" s="84">
        <v>0</v>
      </c>
      <c r="N164" s="88">
        <f>Tabela1[[#This Row],[1QZ DE DEZ 26]]-Tabela1[[#This Row],[SALDO FINAL]]-Tabela1[[#This Row],[SALDO CARTAO]]-Tabela1[[#This Row],[ADIANTAMENTO]]</f>
        <v>500</v>
      </c>
      <c r="O164" s="67">
        <f>(-Tabela1[[#This Row],[SALDO REEMBOLSAR]]*$O$4)</f>
        <v>0</v>
      </c>
      <c r="P164" s="122">
        <f>IF(Tabela1[[#This Row],[CARGA PARCIAL]]&lt;0,0,Tabela1[[#This Row],[CARGA PARCIAL]])</f>
        <v>500</v>
      </c>
      <c r="Q164" s="93">
        <f>IF(Tabela1[[#This Row],[CARGA PARCIAL]]&lt;0,0,Tabela1[[#This Row],[CARGA PARCIAL]])+Tabela1[[#This Row],[REEMBOLSO]]</f>
        <v>500</v>
      </c>
      <c r="R164" s="66" t="s">
        <v>21</v>
      </c>
      <c r="S164" s="70"/>
      <c r="AY164"/>
    </row>
    <row r="165" spans="2:51" x14ac:dyDescent="0.25">
      <c r="B165" s="103" t="s">
        <v>753</v>
      </c>
      <c r="C165" s="102" t="s">
        <v>754</v>
      </c>
      <c r="D165" s="64" t="s">
        <v>17</v>
      </c>
      <c r="E165" s="64" t="s">
        <v>1958</v>
      </c>
      <c r="F165" s="64">
        <v>11062590001</v>
      </c>
      <c r="G165" s="82" t="s">
        <v>19</v>
      </c>
      <c r="H165" s="64" t="s">
        <v>20</v>
      </c>
      <c r="I165" s="65">
        <v>0</v>
      </c>
      <c r="J165" s="65">
        <v>0</v>
      </c>
      <c r="K165" s="65">
        <v>500</v>
      </c>
      <c r="L165" s="65">
        <v>0</v>
      </c>
      <c r="M165" s="84">
        <v>0</v>
      </c>
      <c r="N165" s="88">
        <f>Tabela1[[#This Row],[1QZ DE DEZ 26]]-Tabela1[[#This Row],[SALDO FINAL]]-Tabela1[[#This Row],[SALDO CARTAO]]-Tabela1[[#This Row],[ADIANTAMENTO]]</f>
        <v>500</v>
      </c>
      <c r="O165" s="67">
        <f>(-Tabela1[[#This Row],[SALDO REEMBOLSAR]]*$O$4)</f>
        <v>0</v>
      </c>
      <c r="P165" s="122">
        <f>IF(Tabela1[[#This Row],[CARGA PARCIAL]]&lt;0,0,Tabela1[[#This Row],[CARGA PARCIAL]])</f>
        <v>500</v>
      </c>
      <c r="Q165" s="93">
        <f>IF(Tabela1[[#This Row],[CARGA PARCIAL]]&lt;0,0,Tabela1[[#This Row],[CARGA PARCIAL]])+Tabela1[[#This Row],[REEMBOLSO]]</f>
        <v>500</v>
      </c>
      <c r="R165" s="66" t="s">
        <v>21</v>
      </c>
      <c r="S165" s="70"/>
      <c r="AY165"/>
    </row>
    <row r="166" spans="2:51" x14ac:dyDescent="0.25">
      <c r="B166" s="103" t="s">
        <v>1967</v>
      </c>
      <c r="C166" s="102" t="s">
        <v>1968</v>
      </c>
      <c r="D166" s="64" t="s">
        <v>17</v>
      </c>
      <c r="E166" s="64" t="s">
        <v>1972</v>
      </c>
      <c r="F166" s="64">
        <v>11080500001</v>
      </c>
      <c r="G166" s="82" t="s">
        <v>19</v>
      </c>
      <c r="H166" s="64" t="s">
        <v>20</v>
      </c>
      <c r="I166" s="65">
        <v>0</v>
      </c>
      <c r="J166" s="65">
        <v>0</v>
      </c>
      <c r="K166" s="65">
        <v>500</v>
      </c>
      <c r="L166" s="65">
        <v>1.3</v>
      </c>
      <c r="M166" s="84">
        <v>0</v>
      </c>
      <c r="N166" s="88">
        <f>Tabela1[[#This Row],[1QZ DE DEZ 26]]-Tabela1[[#This Row],[SALDO FINAL]]-Tabela1[[#This Row],[SALDO CARTAO]]-Tabela1[[#This Row],[ADIANTAMENTO]]</f>
        <v>498.7</v>
      </c>
      <c r="O166" s="67">
        <f>(-Tabela1[[#This Row],[SALDO REEMBOLSAR]]*$O$4)</f>
        <v>0</v>
      </c>
      <c r="P166" s="122">
        <f>IF(Tabela1[[#This Row],[CARGA PARCIAL]]&lt;0,0,Tabela1[[#This Row],[CARGA PARCIAL]])</f>
        <v>498.7</v>
      </c>
      <c r="Q166" s="93">
        <f>IF(Tabela1[[#This Row],[CARGA PARCIAL]]&lt;0,0,Tabela1[[#This Row],[CARGA PARCIAL]])+Tabela1[[#This Row],[REEMBOLSO]]</f>
        <v>498.7</v>
      </c>
      <c r="R166" s="66" t="s">
        <v>21</v>
      </c>
      <c r="S166" s="70"/>
      <c r="AY166"/>
    </row>
    <row r="167" spans="2:51" x14ac:dyDescent="0.25">
      <c r="B167" s="83" t="s">
        <v>643</v>
      </c>
      <c r="C167" s="64" t="s">
        <v>644</v>
      </c>
      <c r="D167" s="64" t="s">
        <v>17</v>
      </c>
      <c r="E167" s="64" t="s">
        <v>360</v>
      </c>
      <c r="F167" s="64">
        <v>11061720001</v>
      </c>
      <c r="G167" s="82" t="s">
        <v>244</v>
      </c>
      <c r="H167" s="64" t="s">
        <v>33</v>
      </c>
      <c r="I167" s="65">
        <v>0</v>
      </c>
      <c r="J167" s="65">
        <v>295.02999999999997</v>
      </c>
      <c r="K167" s="65">
        <v>800</v>
      </c>
      <c r="L167" s="65">
        <v>9.9700000000000006</v>
      </c>
      <c r="M167" s="84">
        <v>0</v>
      </c>
      <c r="N167" s="88">
        <f>Tabela1[[#This Row],[1QZ DE DEZ 26]]-Tabela1[[#This Row],[SALDO FINAL]]-Tabela1[[#This Row],[SALDO CARTAO]]-Tabela1[[#This Row],[ADIANTAMENTO]]</f>
        <v>495</v>
      </c>
      <c r="O167" s="67">
        <f>(-Tabela1[[#This Row],[SALDO REEMBOLSAR]]*$O$4)</f>
        <v>0</v>
      </c>
      <c r="P167" s="90">
        <f>IF(Tabela1[[#This Row],[CARGA PARCIAL]]&lt;0,0,Tabela1[[#This Row],[CARGA PARCIAL]])</f>
        <v>495</v>
      </c>
      <c r="Q167" s="93">
        <f>IF(Tabela1[[#This Row],[CARGA PARCIAL]]&lt;0,0,Tabela1[[#This Row],[CARGA PARCIAL]])+Tabela1[[#This Row],[REEMBOLSO]]</f>
        <v>495</v>
      </c>
      <c r="R167" s="66" t="s">
        <v>21</v>
      </c>
      <c r="S167" s="70"/>
      <c r="AY167"/>
    </row>
    <row r="168" spans="2:51" x14ac:dyDescent="0.25">
      <c r="B168" s="83" t="s">
        <v>281</v>
      </c>
      <c r="C168" s="64" t="s">
        <v>282</v>
      </c>
      <c r="D168" s="64" t="s">
        <v>17</v>
      </c>
      <c r="E168" s="64" t="s">
        <v>283</v>
      </c>
      <c r="F168" s="64">
        <v>11030870001</v>
      </c>
      <c r="G168" s="82" t="s">
        <v>284</v>
      </c>
      <c r="H168" s="64" t="s">
        <v>20</v>
      </c>
      <c r="I168" s="65">
        <v>-4747.3899999999967</v>
      </c>
      <c r="J168" s="65">
        <v>0</v>
      </c>
      <c r="K168" s="65">
        <v>500</v>
      </c>
      <c r="L168" s="65">
        <v>6.54</v>
      </c>
      <c r="M168" s="84">
        <v>0</v>
      </c>
      <c r="N168" s="88">
        <f>Tabela1[[#This Row],[1QZ DE DEZ 26]]-Tabela1[[#This Row],[SALDO FINAL]]-Tabela1[[#This Row],[SALDO CARTAO]]-Tabela1[[#This Row],[ADIANTAMENTO]]</f>
        <v>493.46</v>
      </c>
      <c r="O168" s="67">
        <v>0</v>
      </c>
      <c r="P168" s="90">
        <f>IF(Tabela1[[#This Row],[CARGA PARCIAL]]&lt;0,0,Tabela1[[#This Row],[CARGA PARCIAL]])</f>
        <v>493.46</v>
      </c>
      <c r="Q168" s="93">
        <f>IF(Tabela1[[#This Row],[CARGA PARCIAL]]&lt;0,0,Tabela1[[#This Row],[CARGA PARCIAL]])+Tabela1[[#This Row],[REEMBOLSO]]</f>
        <v>493.46</v>
      </c>
      <c r="R168" s="66" t="s">
        <v>21</v>
      </c>
      <c r="S168" s="70"/>
      <c r="AY168"/>
    </row>
    <row r="169" spans="2:51" x14ac:dyDescent="0.25">
      <c r="B169" s="83" t="s">
        <v>45</v>
      </c>
      <c r="C169" s="64" t="s">
        <v>46</v>
      </c>
      <c r="D169" s="64" t="s">
        <v>17</v>
      </c>
      <c r="E169" s="64" t="s">
        <v>24</v>
      </c>
      <c r="F169" s="64">
        <v>11040160001</v>
      </c>
      <c r="G169" s="82" t="s">
        <v>25</v>
      </c>
      <c r="H169" s="64" t="s">
        <v>20</v>
      </c>
      <c r="I169" s="65">
        <v>0</v>
      </c>
      <c r="J169" s="65">
        <v>212.48000000000002</v>
      </c>
      <c r="K169" s="65">
        <v>700</v>
      </c>
      <c r="L169" s="65">
        <v>2</v>
      </c>
      <c r="M169" s="84">
        <v>0</v>
      </c>
      <c r="N169" s="88">
        <f>Tabela1[[#This Row],[1QZ DE DEZ 26]]-Tabela1[[#This Row],[SALDO FINAL]]-Tabela1[[#This Row],[SALDO CARTAO]]-Tabela1[[#This Row],[ADIANTAMENTO]]</f>
        <v>485.52</v>
      </c>
      <c r="O169" s="67">
        <f>(-Tabela1[[#This Row],[SALDO REEMBOLSAR]]*$O$4)</f>
        <v>0</v>
      </c>
      <c r="P169" s="90">
        <f>IF(Tabela1[[#This Row],[CARGA PARCIAL]]&lt;0,0,Tabela1[[#This Row],[CARGA PARCIAL]])</f>
        <v>485.52</v>
      </c>
      <c r="Q169" s="93">
        <f>IF(Tabela1[[#This Row],[CARGA PARCIAL]]&lt;0,0,Tabela1[[#This Row],[CARGA PARCIAL]])+Tabela1[[#This Row],[REEMBOLSO]]</f>
        <v>485.52</v>
      </c>
      <c r="R169" s="66" t="s">
        <v>21</v>
      </c>
      <c r="S169" s="70"/>
      <c r="AY169"/>
    </row>
    <row r="170" spans="2:51" x14ac:dyDescent="0.25">
      <c r="B170" s="103" t="s">
        <v>628</v>
      </c>
      <c r="C170" s="102" t="s">
        <v>629</v>
      </c>
      <c r="D170" s="64" t="s">
        <v>17</v>
      </c>
      <c r="E170" s="64" t="s">
        <v>630</v>
      </c>
      <c r="F170" s="64">
        <v>11110340001</v>
      </c>
      <c r="G170" s="82" t="s">
        <v>284</v>
      </c>
      <c r="H170" s="64" t="s">
        <v>20</v>
      </c>
      <c r="I170" s="65">
        <v>0</v>
      </c>
      <c r="J170" s="65">
        <v>213.34000000000017</v>
      </c>
      <c r="K170" s="65">
        <v>700</v>
      </c>
      <c r="L170" s="65">
        <v>2.46</v>
      </c>
      <c r="M170" s="84">
        <v>0</v>
      </c>
      <c r="N170" s="88">
        <f>Tabela1[[#This Row],[1QZ DE DEZ 26]]-Tabela1[[#This Row],[SALDO FINAL]]-Tabela1[[#This Row],[SALDO CARTAO]]-Tabela1[[#This Row],[ADIANTAMENTO]]</f>
        <v>484.19999999999987</v>
      </c>
      <c r="O170" s="67">
        <f>(-Tabela1[[#This Row],[SALDO REEMBOLSAR]]*$O$4)</f>
        <v>0</v>
      </c>
      <c r="P170" s="122">
        <f>IF(Tabela1[[#This Row],[CARGA PARCIAL]]&lt;0,0,Tabela1[[#This Row],[CARGA PARCIAL]])</f>
        <v>484.19999999999987</v>
      </c>
      <c r="Q170" s="93">
        <f>IF(Tabela1[[#This Row],[CARGA PARCIAL]]&lt;0,0,Tabela1[[#This Row],[CARGA PARCIAL]])+Tabela1[[#This Row],[REEMBOLSO]]</f>
        <v>484.19999999999987</v>
      </c>
      <c r="R170" s="66" t="s">
        <v>21</v>
      </c>
      <c r="S170" s="70"/>
      <c r="AY170"/>
    </row>
    <row r="171" spans="2:51" x14ac:dyDescent="0.25">
      <c r="B171" s="83" t="s">
        <v>271</v>
      </c>
      <c r="C171" s="64" t="s">
        <v>272</v>
      </c>
      <c r="D171" s="64" t="s">
        <v>17</v>
      </c>
      <c r="E171" s="64" t="s">
        <v>252</v>
      </c>
      <c r="F171" s="64">
        <v>11030290001</v>
      </c>
      <c r="G171" s="82" t="s">
        <v>1989</v>
      </c>
      <c r="H171" s="64" t="s">
        <v>20</v>
      </c>
      <c r="I171" s="65">
        <v>0</v>
      </c>
      <c r="J171" s="65">
        <v>3523.9800000000046</v>
      </c>
      <c r="K171" s="65">
        <v>4000</v>
      </c>
      <c r="L171" s="65">
        <v>2.9</v>
      </c>
      <c r="M171" s="84">
        <v>0</v>
      </c>
      <c r="N171" s="88">
        <f>Tabela1[[#This Row],[1QZ DE DEZ 26]]-Tabela1[[#This Row],[SALDO FINAL]]-Tabela1[[#This Row],[SALDO CARTAO]]-Tabela1[[#This Row],[ADIANTAMENTO]]</f>
        <v>473.11999999999546</v>
      </c>
      <c r="O171" s="67">
        <f>(-Tabela1[[#This Row],[SALDO REEMBOLSAR]]*$O$4)</f>
        <v>0</v>
      </c>
      <c r="P171" s="90">
        <f>IF(Tabela1[[#This Row],[CARGA PARCIAL]]&lt;0,0,Tabela1[[#This Row],[CARGA PARCIAL]])</f>
        <v>473.11999999999546</v>
      </c>
      <c r="Q171" s="93">
        <f>IF(Tabela1[[#This Row],[CARGA PARCIAL]]&lt;0,0,Tabela1[[#This Row],[CARGA PARCIAL]])+Tabela1[[#This Row],[REEMBOLSO]]</f>
        <v>473.11999999999546</v>
      </c>
      <c r="R171" s="66" t="s">
        <v>21</v>
      </c>
      <c r="S171" s="70"/>
      <c r="AY171"/>
    </row>
    <row r="172" spans="2:51" x14ac:dyDescent="0.25">
      <c r="B172" s="83" t="s">
        <v>534</v>
      </c>
      <c r="C172" s="64" t="s">
        <v>535</v>
      </c>
      <c r="D172" s="64" t="s">
        <v>17</v>
      </c>
      <c r="E172" s="64" t="s">
        <v>536</v>
      </c>
      <c r="F172" s="64">
        <v>11030720001</v>
      </c>
      <c r="G172" s="82" t="s">
        <v>1989</v>
      </c>
      <c r="H172" s="64" t="s">
        <v>20</v>
      </c>
      <c r="I172" s="65">
        <v>0</v>
      </c>
      <c r="J172" s="65">
        <v>661.24999999999818</v>
      </c>
      <c r="K172" s="65">
        <v>1200</v>
      </c>
      <c r="L172" s="65">
        <v>69</v>
      </c>
      <c r="M172" s="84">
        <v>0</v>
      </c>
      <c r="N172" s="88">
        <f>Tabela1[[#This Row],[1QZ DE DEZ 26]]-Tabela1[[#This Row],[SALDO FINAL]]-Tabela1[[#This Row],[SALDO CARTAO]]-Tabela1[[#This Row],[ADIANTAMENTO]]</f>
        <v>469.75000000000182</v>
      </c>
      <c r="O172" s="67">
        <f>(-Tabela1[[#This Row],[SALDO REEMBOLSAR]]*$O$4)</f>
        <v>0</v>
      </c>
      <c r="P172" s="90">
        <f>IF(Tabela1[[#This Row],[CARGA PARCIAL]]&lt;0,0,Tabela1[[#This Row],[CARGA PARCIAL]])</f>
        <v>469.75000000000182</v>
      </c>
      <c r="Q172" s="93">
        <f>IF(Tabela1[[#This Row],[CARGA PARCIAL]]&lt;0,0,Tabela1[[#This Row],[CARGA PARCIAL]])+Tabela1[[#This Row],[REEMBOLSO]]</f>
        <v>469.75000000000182</v>
      </c>
      <c r="R172" s="66" t="s">
        <v>21</v>
      </c>
      <c r="S172" s="70"/>
      <c r="AY172"/>
    </row>
    <row r="173" spans="2:51" x14ac:dyDescent="0.25">
      <c r="B173" s="83" t="s">
        <v>358</v>
      </c>
      <c r="C173" s="64" t="s">
        <v>359</v>
      </c>
      <c r="D173" s="64" t="s">
        <v>17</v>
      </c>
      <c r="E173" s="64" t="s">
        <v>360</v>
      </c>
      <c r="F173" s="64">
        <v>11061720001</v>
      </c>
      <c r="G173" s="82" t="s">
        <v>244</v>
      </c>
      <c r="H173" s="64" t="s">
        <v>33</v>
      </c>
      <c r="I173" s="65">
        <v>0</v>
      </c>
      <c r="J173" s="65">
        <v>125.89000000000019</v>
      </c>
      <c r="K173" s="65">
        <v>600</v>
      </c>
      <c r="L173" s="65">
        <v>13.41</v>
      </c>
      <c r="M173" s="84">
        <v>0</v>
      </c>
      <c r="N173" s="88">
        <f>Tabela1[[#This Row],[1QZ DE DEZ 26]]-Tabela1[[#This Row],[SALDO FINAL]]-Tabela1[[#This Row],[SALDO CARTAO]]-Tabela1[[#This Row],[ADIANTAMENTO]]</f>
        <v>460.69999999999976</v>
      </c>
      <c r="O173" s="67">
        <f>(-Tabela1[[#This Row],[SALDO REEMBOLSAR]]*$O$4)</f>
        <v>0</v>
      </c>
      <c r="P173" s="90">
        <f>IF(Tabela1[[#This Row],[CARGA PARCIAL]]&lt;0,0,Tabela1[[#This Row],[CARGA PARCIAL]])</f>
        <v>460.69999999999976</v>
      </c>
      <c r="Q173" s="93">
        <f>IF(Tabela1[[#This Row],[CARGA PARCIAL]]&lt;0,0,Tabela1[[#This Row],[CARGA PARCIAL]])+Tabela1[[#This Row],[REEMBOLSO]]</f>
        <v>460.69999999999976</v>
      </c>
      <c r="R173" s="66" t="s">
        <v>21</v>
      </c>
      <c r="S173" s="70"/>
      <c r="AY173"/>
    </row>
    <row r="174" spans="2:51" x14ac:dyDescent="0.25">
      <c r="B174" s="83" t="s">
        <v>593</v>
      </c>
      <c r="C174" s="64" t="s">
        <v>594</v>
      </c>
      <c r="D174" s="64" t="s">
        <v>17</v>
      </c>
      <c r="E174" s="64" t="s">
        <v>595</v>
      </c>
      <c r="F174" s="64">
        <v>1201007</v>
      </c>
      <c r="G174" s="82" t="s">
        <v>284</v>
      </c>
      <c r="H174" s="64" t="s">
        <v>20</v>
      </c>
      <c r="I174" s="65">
        <v>-2287.8599999999988</v>
      </c>
      <c r="J174" s="65">
        <v>0</v>
      </c>
      <c r="K174" s="65">
        <v>500</v>
      </c>
      <c r="L174" s="65">
        <v>3987</v>
      </c>
      <c r="M174" s="84">
        <v>0</v>
      </c>
      <c r="N174" s="88">
        <f>Tabela1[[#This Row],[1QZ DE DEZ 26]]-Tabela1[[#This Row],[SALDO FINAL]]-Tabela1[[#This Row],[SALDO CARTAO]]-Tabela1[[#This Row],[ADIANTAMENTO]]</f>
        <v>-3487</v>
      </c>
      <c r="O174" s="67">
        <f>(-Tabela1[[#This Row],[SALDO REEMBOLSAR]]*$O$4)</f>
        <v>457.57199999999978</v>
      </c>
      <c r="P174" s="90">
        <f>IF(Tabela1[[#This Row],[CARGA PARCIAL]]&lt;0,0,Tabela1[[#This Row],[CARGA PARCIAL]])</f>
        <v>0</v>
      </c>
      <c r="Q174" s="93">
        <f>IF(Tabela1[[#This Row],[CARGA PARCIAL]]&lt;0,0,Tabela1[[#This Row],[CARGA PARCIAL]])+Tabela1[[#This Row],[REEMBOLSO]]</f>
        <v>457.57199999999978</v>
      </c>
      <c r="R174" s="66" t="s">
        <v>21</v>
      </c>
      <c r="S174" s="70"/>
      <c r="AY174"/>
    </row>
    <row r="175" spans="2:51" x14ac:dyDescent="0.25">
      <c r="B175" s="83" t="s">
        <v>63</v>
      </c>
      <c r="C175" s="64" t="s">
        <v>64</v>
      </c>
      <c r="D175" s="64" t="s">
        <v>17</v>
      </c>
      <c r="E175" s="64" t="s">
        <v>65</v>
      </c>
      <c r="F175" s="64">
        <v>11010280001</v>
      </c>
      <c r="G175" s="82" t="s">
        <v>25</v>
      </c>
      <c r="H175" s="64" t="s">
        <v>20</v>
      </c>
      <c r="I175" s="65">
        <v>-106.73000000000044</v>
      </c>
      <c r="J175" s="65">
        <v>0</v>
      </c>
      <c r="K175" s="65">
        <v>500</v>
      </c>
      <c r="L175" s="65">
        <v>149.72999999999999</v>
      </c>
      <c r="M175" s="84">
        <v>0</v>
      </c>
      <c r="N175" s="88">
        <f>Tabela1[[#This Row],[1QZ DE DEZ 26]]-Tabela1[[#This Row],[SALDO FINAL]]-Tabela1[[#This Row],[SALDO CARTAO]]-Tabela1[[#This Row],[ADIANTAMENTO]]</f>
        <v>350.27</v>
      </c>
      <c r="O175" s="67">
        <f>-Tabela1[[#This Row],[SALDO REEMBOLSAR]]</f>
        <v>106.73000000000044</v>
      </c>
      <c r="P175" s="90">
        <f>IF(Tabela1[[#This Row],[CARGA PARCIAL]]&lt;0,0,Tabela1[[#This Row],[CARGA PARCIAL]])</f>
        <v>350.27</v>
      </c>
      <c r="Q175" s="93">
        <f>IF(Tabela1[[#This Row],[CARGA PARCIAL]]&lt;0,0,Tabela1[[#This Row],[CARGA PARCIAL]])+Tabela1[[#This Row],[REEMBOLSO]]</f>
        <v>457.00000000000045</v>
      </c>
      <c r="R175" s="66" t="s">
        <v>21</v>
      </c>
      <c r="S175" s="70"/>
      <c r="AY175"/>
    </row>
    <row r="176" spans="2:51" x14ac:dyDescent="0.25">
      <c r="B176" s="83" t="s">
        <v>43</v>
      </c>
      <c r="C176" s="64" t="s">
        <v>44</v>
      </c>
      <c r="D176" s="64" t="s">
        <v>17</v>
      </c>
      <c r="E176" s="64" t="s">
        <v>24</v>
      </c>
      <c r="F176" s="64">
        <v>11040160001</v>
      </c>
      <c r="G176" s="82" t="s">
        <v>25</v>
      </c>
      <c r="H176" s="64" t="s">
        <v>20</v>
      </c>
      <c r="I176" s="65">
        <v>0</v>
      </c>
      <c r="J176" s="65">
        <v>349.77000000000044</v>
      </c>
      <c r="K176" s="65">
        <v>800</v>
      </c>
      <c r="L176" s="65">
        <v>0</v>
      </c>
      <c r="M176" s="84">
        <v>0</v>
      </c>
      <c r="N176" s="88">
        <f>Tabela1[[#This Row],[1QZ DE DEZ 26]]-Tabela1[[#This Row],[SALDO FINAL]]-Tabela1[[#This Row],[SALDO CARTAO]]-Tabela1[[#This Row],[ADIANTAMENTO]]</f>
        <v>450.22999999999956</v>
      </c>
      <c r="O176" s="67">
        <f>(-Tabela1[[#This Row],[SALDO REEMBOLSAR]]*$O$4)</f>
        <v>0</v>
      </c>
      <c r="P176" s="90">
        <f>IF(Tabela1[[#This Row],[CARGA PARCIAL]]&lt;0,0,Tabela1[[#This Row],[CARGA PARCIAL]])</f>
        <v>450.22999999999956</v>
      </c>
      <c r="Q176" s="93">
        <f>IF(Tabela1[[#This Row],[CARGA PARCIAL]]&lt;0,0,Tabela1[[#This Row],[CARGA PARCIAL]])+Tabela1[[#This Row],[REEMBOLSO]]</f>
        <v>450.22999999999956</v>
      </c>
      <c r="R176" s="66" t="s">
        <v>21</v>
      </c>
      <c r="S176" s="70"/>
      <c r="AY176"/>
    </row>
    <row r="177" spans="2:51" x14ac:dyDescent="0.25">
      <c r="B177" s="83" t="s">
        <v>430</v>
      </c>
      <c r="C177" s="64" t="s">
        <v>431</v>
      </c>
      <c r="D177" s="64" t="s">
        <v>17</v>
      </c>
      <c r="E177" s="64" t="s">
        <v>432</v>
      </c>
      <c r="F177" s="64">
        <v>11062120001</v>
      </c>
      <c r="G177" s="82" t="s">
        <v>244</v>
      </c>
      <c r="H177" s="64" t="s">
        <v>33</v>
      </c>
      <c r="I177" s="65">
        <v>-201.50000000000136</v>
      </c>
      <c r="J177" s="65">
        <v>0</v>
      </c>
      <c r="K177" s="65">
        <v>400</v>
      </c>
      <c r="L177" s="65">
        <v>0</v>
      </c>
      <c r="M177" s="84">
        <v>0</v>
      </c>
      <c r="N177" s="88">
        <f>Tabela1[[#This Row],[1QZ DE DEZ 26]]-Tabela1[[#This Row],[SALDO FINAL]]-Tabela1[[#This Row],[SALDO CARTAO]]-Tabela1[[#This Row],[ADIANTAMENTO]]</f>
        <v>400</v>
      </c>
      <c r="O177" s="67">
        <f>(-Tabela1[[#This Row],[SALDO REEMBOLSAR]]*$O$4)</f>
        <v>40.300000000000274</v>
      </c>
      <c r="P177" s="90">
        <f>IF(Tabela1[[#This Row],[CARGA PARCIAL]]&lt;0,0,Tabela1[[#This Row],[CARGA PARCIAL]])</f>
        <v>400</v>
      </c>
      <c r="Q177" s="93">
        <f>IF(Tabela1[[#This Row],[CARGA PARCIAL]]&lt;0,0,Tabela1[[#This Row],[CARGA PARCIAL]])+Tabela1[[#This Row],[REEMBOLSO]]</f>
        <v>440.3000000000003</v>
      </c>
      <c r="R177" s="66" t="s">
        <v>21</v>
      </c>
      <c r="S177" s="70"/>
      <c r="AY177"/>
    </row>
    <row r="178" spans="2:51" x14ac:dyDescent="0.25">
      <c r="B178" s="83" t="s">
        <v>1092</v>
      </c>
      <c r="C178" s="64" t="s">
        <v>1809</v>
      </c>
      <c r="D178" s="64" t="s">
        <v>17</v>
      </c>
      <c r="E178" s="64" t="s">
        <v>1812</v>
      </c>
      <c r="F178" s="64">
        <v>1001003</v>
      </c>
      <c r="G178" s="82" t="s">
        <v>1992</v>
      </c>
      <c r="H178" s="64" t="s">
        <v>1991</v>
      </c>
      <c r="I178" s="65">
        <v>-2104.98</v>
      </c>
      <c r="J178" s="65">
        <v>0</v>
      </c>
      <c r="K178" s="65">
        <v>0</v>
      </c>
      <c r="L178" s="65">
        <v>2104.98</v>
      </c>
      <c r="M178" s="84">
        <v>0</v>
      </c>
      <c r="N178" s="88">
        <f>Tabela1[[#This Row],[1QZ DE DEZ 26]]-Tabela1[[#This Row],[SALDO FINAL]]-Tabela1[[#This Row],[SALDO CARTAO]]-Tabela1[[#This Row],[ADIANTAMENTO]]</f>
        <v>-2104.98</v>
      </c>
      <c r="O178" s="67">
        <f>(-Tabela1[[#This Row],[SALDO REEMBOLSAR]]*$O$4)</f>
        <v>420.99600000000004</v>
      </c>
      <c r="P178" s="90">
        <f>IF(Tabela1[[#This Row],[CARGA PARCIAL]]&lt;0,0,Tabela1[[#This Row],[CARGA PARCIAL]])</f>
        <v>0</v>
      </c>
      <c r="Q178" s="93">
        <f>IF(Tabela1[[#This Row],[CARGA PARCIAL]]&lt;0,0,Tabela1[[#This Row],[CARGA PARCIAL]])+Tabela1[[#This Row],[REEMBOLSO]]</f>
        <v>420.99600000000004</v>
      </c>
      <c r="R178" s="66" t="s">
        <v>21</v>
      </c>
      <c r="S178" s="70"/>
      <c r="AY178"/>
    </row>
    <row r="179" spans="2:51" x14ac:dyDescent="0.25">
      <c r="B179" s="83" t="s">
        <v>263</v>
      </c>
      <c r="C179" s="64" t="s">
        <v>264</v>
      </c>
      <c r="D179" s="64" t="s">
        <v>17</v>
      </c>
      <c r="E179" s="64" t="s">
        <v>265</v>
      </c>
      <c r="F179" s="64">
        <v>1201005</v>
      </c>
      <c r="G179" s="82" t="s">
        <v>236</v>
      </c>
      <c r="H179" s="64" t="s">
        <v>33</v>
      </c>
      <c r="I179" s="65">
        <v>0</v>
      </c>
      <c r="J179" s="65">
        <v>68.059999999999718</v>
      </c>
      <c r="K179" s="65">
        <v>500</v>
      </c>
      <c r="L179" s="65">
        <v>15</v>
      </c>
      <c r="M179" s="84">
        <v>0</v>
      </c>
      <c r="N179" s="88">
        <f>Tabela1[[#This Row],[1QZ DE DEZ 26]]-Tabela1[[#This Row],[SALDO FINAL]]-Tabela1[[#This Row],[SALDO CARTAO]]-Tabela1[[#This Row],[ADIANTAMENTO]]</f>
        <v>416.94000000000028</v>
      </c>
      <c r="O179" s="67">
        <f>(-Tabela1[[#This Row],[SALDO REEMBOLSAR]]*$O$4)</f>
        <v>0</v>
      </c>
      <c r="P179" s="90">
        <f>IF(Tabela1[[#This Row],[CARGA PARCIAL]]&lt;0,0,Tabela1[[#This Row],[CARGA PARCIAL]])</f>
        <v>416.94000000000028</v>
      </c>
      <c r="Q179" s="93">
        <f>IF(Tabela1[[#This Row],[CARGA PARCIAL]]&lt;0,0,Tabela1[[#This Row],[CARGA PARCIAL]])+Tabela1[[#This Row],[REEMBOLSO]]</f>
        <v>416.94000000000028</v>
      </c>
      <c r="R179" s="66" t="s">
        <v>21</v>
      </c>
      <c r="S179" s="70"/>
      <c r="AY179"/>
    </row>
    <row r="180" spans="2:51" x14ac:dyDescent="0.25">
      <c r="B180" s="83" t="s">
        <v>465</v>
      </c>
      <c r="C180" s="64" t="s">
        <v>1813</v>
      </c>
      <c r="D180" s="64" t="s">
        <v>17</v>
      </c>
      <c r="E180" s="64" t="s">
        <v>333</v>
      </c>
      <c r="F180" s="64">
        <v>11061940001</v>
      </c>
      <c r="G180" s="82" t="s">
        <v>244</v>
      </c>
      <c r="H180" s="64" t="s">
        <v>33</v>
      </c>
      <c r="I180" s="65">
        <v>-237.64</v>
      </c>
      <c r="J180" s="65">
        <v>0</v>
      </c>
      <c r="K180" s="65">
        <v>600</v>
      </c>
      <c r="L180" s="65">
        <v>237.64</v>
      </c>
      <c r="M180" s="84">
        <v>0</v>
      </c>
      <c r="N180" s="88">
        <f>Tabela1[[#This Row],[1QZ DE DEZ 26]]-Tabela1[[#This Row],[SALDO FINAL]]-Tabela1[[#This Row],[SALDO CARTAO]]-Tabela1[[#This Row],[ADIANTAMENTO]]</f>
        <v>362.36</v>
      </c>
      <c r="O180" s="67">
        <f>(-Tabela1[[#This Row],[SALDO REEMBOLSAR]]*$O$4)</f>
        <v>47.527999999999999</v>
      </c>
      <c r="P180" s="90">
        <f>IF(Tabela1[[#This Row],[CARGA PARCIAL]]&lt;0,0,Tabela1[[#This Row],[CARGA PARCIAL]])</f>
        <v>362.36</v>
      </c>
      <c r="Q180" s="93">
        <f>IF(Tabela1[[#This Row],[CARGA PARCIAL]]&lt;0,0,Tabela1[[#This Row],[CARGA PARCIAL]])+Tabela1[[#This Row],[REEMBOLSO]]</f>
        <v>409.88800000000003</v>
      </c>
      <c r="R180" s="66" t="s">
        <v>21</v>
      </c>
      <c r="S180" s="70"/>
      <c r="AY180"/>
    </row>
    <row r="181" spans="2:51" x14ac:dyDescent="0.25">
      <c r="B181" s="83" t="s">
        <v>786</v>
      </c>
      <c r="C181" s="64" t="s">
        <v>787</v>
      </c>
      <c r="D181" s="64" t="s">
        <v>17</v>
      </c>
      <c r="E181" s="64" t="s">
        <v>304</v>
      </c>
      <c r="F181" s="64">
        <v>1201071</v>
      </c>
      <c r="G181" s="82" t="s">
        <v>244</v>
      </c>
      <c r="H181" s="64" t="s">
        <v>33</v>
      </c>
      <c r="I181" s="65">
        <v>-1187.6600000000008</v>
      </c>
      <c r="J181" s="65">
        <v>0</v>
      </c>
      <c r="K181" s="65">
        <v>500</v>
      </c>
      <c r="L181" s="65">
        <v>356</v>
      </c>
      <c r="M181" s="84">
        <v>0</v>
      </c>
      <c r="N181" s="88">
        <f>Tabela1[[#This Row],[1QZ DE DEZ 26]]-Tabela1[[#This Row],[SALDO FINAL]]-Tabela1[[#This Row],[SALDO CARTAO]]-Tabela1[[#This Row],[ADIANTAMENTO]]</f>
        <v>144</v>
      </c>
      <c r="O181" s="67">
        <f>(-Tabela1[[#This Row],[SALDO REEMBOLSAR]]*$O$4)</f>
        <v>237.53200000000015</v>
      </c>
      <c r="P181" s="90">
        <f>IF(Tabela1[[#This Row],[CARGA PARCIAL]]&lt;0,0,Tabela1[[#This Row],[CARGA PARCIAL]])</f>
        <v>144</v>
      </c>
      <c r="Q181" s="93">
        <f>IF(Tabela1[[#This Row],[CARGA PARCIAL]]&lt;0,0,Tabela1[[#This Row],[CARGA PARCIAL]])+Tabela1[[#This Row],[REEMBOLSO]]</f>
        <v>381.53200000000015</v>
      </c>
      <c r="R181" s="66" t="s">
        <v>21</v>
      </c>
      <c r="S181" s="70"/>
    </row>
    <row r="182" spans="2:51" x14ac:dyDescent="0.25">
      <c r="B182" s="103" t="s">
        <v>738</v>
      </c>
      <c r="C182" s="102" t="s">
        <v>739</v>
      </c>
      <c r="D182" s="64" t="s">
        <v>17</v>
      </c>
      <c r="E182" s="64" t="s">
        <v>740</v>
      </c>
      <c r="F182" s="64">
        <v>11062290001</v>
      </c>
      <c r="G182" s="82" t="s">
        <v>284</v>
      </c>
      <c r="H182" s="64" t="s">
        <v>20</v>
      </c>
      <c r="I182" s="65">
        <v>0</v>
      </c>
      <c r="J182" s="65">
        <v>1342.380000000004</v>
      </c>
      <c r="K182" s="65">
        <v>2000</v>
      </c>
      <c r="L182" s="65">
        <v>290.72000000000003</v>
      </c>
      <c r="M182" s="84">
        <v>0</v>
      </c>
      <c r="N182" s="88">
        <f>Tabela1[[#This Row],[1QZ DE DEZ 26]]-Tabela1[[#This Row],[SALDO FINAL]]-Tabela1[[#This Row],[SALDO CARTAO]]-Tabela1[[#This Row],[ADIANTAMENTO]]</f>
        <v>366.899999999996</v>
      </c>
      <c r="O182" s="67">
        <f>(-Tabela1[[#This Row],[SALDO REEMBOLSAR]]*$O$4)</f>
        <v>0</v>
      </c>
      <c r="P182" s="122">
        <f>IF(Tabela1[[#This Row],[CARGA PARCIAL]]&lt;0,0,Tabela1[[#This Row],[CARGA PARCIAL]])</f>
        <v>366.899999999996</v>
      </c>
      <c r="Q182" s="93">
        <f>IF(Tabela1[[#This Row],[CARGA PARCIAL]]&lt;0,0,Tabela1[[#This Row],[CARGA PARCIAL]])+Tabela1[[#This Row],[REEMBOLSO]]</f>
        <v>366.899999999996</v>
      </c>
      <c r="R182" s="66" t="s">
        <v>21</v>
      </c>
      <c r="S182" s="70"/>
    </row>
    <row r="183" spans="2:51" x14ac:dyDescent="0.25">
      <c r="B183" s="83" t="s">
        <v>96</v>
      </c>
      <c r="C183" s="64" t="s">
        <v>97</v>
      </c>
      <c r="D183" s="64" t="s">
        <v>17</v>
      </c>
      <c r="E183" s="64" t="s">
        <v>18</v>
      </c>
      <c r="F183" s="64">
        <v>11040170001</v>
      </c>
      <c r="G183" s="82" t="s">
        <v>19</v>
      </c>
      <c r="H183" s="64" t="s">
        <v>20</v>
      </c>
      <c r="I183" s="65">
        <v>0</v>
      </c>
      <c r="J183" s="65">
        <v>638.07000000000221</v>
      </c>
      <c r="K183" s="65">
        <v>1000</v>
      </c>
      <c r="L183" s="65">
        <v>5.2</v>
      </c>
      <c r="M183" s="84">
        <v>0</v>
      </c>
      <c r="N183" s="88">
        <f>Tabela1[[#This Row],[1QZ DE DEZ 26]]-Tabela1[[#This Row],[SALDO FINAL]]-Tabela1[[#This Row],[SALDO CARTAO]]-Tabela1[[#This Row],[ADIANTAMENTO]]</f>
        <v>356.7299999999978</v>
      </c>
      <c r="O183" s="67">
        <f>(-Tabela1[[#This Row],[SALDO REEMBOLSAR]]*$O$4)</f>
        <v>0</v>
      </c>
      <c r="P183" s="90">
        <f>IF(Tabela1[[#This Row],[CARGA PARCIAL]]&lt;0,0,Tabela1[[#This Row],[CARGA PARCIAL]])</f>
        <v>356.7299999999978</v>
      </c>
      <c r="Q183" s="93">
        <f>IF(Tabela1[[#This Row],[CARGA PARCIAL]]&lt;0,0,Tabela1[[#This Row],[CARGA PARCIAL]])+Tabela1[[#This Row],[REEMBOLSO]]</f>
        <v>356.7299999999978</v>
      </c>
      <c r="R183" s="66" t="s">
        <v>21</v>
      </c>
      <c r="S183" s="70"/>
    </row>
    <row r="184" spans="2:51" x14ac:dyDescent="0.25">
      <c r="B184" s="83" t="s">
        <v>456</v>
      </c>
      <c r="C184" s="64" t="s">
        <v>457</v>
      </c>
      <c r="D184" s="64" t="s">
        <v>17</v>
      </c>
      <c r="E184" s="64" t="s">
        <v>256</v>
      </c>
      <c r="F184" s="64">
        <v>11080440001</v>
      </c>
      <c r="G184" s="82" t="s">
        <v>244</v>
      </c>
      <c r="H184" s="64" t="s">
        <v>33</v>
      </c>
      <c r="I184" s="65">
        <v>-467.08999999999912</v>
      </c>
      <c r="J184" s="65">
        <v>0</v>
      </c>
      <c r="K184" s="65">
        <v>350</v>
      </c>
      <c r="L184" s="65">
        <v>87.34</v>
      </c>
      <c r="M184" s="84">
        <v>0</v>
      </c>
      <c r="N184" s="88">
        <f>Tabela1[[#This Row],[1QZ DE DEZ 26]]-Tabela1[[#This Row],[SALDO FINAL]]-Tabela1[[#This Row],[SALDO CARTAO]]-Tabela1[[#This Row],[ADIANTAMENTO]]</f>
        <v>262.65999999999997</v>
      </c>
      <c r="O184" s="67">
        <f>(-Tabela1[[#This Row],[SALDO REEMBOLSAR]]*$O$4)</f>
        <v>93.417999999999836</v>
      </c>
      <c r="P184" s="90">
        <f>IF(Tabela1[[#This Row],[CARGA PARCIAL]]&lt;0,0,Tabela1[[#This Row],[CARGA PARCIAL]])</f>
        <v>262.65999999999997</v>
      </c>
      <c r="Q184" s="93">
        <f>IF(Tabela1[[#This Row],[CARGA PARCIAL]]&lt;0,0,Tabela1[[#This Row],[CARGA PARCIAL]])+Tabela1[[#This Row],[REEMBOLSO]]</f>
        <v>356.0779999999998</v>
      </c>
      <c r="R184" s="66" t="s">
        <v>21</v>
      </c>
      <c r="S184" s="70"/>
    </row>
    <row r="185" spans="2:51" x14ac:dyDescent="0.25">
      <c r="B185" s="83" t="s">
        <v>496</v>
      </c>
      <c r="C185" s="64" t="s">
        <v>1832</v>
      </c>
      <c r="D185" s="64" t="s">
        <v>17</v>
      </c>
      <c r="E185" s="64" t="s">
        <v>172</v>
      </c>
      <c r="F185" s="64">
        <v>11010420001</v>
      </c>
      <c r="G185" s="82" t="s">
        <v>32</v>
      </c>
      <c r="H185" s="64" t="s">
        <v>33</v>
      </c>
      <c r="I185" s="65">
        <v>0</v>
      </c>
      <c r="J185" s="65">
        <v>155.18</v>
      </c>
      <c r="K185" s="65">
        <v>500</v>
      </c>
      <c r="L185" s="65">
        <v>2.82</v>
      </c>
      <c r="M185" s="84">
        <v>0</v>
      </c>
      <c r="N185" s="88">
        <f>Tabela1[[#This Row],[1QZ DE DEZ 26]]-Tabela1[[#This Row],[SALDO FINAL]]-Tabela1[[#This Row],[SALDO CARTAO]]-Tabela1[[#This Row],[ADIANTAMENTO]]</f>
        <v>342</v>
      </c>
      <c r="O185" s="67">
        <f>(-Tabela1[[#This Row],[SALDO REEMBOLSAR]]*$O$4)</f>
        <v>0</v>
      </c>
      <c r="P185" s="90">
        <f>IF(Tabela1[[#This Row],[CARGA PARCIAL]]&lt;0,0,Tabela1[[#This Row],[CARGA PARCIAL]])</f>
        <v>342</v>
      </c>
      <c r="Q185" s="93">
        <f>IF(Tabela1[[#This Row],[CARGA PARCIAL]]&lt;0,0,Tabela1[[#This Row],[CARGA PARCIAL]])+Tabela1[[#This Row],[REEMBOLSO]]</f>
        <v>342</v>
      </c>
      <c r="R185" s="66" t="s">
        <v>21</v>
      </c>
      <c r="S185" s="70"/>
    </row>
    <row r="186" spans="2:51" x14ac:dyDescent="0.25">
      <c r="B186" s="103" t="s">
        <v>820</v>
      </c>
      <c r="C186" s="102" t="s">
        <v>821</v>
      </c>
      <c r="D186" s="64" t="s">
        <v>17</v>
      </c>
      <c r="E186" s="64" t="s">
        <v>817</v>
      </c>
      <c r="F186" s="64">
        <v>11030890001</v>
      </c>
      <c r="G186" s="82" t="s">
        <v>19</v>
      </c>
      <c r="H186" s="64" t="s">
        <v>20</v>
      </c>
      <c r="I186" s="65">
        <v>0</v>
      </c>
      <c r="J186" s="65">
        <v>1228.9700000000012</v>
      </c>
      <c r="K186" s="65">
        <v>2000</v>
      </c>
      <c r="L186" s="65">
        <v>430.96</v>
      </c>
      <c r="M186" s="84">
        <v>0</v>
      </c>
      <c r="N186" s="88">
        <f>Tabela1[[#This Row],[1QZ DE DEZ 26]]-Tabela1[[#This Row],[SALDO FINAL]]-Tabela1[[#This Row],[SALDO CARTAO]]-Tabela1[[#This Row],[ADIANTAMENTO]]</f>
        <v>340.06999999999886</v>
      </c>
      <c r="O186" s="67">
        <f>(-Tabela1[[#This Row],[SALDO REEMBOLSAR]]*$O$4)</f>
        <v>0</v>
      </c>
      <c r="P186" s="122">
        <f>IF(Tabela1[[#This Row],[CARGA PARCIAL]]&lt;0,0,Tabela1[[#This Row],[CARGA PARCIAL]])</f>
        <v>340.06999999999886</v>
      </c>
      <c r="Q186" s="93">
        <f>IF(Tabela1[[#This Row],[CARGA PARCIAL]]&lt;0,0,Tabela1[[#This Row],[CARGA PARCIAL]])+Tabela1[[#This Row],[REEMBOLSO]]</f>
        <v>340.06999999999886</v>
      </c>
      <c r="R186" s="66" t="s">
        <v>21</v>
      </c>
      <c r="S186" s="70"/>
    </row>
    <row r="187" spans="2:51" x14ac:dyDescent="0.25">
      <c r="B187" s="103" t="s">
        <v>811</v>
      </c>
      <c r="C187" s="102" t="s">
        <v>812</v>
      </c>
      <c r="D187" s="64" t="s">
        <v>17</v>
      </c>
      <c r="E187" s="64" t="s">
        <v>651</v>
      </c>
      <c r="F187" s="64">
        <v>11061980001</v>
      </c>
      <c r="G187" s="82" t="s">
        <v>236</v>
      </c>
      <c r="H187" s="64" t="s">
        <v>33</v>
      </c>
      <c r="I187" s="65">
        <v>-94.949999999999761</v>
      </c>
      <c r="J187" s="65">
        <v>0</v>
      </c>
      <c r="K187" s="65">
        <v>500</v>
      </c>
      <c r="L187" s="65">
        <v>256.7</v>
      </c>
      <c r="M187" s="84">
        <v>0</v>
      </c>
      <c r="N187" s="88">
        <f>Tabela1[[#This Row],[1QZ DE DEZ 26]]-Tabela1[[#This Row],[SALDO FINAL]]-Tabela1[[#This Row],[SALDO CARTAO]]-Tabela1[[#This Row],[ADIANTAMENTO]]</f>
        <v>243.3</v>
      </c>
      <c r="O187" s="67">
        <f>-Tabela1[[#This Row],[SALDO REEMBOLSAR]]</f>
        <v>94.949999999999761</v>
      </c>
      <c r="P187" s="122">
        <f>IF(Tabela1[[#This Row],[CARGA PARCIAL]]&lt;0,0,Tabela1[[#This Row],[CARGA PARCIAL]])</f>
        <v>243.3</v>
      </c>
      <c r="Q187" s="93">
        <f>IF(Tabela1[[#This Row],[CARGA PARCIAL]]&lt;0,0,Tabela1[[#This Row],[CARGA PARCIAL]])+Tabela1[[#This Row],[REEMBOLSO]]</f>
        <v>338.24999999999977</v>
      </c>
      <c r="R187" s="66" t="s">
        <v>21</v>
      </c>
      <c r="S187" s="70"/>
    </row>
    <row r="188" spans="2:51" x14ac:dyDescent="0.25">
      <c r="B188" s="103" t="s">
        <v>147</v>
      </c>
      <c r="C188" s="102" t="s">
        <v>148</v>
      </c>
      <c r="D188" s="64" t="s">
        <v>17</v>
      </c>
      <c r="E188" s="64" t="s">
        <v>149</v>
      </c>
      <c r="F188" s="64">
        <v>11010330001</v>
      </c>
      <c r="G188" s="82" t="s">
        <v>32</v>
      </c>
      <c r="H188" s="64" t="s">
        <v>33</v>
      </c>
      <c r="I188" s="65">
        <v>0</v>
      </c>
      <c r="J188" s="65">
        <v>143.55000000000035</v>
      </c>
      <c r="K188" s="65">
        <v>500</v>
      </c>
      <c r="L188" s="65">
        <v>21.32</v>
      </c>
      <c r="M188" s="84">
        <v>0</v>
      </c>
      <c r="N188" s="88">
        <f>Tabela1[[#This Row],[1QZ DE DEZ 26]]-Tabela1[[#This Row],[SALDO FINAL]]-Tabela1[[#This Row],[SALDO CARTAO]]-Tabela1[[#This Row],[ADIANTAMENTO]]</f>
        <v>335.12999999999965</v>
      </c>
      <c r="O188" s="67">
        <f>(-Tabela1[[#This Row],[SALDO REEMBOLSAR]]*$O$4)</f>
        <v>0</v>
      </c>
      <c r="P188" s="122">
        <f>IF(Tabela1[[#This Row],[CARGA PARCIAL]]&lt;0,0,Tabela1[[#This Row],[CARGA PARCIAL]])</f>
        <v>335.12999999999965</v>
      </c>
      <c r="Q188" s="93">
        <f>IF(Tabela1[[#This Row],[CARGA PARCIAL]]&lt;0,0,Tabela1[[#This Row],[CARGA PARCIAL]])+Tabela1[[#This Row],[REEMBOLSO]]</f>
        <v>335.12999999999965</v>
      </c>
      <c r="R188" s="66" t="s">
        <v>21</v>
      </c>
      <c r="S188" s="70"/>
    </row>
    <row r="189" spans="2:51" x14ac:dyDescent="0.25">
      <c r="B189" s="83" t="s">
        <v>869</v>
      </c>
      <c r="C189" s="64" t="s">
        <v>1761</v>
      </c>
      <c r="D189" s="64" t="s">
        <v>17</v>
      </c>
      <c r="E189" s="64" t="s">
        <v>660</v>
      </c>
      <c r="F189" s="64">
        <v>11030600001</v>
      </c>
      <c r="G189" s="82" t="s">
        <v>236</v>
      </c>
      <c r="H189" s="64" t="s">
        <v>33</v>
      </c>
      <c r="I189" s="65">
        <v>-1630.37</v>
      </c>
      <c r="J189" s="65">
        <v>0</v>
      </c>
      <c r="K189" s="65">
        <v>0</v>
      </c>
      <c r="L189" s="65">
        <v>1630.37</v>
      </c>
      <c r="M189" s="84">
        <v>0</v>
      </c>
      <c r="N189" s="88">
        <f>Tabela1[[#This Row],[1QZ DE DEZ 26]]-Tabela1[[#This Row],[SALDO FINAL]]-Tabela1[[#This Row],[SALDO CARTAO]]-Tabela1[[#This Row],[ADIANTAMENTO]]</f>
        <v>-1630.37</v>
      </c>
      <c r="O189" s="67">
        <f>(-Tabela1[[#This Row],[SALDO REEMBOLSAR]]*$O$4)</f>
        <v>326.07400000000001</v>
      </c>
      <c r="P189" s="90">
        <f>IF(Tabela1[[#This Row],[CARGA PARCIAL]]&lt;0,0,Tabela1[[#This Row],[CARGA PARCIAL]])</f>
        <v>0</v>
      </c>
      <c r="Q189" s="93">
        <f>IF(Tabela1[[#This Row],[CARGA PARCIAL]]&lt;0,0,Tabela1[[#This Row],[CARGA PARCIAL]])+Tabela1[[#This Row],[REEMBOLSO]]</f>
        <v>326.07400000000001</v>
      </c>
      <c r="R189" s="66" t="s">
        <v>21</v>
      </c>
      <c r="S189" s="70"/>
    </row>
    <row r="190" spans="2:51" x14ac:dyDescent="0.25">
      <c r="B190" s="83" t="s">
        <v>585</v>
      </c>
      <c r="C190" s="64" t="s">
        <v>586</v>
      </c>
      <c r="D190" s="64" t="s">
        <v>17</v>
      </c>
      <c r="E190" s="64" t="s">
        <v>81</v>
      </c>
      <c r="F190" s="64">
        <v>11062670001</v>
      </c>
      <c r="G190" s="82" t="s">
        <v>32</v>
      </c>
      <c r="H190" s="64" t="s">
        <v>33</v>
      </c>
      <c r="I190" s="65">
        <v>0</v>
      </c>
      <c r="J190" s="65">
        <v>395.00000000000045</v>
      </c>
      <c r="K190" s="65">
        <v>800</v>
      </c>
      <c r="L190" s="65">
        <v>79</v>
      </c>
      <c r="M190" s="84">
        <v>0</v>
      </c>
      <c r="N190" s="88">
        <f>Tabela1[[#This Row],[1QZ DE DEZ 26]]-Tabela1[[#This Row],[SALDO FINAL]]-Tabela1[[#This Row],[SALDO CARTAO]]-Tabela1[[#This Row],[ADIANTAMENTO]]</f>
        <v>325.99999999999955</v>
      </c>
      <c r="O190" s="67">
        <f>(-Tabela1[[#This Row],[SALDO REEMBOLSAR]]*$O$4)</f>
        <v>0</v>
      </c>
      <c r="P190" s="90">
        <f>IF(Tabela1[[#This Row],[CARGA PARCIAL]]&lt;0,0,Tabela1[[#This Row],[CARGA PARCIAL]])</f>
        <v>325.99999999999955</v>
      </c>
      <c r="Q190" s="93">
        <f>IF(Tabela1[[#This Row],[CARGA PARCIAL]]&lt;0,0,Tabela1[[#This Row],[CARGA PARCIAL]])+Tabela1[[#This Row],[REEMBOLSO]]</f>
        <v>325.99999999999955</v>
      </c>
      <c r="R190" s="66" t="s">
        <v>21</v>
      </c>
      <c r="S190" s="70"/>
    </row>
    <row r="191" spans="2:51" x14ac:dyDescent="0.25">
      <c r="B191" s="103" t="s">
        <v>187</v>
      </c>
      <c r="C191" s="102" t="s">
        <v>188</v>
      </c>
      <c r="D191" s="64" t="s">
        <v>17</v>
      </c>
      <c r="E191" s="64" t="s">
        <v>81</v>
      </c>
      <c r="F191" s="64">
        <v>11062670001</v>
      </c>
      <c r="G191" s="82" t="s">
        <v>32</v>
      </c>
      <c r="H191" s="64" t="s">
        <v>33</v>
      </c>
      <c r="I191" s="65">
        <v>0</v>
      </c>
      <c r="J191" s="65">
        <v>379.99999999999977</v>
      </c>
      <c r="K191" s="65">
        <v>800</v>
      </c>
      <c r="L191" s="65">
        <v>96.03</v>
      </c>
      <c r="M191" s="84">
        <v>0</v>
      </c>
      <c r="N191" s="88">
        <f>Tabela1[[#This Row],[1QZ DE DEZ 26]]-Tabela1[[#This Row],[SALDO FINAL]]-Tabela1[[#This Row],[SALDO CARTAO]]-Tabela1[[#This Row],[ADIANTAMENTO]]</f>
        <v>323.97000000000025</v>
      </c>
      <c r="O191" s="67">
        <f>(-Tabela1[[#This Row],[SALDO REEMBOLSAR]]*$O$4)</f>
        <v>0</v>
      </c>
      <c r="P191" s="122">
        <f>IF(Tabela1[[#This Row],[CARGA PARCIAL]]&lt;0,0,Tabela1[[#This Row],[CARGA PARCIAL]])</f>
        <v>323.97000000000025</v>
      </c>
      <c r="Q191" s="93">
        <f>IF(Tabela1[[#This Row],[CARGA PARCIAL]]&lt;0,0,Tabela1[[#This Row],[CARGA PARCIAL]])+Tabela1[[#This Row],[REEMBOLSO]]</f>
        <v>323.97000000000025</v>
      </c>
      <c r="R191" s="66" t="s">
        <v>21</v>
      </c>
      <c r="S191" s="70"/>
    </row>
    <row r="192" spans="2:51" x14ac:dyDescent="0.25">
      <c r="B192" s="83" t="s">
        <v>288</v>
      </c>
      <c r="C192" s="64" t="s">
        <v>289</v>
      </c>
      <c r="D192" s="64" t="s">
        <v>17</v>
      </c>
      <c r="E192" s="64" t="s">
        <v>290</v>
      </c>
      <c r="F192" s="64">
        <v>11010370001</v>
      </c>
      <c r="G192" s="82" t="s">
        <v>244</v>
      </c>
      <c r="H192" s="64" t="s">
        <v>33</v>
      </c>
      <c r="I192" s="65">
        <v>0</v>
      </c>
      <c r="J192" s="65">
        <v>178.00000000000023</v>
      </c>
      <c r="K192" s="65">
        <v>500</v>
      </c>
      <c r="L192" s="65">
        <v>3</v>
      </c>
      <c r="M192" s="84">
        <v>0</v>
      </c>
      <c r="N192" s="88">
        <f>Tabela1[[#This Row],[1QZ DE DEZ 26]]-Tabela1[[#This Row],[SALDO FINAL]]-Tabela1[[#This Row],[SALDO CARTAO]]-Tabela1[[#This Row],[ADIANTAMENTO]]</f>
        <v>318.99999999999977</v>
      </c>
      <c r="O192" s="67">
        <f>(-Tabela1[[#This Row],[SALDO REEMBOLSAR]]*$O$4)</f>
        <v>0</v>
      </c>
      <c r="P192" s="90">
        <f>IF(Tabela1[[#This Row],[CARGA PARCIAL]]&lt;0,0,Tabela1[[#This Row],[CARGA PARCIAL]])</f>
        <v>318.99999999999977</v>
      </c>
      <c r="Q192" s="93">
        <f>IF(Tabela1[[#This Row],[CARGA PARCIAL]]&lt;0,0,Tabela1[[#This Row],[CARGA PARCIAL]])+Tabela1[[#This Row],[REEMBOLSO]]</f>
        <v>318.99999999999977</v>
      </c>
      <c r="R192" s="66" t="s">
        <v>21</v>
      </c>
      <c r="S192" s="70"/>
    </row>
    <row r="193" spans="2:19" x14ac:dyDescent="0.25">
      <c r="B193" s="83" t="s">
        <v>417</v>
      </c>
      <c r="C193" s="64" t="s">
        <v>418</v>
      </c>
      <c r="D193" s="64" t="s">
        <v>17</v>
      </c>
      <c r="E193" s="64" t="s">
        <v>81</v>
      </c>
      <c r="F193" s="64">
        <v>11062670001</v>
      </c>
      <c r="G193" s="82" t="s">
        <v>32</v>
      </c>
      <c r="H193" s="64" t="s">
        <v>33</v>
      </c>
      <c r="I193" s="65">
        <v>0</v>
      </c>
      <c r="J193" s="65">
        <v>449.35999999999927</v>
      </c>
      <c r="K193" s="65">
        <v>800</v>
      </c>
      <c r="L193" s="65">
        <v>32.19</v>
      </c>
      <c r="M193" s="84">
        <v>0</v>
      </c>
      <c r="N193" s="88">
        <f>Tabela1[[#This Row],[1QZ DE DEZ 26]]-Tabela1[[#This Row],[SALDO FINAL]]-Tabela1[[#This Row],[SALDO CARTAO]]-Tabela1[[#This Row],[ADIANTAMENTO]]</f>
        <v>318.45000000000073</v>
      </c>
      <c r="O193" s="67">
        <f>(-Tabela1[[#This Row],[SALDO REEMBOLSAR]]*$O$4)</f>
        <v>0</v>
      </c>
      <c r="P193" s="90">
        <f>IF(Tabela1[[#This Row],[CARGA PARCIAL]]&lt;0,0,Tabela1[[#This Row],[CARGA PARCIAL]])</f>
        <v>318.45000000000073</v>
      </c>
      <c r="Q193" s="93">
        <f>IF(Tabela1[[#This Row],[CARGA PARCIAL]]&lt;0,0,Tabela1[[#This Row],[CARGA PARCIAL]])+Tabela1[[#This Row],[REEMBOLSO]]</f>
        <v>318.45000000000073</v>
      </c>
      <c r="R193" s="66" t="s">
        <v>21</v>
      </c>
      <c r="S193" s="70"/>
    </row>
    <row r="194" spans="2:19" x14ac:dyDescent="0.25">
      <c r="B194" s="103" t="s">
        <v>759</v>
      </c>
      <c r="C194" s="102" t="s">
        <v>760</v>
      </c>
      <c r="D194" s="64" t="s">
        <v>17</v>
      </c>
      <c r="E194" s="64" t="s">
        <v>761</v>
      </c>
      <c r="F194" s="64">
        <v>11061950001</v>
      </c>
      <c r="G194" s="82" t="s">
        <v>244</v>
      </c>
      <c r="H194" s="64" t="s">
        <v>33</v>
      </c>
      <c r="I194" s="65">
        <v>0</v>
      </c>
      <c r="J194" s="65">
        <v>182.5</v>
      </c>
      <c r="K194" s="65">
        <v>500</v>
      </c>
      <c r="L194" s="65">
        <v>3</v>
      </c>
      <c r="M194" s="84">
        <v>0</v>
      </c>
      <c r="N194" s="88">
        <f>Tabela1[[#This Row],[1QZ DE DEZ 26]]-Tabela1[[#This Row],[SALDO FINAL]]-Tabela1[[#This Row],[SALDO CARTAO]]-Tabela1[[#This Row],[ADIANTAMENTO]]</f>
        <v>314.5</v>
      </c>
      <c r="O194" s="67">
        <f>(-Tabela1[[#This Row],[SALDO REEMBOLSAR]]*$O$4)</f>
        <v>0</v>
      </c>
      <c r="P194" s="122">
        <f>IF(Tabela1[[#This Row],[CARGA PARCIAL]]&lt;0,0,Tabela1[[#This Row],[CARGA PARCIAL]])</f>
        <v>314.5</v>
      </c>
      <c r="Q194" s="93">
        <f>IF(Tabela1[[#This Row],[CARGA PARCIAL]]&lt;0,0,Tabela1[[#This Row],[CARGA PARCIAL]])+Tabela1[[#This Row],[REEMBOLSO]]</f>
        <v>314.5</v>
      </c>
      <c r="R194" s="66" t="s">
        <v>21</v>
      </c>
      <c r="S194" s="70"/>
    </row>
    <row r="195" spans="2:19" x14ac:dyDescent="0.25">
      <c r="B195" s="103" t="s">
        <v>170</v>
      </c>
      <c r="C195" s="102" t="s">
        <v>171</v>
      </c>
      <c r="D195" s="64" t="s">
        <v>17</v>
      </c>
      <c r="E195" s="64" t="s">
        <v>172</v>
      </c>
      <c r="F195" s="64">
        <v>11010420001</v>
      </c>
      <c r="G195" s="82" t="s">
        <v>32</v>
      </c>
      <c r="H195" s="64" t="s">
        <v>33</v>
      </c>
      <c r="I195" s="65">
        <v>0</v>
      </c>
      <c r="J195" s="65">
        <v>1170.2700000000007</v>
      </c>
      <c r="K195" s="65">
        <v>1500</v>
      </c>
      <c r="L195" s="65">
        <v>25.01</v>
      </c>
      <c r="M195" s="84">
        <v>0</v>
      </c>
      <c r="N195" s="88">
        <f>Tabela1[[#This Row],[1QZ DE DEZ 26]]-Tabela1[[#This Row],[SALDO FINAL]]-Tabela1[[#This Row],[SALDO CARTAO]]-Tabela1[[#This Row],[ADIANTAMENTO]]</f>
        <v>304.71999999999935</v>
      </c>
      <c r="O195" s="67">
        <f>(-Tabela1[[#This Row],[SALDO REEMBOLSAR]]*$O$4)</f>
        <v>0</v>
      </c>
      <c r="P195" s="122">
        <f>IF(Tabela1[[#This Row],[CARGA PARCIAL]]&lt;0,0,Tabela1[[#This Row],[CARGA PARCIAL]])</f>
        <v>304.71999999999935</v>
      </c>
      <c r="Q195" s="93">
        <f>IF(Tabela1[[#This Row],[CARGA PARCIAL]]&lt;0,0,Tabela1[[#This Row],[CARGA PARCIAL]])+Tabela1[[#This Row],[REEMBOLSO]]</f>
        <v>304.71999999999935</v>
      </c>
      <c r="R195" s="66" t="s">
        <v>21</v>
      </c>
      <c r="S195" s="70"/>
    </row>
    <row r="196" spans="2:19" x14ac:dyDescent="0.25">
      <c r="B196" s="83" t="s">
        <v>324</v>
      </c>
      <c r="C196" s="64" t="s">
        <v>325</v>
      </c>
      <c r="D196" s="64" t="s">
        <v>17</v>
      </c>
      <c r="E196" s="64" t="s">
        <v>1775</v>
      </c>
      <c r="F196" s="64">
        <v>11010120001</v>
      </c>
      <c r="G196" s="82" t="s">
        <v>1989</v>
      </c>
      <c r="H196" s="64" t="s">
        <v>20</v>
      </c>
      <c r="I196" s="65">
        <v>-26.55</v>
      </c>
      <c r="J196" s="65">
        <v>0</v>
      </c>
      <c r="K196" s="65">
        <v>300</v>
      </c>
      <c r="L196" s="65">
        <v>26.55</v>
      </c>
      <c r="M196" s="84">
        <v>0</v>
      </c>
      <c r="N196" s="88">
        <f>Tabela1[[#This Row],[1QZ DE DEZ 26]]-Tabela1[[#This Row],[SALDO FINAL]]-Tabela1[[#This Row],[SALDO CARTAO]]-Tabela1[[#This Row],[ADIANTAMENTO]]</f>
        <v>273.45</v>
      </c>
      <c r="O196" s="67">
        <f>-Tabela1[[#This Row],[SALDO REEMBOLSAR]]</f>
        <v>26.55</v>
      </c>
      <c r="P196" s="90">
        <f>IF(Tabela1[[#This Row],[CARGA PARCIAL]]&lt;0,0,Tabela1[[#This Row],[CARGA PARCIAL]])</f>
        <v>273.45</v>
      </c>
      <c r="Q196" s="93">
        <f>IF(Tabela1[[#This Row],[CARGA PARCIAL]]&lt;0,0,Tabela1[[#This Row],[CARGA PARCIAL]])+Tabela1[[#This Row],[REEMBOLSO]]</f>
        <v>300</v>
      </c>
      <c r="R196" s="66" t="s">
        <v>21</v>
      </c>
      <c r="S196" s="70"/>
    </row>
    <row r="197" spans="2:19" x14ac:dyDescent="0.25">
      <c r="B197" s="103" t="s">
        <v>390</v>
      </c>
      <c r="C197" s="102" t="s">
        <v>391</v>
      </c>
      <c r="D197" s="64" t="s">
        <v>17</v>
      </c>
      <c r="E197" s="64" t="s">
        <v>392</v>
      </c>
      <c r="F197" s="64">
        <v>11061770001</v>
      </c>
      <c r="G197" s="82" t="s">
        <v>236</v>
      </c>
      <c r="H197" s="64" t="s">
        <v>33</v>
      </c>
      <c r="I197" s="65">
        <v>-793.40999999999894</v>
      </c>
      <c r="J197" s="65">
        <v>0</v>
      </c>
      <c r="K197" s="65">
        <v>200</v>
      </c>
      <c r="L197" s="65">
        <v>77.959999999999994</v>
      </c>
      <c r="M197" s="84">
        <v>0</v>
      </c>
      <c r="N197" s="88">
        <f>Tabela1[[#This Row],[1QZ DE DEZ 26]]-Tabela1[[#This Row],[SALDO FINAL]]-Tabela1[[#This Row],[SALDO CARTAO]]-Tabela1[[#This Row],[ADIANTAMENTO]]</f>
        <v>122.04</v>
      </c>
      <c r="O197" s="67">
        <f>(-Tabela1[[#This Row],[SALDO REEMBOLSAR]]*$O$4)</f>
        <v>158.68199999999979</v>
      </c>
      <c r="P197" s="122">
        <f>IF(Tabela1[[#This Row],[CARGA PARCIAL]]&lt;0,0,Tabela1[[#This Row],[CARGA PARCIAL]])</f>
        <v>122.04</v>
      </c>
      <c r="Q197" s="93">
        <f>IF(Tabela1[[#This Row],[CARGA PARCIAL]]&lt;0,0,Tabela1[[#This Row],[CARGA PARCIAL]])+Tabela1[[#This Row],[REEMBOLSO]]</f>
        <v>280.72199999999981</v>
      </c>
      <c r="R197" s="66" t="s">
        <v>21</v>
      </c>
      <c r="S197" s="70"/>
    </row>
    <row r="198" spans="2:19" x14ac:dyDescent="0.25">
      <c r="B198" s="83" t="s">
        <v>300</v>
      </c>
      <c r="C198" s="64" t="s">
        <v>301</v>
      </c>
      <c r="D198" s="64" t="s">
        <v>17</v>
      </c>
      <c r="E198" s="64" t="s">
        <v>24</v>
      </c>
      <c r="F198" s="64">
        <v>11040160001</v>
      </c>
      <c r="G198" s="82" t="s">
        <v>25</v>
      </c>
      <c r="H198" s="64" t="s">
        <v>20</v>
      </c>
      <c r="I198" s="65">
        <v>-1390.25</v>
      </c>
      <c r="J198" s="65">
        <v>0</v>
      </c>
      <c r="K198" s="65">
        <v>400</v>
      </c>
      <c r="L198" s="65">
        <v>941.7</v>
      </c>
      <c r="M198" s="84">
        <v>0</v>
      </c>
      <c r="N198" s="88">
        <f>Tabela1[[#This Row],[1QZ DE DEZ 26]]-Tabela1[[#This Row],[SALDO FINAL]]-Tabela1[[#This Row],[SALDO CARTAO]]-Tabela1[[#This Row],[ADIANTAMENTO]]</f>
        <v>-541.70000000000005</v>
      </c>
      <c r="O198" s="67">
        <f>(-Tabela1[[#This Row],[SALDO REEMBOLSAR]]*$O$4)</f>
        <v>278.05</v>
      </c>
      <c r="P198" s="90">
        <f>IF(Tabela1[[#This Row],[CARGA PARCIAL]]&lt;0,0,Tabela1[[#This Row],[CARGA PARCIAL]])</f>
        <v>0</v>
      </c>
      <c r="Q198" s="93">
        <f>IF(Tabela1[[#This Row],[CARGA PARCIAL]]&lt;0,0,Tabela1[[#This Row],[CARGA PARCIAL]])+Tabela1[[#This Row],[REEMBOLSO]]</f>
        <v>278.05</v>
      </c>
      <c r="R198" s="66" t="s">
        <v>21</v>
      </c>
      <c r="S198" s="70"/>
    </row>
    <row r="199" spans="2:19" x14ac:dyDescent="0.25">
      <c r="B199" s="83" t="s">
        <v>596</v>
      </c>
      <c r="C199" s="64" t="s">
        <v>597</v>
      </c>
      <c r="D199" s="64" t="s">
        <v>17</v>
      </c>
      <c r="E199" s="64" t="s">
        <v>256</v>
      </c>
      <c r="F199" s="64">
        <v>11080440001</v>
      </c>
      <c r="G199" s="82" t="s">
        <v>244</v>
      </c>
      <c r="H199" s="64" t="s">
        <v>33</v>
      </c>
      <c r="I199" s="65">
        <v>0</v>
      </c>
      <c r="J199" s="65">
        <v>721.47999999999934</v>
      </c>
      <c r="K199" s="65">
        <v>1000</v>
      </c>
      <c r="L199" s="65">
        <v>3</v>
      </c>
      <c r="M199" s="84">
        <v>0</v>
      </c>
      <c r="N199" s="88">
        <f>Tabela1[[#This Row],[1QZ DE DEZ 26]]-Tabela1[[#This Row],[SALDO FINAL]]-Tabela1[[#This Row],[SALDO CARTAO]]-Tabela1[[#This Row],[ADIANTAMENTO]]</f>
        <v>275.52000000000066</v>
      </c>
      <c r="O199" s="67">
        <f>(-Tabela1[[#This Row],[SALDO REEMBOLSAR]]*$O$4)</f>
        <v>0</v>
      </c>
      <c r="P199" s="90">
        <f>IF(Tabela1[[#This Row],[CARGA PARCIAL]]&lt;0,0,Tabela1[[#This Row],[CARGA PARCIAL]])</f>
        <v>275.52000000000066</v>
      </c>
      <c r="Q199" s="93">
        <f>IF(Tabela1[[#This Row],[CARGA PARCIAL]]&lt;0,0,Tabela1[[#This Row],[CARGA PARCIAL]])+Tabela1[[#This Row],[REEMBOLSO]]</f>
        <v>275.52000000000066</v>
      </c>
      <c r="R199" s="66" t="s">
        <v>21</v>
      </c>
      <c r="S199" s="70"/>
    </row>
    <row r="200" spans="2:19" x14ac:dyDescent="0.25">
      <c r="B200" s="83" t="s">
        <v>1243</v>
      </c>
      <c r="C200" s="64" t="s">
        <v>1645</v>
      </c>
      <c r="D200" s="64" t="s">
        <v>17</v>
      </c>
      <c r="E200" s="64" t="s">
        <v>159</v>
      </c>
      <c r="F200" s="64">
        <v>11030750001</v>
      </c>
      <c r="G200" s="82" t="s">
        <v>32</v>
      </c>
      <c r="H200" s="64" t="s">
        <v>33</v>
      </c>
      <c r="I200" s="65">
        <v>-1364.3600000000235</v>
      </c>
      <c r="J200" s="65">
        <v>0</v>
      </c>
      <c r="K200" s="65">
        <v>0</v>
      </c>
      <c r="L200" s="65">
        <v>81.03</v>
      </c>
      <c r="M200" s="84">
        <v>0</v>
      </c>
      <c r="N200" s="88">
        <f>Tabela1[[#This Row],[1QZ DE DEZ 26]]-Tabela1[[#This Row],[SALDO FINAL]]-Tabela1[[#This Row],[SALDO CARTAO]]-Tabela1[[#This Row],[ADIANTAMENTO]]</f>
        <v>-81.03</v>
      </c>
      <c r="O200" s="67">
        <f>(-Tabela1[[#This Row],[SALDO REEMBOLSAR]]*$O$4)</f>
        <v>272.87200000000473</v>
      </c>
      <c r="P200" s="90">
        <f>IF(Tabela1[[#This Row],[CARGA PARCIAL]]&lt;0,0,Tabela1[[#This Row],[CARGA PARCIAL]])</f>
        <v>0</v>
      </c>
      <c r="Q200" s="93">
        <f>IF(Tabela1[[#This Row],[CARGA PARCIAL]]&lt;0,0,Tabela1[[#This Row],[CARGA PARCIAL]])+Tabela1[[#This Row],[REEMBOLSO]]</f>
        <v>272.87200000000473</v>
      </c>
      <c r="R200" s="66" t="s">
        <v>21</v>
      </c>
      <c r="S200" s="70"/>
    </row>
    <row r="201" spans="2:19" x14ac:dyDescent="0.25">
      <c r="B201" s="83" t="s">
        <v>66</v>
      </c>
      <c r="C201" s="64" t="s">
        <v>67</v>
      </c>
      <c r="D201" s="64" t="s">
        <v>17</v>
      </c>
      <c r="E201" s="64" t="s">
        <v>68</v>
      </c>
      <c r="F201" s="64">
        <v>11010230001</v>
      </c>
      <c r="G201" s="82" t="s">
        <v>25</v>
      </c>
      <c r="H201" s="64" t="s">
        <v>20</v>
      </c>
      <c r="I201" s="65">
        <v>-1183.7899999999995</v>
      </c>
      <c r="J201" s="65">
        <v>0</v>
      </c>
      <c r="K201" s="65">
        <v>500</v>
      </c>
      <c r="L201" s="65">
        <v>468.42</v>
      </c>
      <c r="M201" s="84">
        <v>0</v>
      </c>
      <c r="N201" s="88">
        <f>Tabela1[[#This Row],[1QZ DE DEZ 26]]-Tabela1[[#This Row],[SALDO FINAL]]-Tabela1[[#This Row],[SALDO CARTAO]]-Tabela1[[#This Row],[ADIANTAMENTO]]</f>
        <v>31.579999999999984</v>
      </c>
      <c r="O201" s="67">
        <f>(-Tabela1[[#This Row],[SALDO REEMBOLSAR]]*$O$4)</f>
        <v>236.75799999999992</v>
      </c>
      <c r="P201" s="90">
        <f>IF(Tabela1[[#This Row],[CARGA PARCIAL]]&lt;0,0,Tabela1[[#This Row],[CARGA PARCIAL]])</f>
        <v>31.579999999999984</v>
      </c>
      <c r="Q201" s="93">
        <f>IF(Tabela1[[#This Row],[CARGA PARCIAL]]&lt;0,0,Tabela1[[#This Row],[CARGA PARCIAL]])+Tabela1[[#This Row],[REEMBOLSO]]</f>
        <v>268.33799999999991</v>
      </c>
      <c r="R201" s="66" t="s">
        <v>21</v>
      </c>
      <c r="S201" s="70"/>
    </row>
    <row r="202" spans="2:19" x14ac:dyDescent="0.25">
      <c r="B202" s="83" t="s">
        <v>636</v>
      </c>
      <c r="C202" s="64" t="s">
        <v>637</v>
      </c>
      <c r="D202" s="64" t="s">
        <v>17</v>
      </c>
      <c r="E202" s="64" t="s">
        <v>299</v>
      </c>
      <c r="F202" s="64">
        <v>11062050001</v>
      </c>
      <c r="G202" s="82" t="s">
        <v>240</v>
      </c>
      <c r="H202" s="64" t="s">
        <v>33</v>
      </c>
      <c r="I202" s="65">
        <v>-29.799999999999955</v>
      </c>
      <c r="J202" s="65">
        <v>0</v>
      </c>
      <c r="K202" s="65">
        <v>240</v>
      </c>
      <c r="L202" s="65">
        <v>3</v>
      </c>
      <c r="M202" s="84">
        <v>0</v>
      </c>
      <c r="N202" s="88">
        <f>Tabela1[[#This Row],[1QZ DE DEZ 26]]-Tabela1[[#This Row],[SALDO FINAL]]-Tabela1[[#This Row],[SALDO CARTAO]]-Tabela1[[#This Row],[ADIANTAMENTO]]</f>
        <v>237</v>
      </c>
      <c r="O202" s="67">
        <f>-Tabela1[[#This Row],[SALDO REEMBOLSAR]]</f>
        <v>29.799999999999955</v>
      </c>
      <c r="P202" s="90">
        <f>IF(Tabela1[[#This Row],[CARGA PARCIAL]]&lt;0,0,Tabela1[[#This Row],[CARGA PARCIAL]])</f>
        <v>237</v>
      </c>
      <c r="Q202" s="93">
        <f>IF(Tabela1[[#This Row],[CARGA PARCIAL]]&lt;0,0,Tabela1[[#This Row],[CARGA PARCIAL]])+Tabela1[[#This Row],[REEMBOLSO]]</f>
        <v>266.79999999999995</v>
      </c>
      <c r="R202" s="66" t="s">
        <v>21</v>
      </c>
      <c r="S202" s="70"/>
    </row>
    <row r="203" spans="2:19" x14ac:dyDescent="0.25">
      <c r="B203" s="83" t="s">
        <v>581</v>
      </c>
      <c r="C203" s="64" t="s">
        <v>582</v>
      </c>
      <c r="D203" s="64" t="s">
        <v>17</v>
      </c>
      <c r="E203" s="64" t="s">
        <v>524</v>
      </c>
      <c r="F203" s="64">
        <v>11010180001</v>
      </c>
      <c r="G203" s="82" t="s">
        <v>244</v>
      </c>
      <c r="H203" s="64" t="s">
        <v>33</v>
      </c>
      <c r="I203" s="65">
        <v>-280.61999999999932</v>
      </c>
      <c r="J203" s="65">
        <v>0</v>
      </c>
      <c r="K203" s="65">
        <v>500</v>
      </c>
      <c r="L203" s="65">
        <v>290.72000000000003</v>
      </c>
      <c r="M203" s="84">
        <v>0</v>
      </c>
      <c r="N203" s="88">
        <f>Tabela1[[#This Row],[1QZ DE DEZ 26]]-Tabela1[[#This Row],[SALDO FINAL]]-Tabela1[[#This Row],[SALDO CARTAO]]-Tabela1[[#This Row],[ADIANTAMENTO]]</f>
        <v>209.27999999999997</v>
      </c>
      <c r="O203" s="67">
        <f>(-Tabela1[[#This Row],[SALDO REEMBOLSAR]]*$O$4)</f>
        <v>56.123999999999867</v>
      </c>
      <c r="P203" s="90">
        <f>IF(Tabela1[[#This Row],[CARGA PARCIAL]]&lt;0,0,Tabela1[[#This Row],[CARGA PARCIAL]])</f>
        <v>209.27999999999997</v>
      </c>
      <c r="Q203" s="93">
        <f>IF(Tabela1[[#This Row],[CARGA PARCIAL]]&lt;0,0,Tabela1[[#This Row],[CARGA PARCIAL]])+Tabela1[[#This Row],[REEMBOLSO]]</f>
        <v>265.40399999999983</v>
      </c>
      <c r="R203" s="66" t="s">
        <v>21</v>
      </c>
      <c r="S203" s="70"/>
    </row>
    <row r="204" spans="2:19" x14ac:dyDescent="0.25">
      <c r="B204" s="103" t="s">
        <v>766</v>
      </c>
      <c r="C204" s="102" t="s">
        <v>767</v>
      </c>
      <c r="D204" s="64" t="s">
        <v>17</v>
      </c>
      <c r="E204" s="64" t="s">
        <v>768</v>
      </c>
      <c r="F204" s="64">
        <v>11010150001</v>
      </c>
      <c r="G204" s="82" t="s">
        <v>244</v>
      </c>
      <c r="H204" s="64" t="s">
        <v>33</v>
      </c>
      <c r="I204" s="65">
        <v>-14.599999999999227</v>
      </c>
      <c r="J204" s="65">
        <v>0</v>
      </c>
      <c r="K204" s="65">
        <v>500</v>
      </c>
      <c r="L204" s="65">
        <v>282.27999999999997</v>
      </c>
      <c r="M204" s="84">
        <v>0</v>
      </c>
      <c r="N204" s="88">
        <f>Tabela1[[#This Row],[1QZ DE DEZ 26]]-Tabela1[[#This Row],[SALDO FINAL]]-Tabela1[[#This Row],[SALDO CARTAO]]-Tabela1[[#This Row],[ADIANTAMENTO]]</f>
        <v>217.72000000000003</v>
      </c>
      <c r="O204" s="67">
        <f>-Tabela1[[#This Row],[SALDO REEMBOLSAR]]</f>
        <v>14.599999999999227</v>
      </c>
      <c r="P204" s="122">
        <f>IF(Tabela1[[#This Row],[CARGA PARCIAL]]&lt;0,0,Tabela1[[#This Row],[CARGA PARCIAL]])</f>
        <v>217.72000000000003</v>
      </c>
      <c r="Q204" s="93">
        <f>IF(Tabela1[[#This Row],[CARGA PARCIAL]]&lt;0,0,Tabela1[[#This Row],[CARGA PARCIAL]])+Tabela1[[#This Row],[REEMBOLSO]]</f>
        <v>232.31999999999925</v>
      </c>
      <c r="R204" s="66" t="s">
        <v>21</v>
      </c>
      <c r="S204" s="70"/>
    </row>
    <row r="205" spans="2:19" x14ac:dyDescent="0.25">
      <c r="B205" s="83" t="s">
        <v>567</v>
      </c>
      <c r="C205" s="64" t="s">
        <v>568</v>
      </c>
      <c r="D205" s="64" t="s">
        <v>17</v>
      </c>
      <c r="E205" s="64" t="s">
        <v>569</v>
      </c>
      <c r="F205" s="64">
        <v>11080200001</v>
      </c>
      <c r="G205" s="82" t="s">
        <v>19</v>
      </c>
      <c r="H205" s="64" t="s">
        <v>20</v>
      </c>
      <c r="I205" s="65">
        <v>0</v>
      </c>
      <c r="J205" s="65">
        <v>247.16000000000025</v>
      </c>
      <c r="K205" s="65">
        <v>500</v>
      </c>
      <c r="L205" s="65">
        <v>28.06</v>
      </c>
      <c r="M205" s="84">
        <v>0</v>
      </c>
      <c r="N205" s="88">
        <f>Tabela1[[#This Row],[1QZ DE DEZ 26]]-Tabela1[[#This Row],[SALDO FINAL]]-Tabela1[[#This Row],[SALDO CARTAO]]-Tabela1[[#This Row],[ADIANTAMENTO]]</f>
        <v>224.77999999999975</v>
      </c>
      <c r="O205" s="67">
        <f>(-Tabela1[[#This Row],[SALDO REEMBOLSAR]]*$O$4)</f>
        <v>0</v>
      </c>
      <c r="P205" s="90">
        <f>IF(Tabela1[[#This Row],[CARGA PARCIAL]]&lt;0,0,Tabela1[[#This Row],[CARGA PARCIAL]])</f>
        <v>224.77999999999975</v>
      </c>
      <c r="Q205" s="93">
        <f>IF(Tabela1[[#This Row],[CARGA PARCIAL]]&lt;0,0,Tabela1[[#This Row],[CARGA PARCIAL]])+Tabela1[[#This Row],[REEMBOLSO]]</f>
        <v>224.77999999999975</v>
      </c>
      <c r="R205" s="66" t="s">
        <v>21</v>
      </c>
      <c r="S205" s="70"/>
    </row>
    <row r="206" spans="2:19" x14ac:dyDescent="0.25">
      <c r="B206" s="83" t="s">
        <v>428</v>
      </c>
      <c r="C206" s="64" t="s">
        <v>429</v>
      </c>
      <c r="D206" s="64" t="s">
        <v>17</v>
      </c>
      <c r="E206" s="64" t="s">
        <v>239</v>
      </c>
      <c r="F206" s="64">
        <v>11040130001</v>
      </c>
      <c r="G206" s="82" t="s">
        <v>240</v>
      </c>
      <c r="H206" s="64" t="s">
        <v>33</v>
      </c>
      <c r="I206" s="65">
        <v>-484.59999999999991</v>
      </c>
      <c r="J206" s="65">
        <v>0</v>
      </c>
      <c r="K206" s="65">
        <v>120</v>
      </c>
      <c r="L206" s="65">
        <v>0</v>
      </c>
      <c r="M206" s="84">
        <v>0</v>
      </c>
      <c r="N206" s="88">
        <f>Tabela1[[#This Row],[1QZ DE DEZ 26]]-Tabela1[[#This Row],[SALDO FINAL]]-Tabela1[[#This Row],[SALDO CARTAO]]-Tabela1[[#This Row],[ADIANTAMENTO]]</f>
        <v>120</v>
      </c>
      <c r="O206" s="67">
        <f>(-Tabela1[[#This Row],[SALDO REEMBOLSAR]]*$O$4)</f>
        <v>96.919999999999987</v>
      </c>
      <c r="P206" s="90">
        <f>IF(Tabela1[[#This Row],[CARGA PARCIAL]]&lt;0,0,Tabela1[[#This Row],[CARGA PARCIAL]])</f>
        <v>120</v>
      </c>
      <c r="Q206" s="93">
        <f>IF(Tabela1[[#This Row],[CARGA PARCIAL]]&lt;0,0,Tabela1[[#This Row],[CARGA PARCIAL]])+Tabela1[[#This Row],[REEMBOLSO]]</f>
        <v>216.92</v>
      </c>
      <c r="R206" s="66" t="s">
        <v>21</v>
      </c>
      <c r="S206" s="70"/>
    </row>
    <row r="207" spans="2:19" x14ac:dyDescent="0.25">
      <c r="B207" s="83" t="s">
        <v>1299</v>
      </c>
      <c r="C207" s="64" t="s">
        <v>1875</v>
      </c>
      <c r="D207" s="64" t="s">
        <v>17</v>
      </c>
      <c r="E207" s="64" t="s">
        <v>24</v>
      </c>
      <c r="F207" s="64">
        <v>11040160001</v>
      </c>
      <c r="G207" s="82" t="s">
        <v>25</v>
      </c>
      <c r="H207" s="64" t="s">
        <v>20</v>
      </c>
      <c r="I207" s="65">
        <v>-1031.05</v>
      </c>
      <c r="J207" s="65">
        <v>0</v>
      </c>
      <c r="K207" s="65">
        <v>0</v>
      </c>
      <c r="L207" s="65">
        <v>1031.05</v>
      </c>
      <c r="M207" s="84">
        <v>0</v>
      </c>
      <c r="N207" s="88">
        <f>Tabela1[[#This Row],[1QZ DE DEZ 26]]-Tabela1[[#This Row],[SALDO FINAL]]-Tabela1[[#This Row],[SALDO CARTAO]]-Tabela1[[#This Row],[ADIANTAMENTO]]</f>
        <v>-1031.05</v>
      </c>
      <c r="O207" s="67">
        <f>(-Tabela1[[#This Row],[SALDO REEMBOLSAR]]*$O$4)</f>
        <v>206.21</v>
      </c>
      <c r="P207" s="90">
        <f>IF(Tabela1[[#This Row],[CARGA PARCIAL]]&lt;0,0,Tabela1[[#This Row],[CARGA PARCIAL]])</f>
        <v>0</v>
      </c>
      <c r="Q207" s="93">
        <f>IF(Tabela1[[#This Row],[CARGA PARCIAL]]&lt;0,0,Tabela1[[#This Row],[CARGA PARCIAL]])+Tabela1[[#This Row],[REEMBOLSO]]</f>
        <v>206.21</v>
      </c>
      <c r="R207" s="66" t="s">
        <v>21</v>
      </c>
      <c r="S207" s="70"/>
    </row>
    <row r="208" spans="2:19" x14ac:dyDescent="0.25">
      <c r="B208" s="103" t="s">
        <v>726</v>
      </c>
      <c r="C208" s="102" t="s">
        <v>727</v>
      </c>
      <c r="D208" s="64" t="s">
        <v>17</v>
      </c>
      <c r="E208" s="64" t="s">
        <v>360</v>
      </c>
      <c r="F208" s="64">
        <v>11061720001</v>
      </c>
      <c r="G208" s="82" t="s">
        <v>244</v>
      </c>
      <c r="H208" s="64" t="s">
        <v>33</v>
      </c>
      <c r="I208" s="65">
        <v>0</v>
      </c>
      <c r="J208" s="65">
        <v>571.80000000000177</v>
      </c>
      <c r="K208" s="65">
        <v>800</v>
      </c>
      <c r="L208" s="65">
        <v>24.2</v>
      </c>
      <c r="M208" s="84">
        <v>0</v>
      </c>
      <c r="N208" s="88">
        <f>Tabela1[[#This Row],[1QZ DE DEZ 26]]-Tabela1[[#This Row],[SALDO FINAL]]-Tabela1[[#This Row],[SALDO CARTAO]]-Tabela1[[#This Row],[ADIANTAMENTO]]</f>
        <v>203.99999999999824</v>
      </c>
      <c r="O208" s="67">
        <f>(-Tabela1[[#This Row],[SALDO REEMBOLSAR]]*$O$4)</f>
        <v>0</v>
      </c>
      <c r="P208" s="122">
        <f>IF(Tabela1[[#This Row],[CARGA PARCIAL]]&lt;0,0,Tabela1[[#This Row],[CARGA PARCIAL]])</f>
        <v>203.99999999999824</v>
      </c>
      <c r="Q208" s="93">
        <f>IF(Tabela1[[#This Row],[CARGA PARCIAL]]&lt;0,0,Tabela1[[#This Row],[CARGA PARCIAL]])+Tabela1[[#This Row],[REEMBOLSO]]</f>
        <v>203.99999999999824</v>
      </c>
      <c r="R208" s="66" t="s">
        <v>21</v>
      </c>
      <c r="S208" s="70"/>
    </row>
    <row r="209" spans="2:19" x14ac:dyDescent="0.25">
      <c r="B209" s="83" t="s">
        <v>69</v>
      </c>
      <c r="C209" s="64" t="s">
        <v>70</v>
      </c>
      <c r="D209" s="64" t="s">
        <v>17</v>
      </c>
      <c r="E209" s="64" t="s">
        <v>36</v>
      </c>
      <c r="F209" s="64">
        <v>11030800001</v>
      </c>
      <c r="G209" s="82" t="s">
        <v>25</v>
      </c>
      <c r="H209" s="64" t="s">
        <v>20</v>
      </c>
      <c r="I209" s="65">
        <v>0</v>
      </c>
      <c r="J209" s="65">
        <v>788.02000000000066</v>
      </c>
      <c r="K209" s="65">
        <v>1000</v>
      </c>
      <c r="L209" s="65">
        <v>9.2799999999999994</v>
      </c>
      <c r="M209" s="84">
        <v>0</v>
      </c>
      <c r="N209" s="88">
        <f>Tabela1[[#This Row],[1QZ DE DEZ 26]]-Tabela1[[#This Row],[SALDO FINAL]]-Tabela1[[#This Row],[SALDO CARTAO]]-Tabela1[[#This Row],[ADIANTAMENTO]]</f>
        <v>202.69999999999933</v>
      </c>
      <c r="O209" s="67">
        <f>(-Tabela1[[#This Row],[SALDO REEMBOLSAR]]*$O$4)</f>
        <v>0</v>
      </c>
      <c r="P209" s="90">
        <f>IF(Tabela1[[#This Row],[CARGA PARCIAL]]&lt;0,0,Tabela1[[#This Row],[CARGA PARCIAL]])</f>
        <v>202.69999999999933</v>
      </c>
      <c r="Q209" s="93">
        <f>IF(Tabela1[[#This Row],[CARGA PARCIAL]]&lt;0,0,Tabela1[[#This Row],[CARGA PARCIAL]])+Tabela1[[#This Row],[REEMBOLSO]]</f>
        <v>202.69999999999933</v>
      </c>
      <c r="R209" s="66" t="s">
        <v>21</v>
      </c>
      <c r="S209" s="70"/>
    </row>
    <row r="210" spans="2:19" x14ac:dyDescent="0.25">
      <c r="B210" s="83" t="s">
        <v>547</v>
      </c>
      <c r="C210" s="64" t="s">
        <v>548</v>
      </c>
      <c r="D210" s="64" t="s">
        <v>17</v>
      </c>
      <c r="E210" s="64" t="s">
        <v>270</v>
      </c>
      <c r="F210" s="64">
        <v>11040140001</v>
      </c>
      <c r="G210" s="82" t="s">
        <v>240</v>
      </c>
      <c r="H210" s="64" t="s">
        <v>33</v>
      </c>
      <c r="I210" s="65">
        <v>-125.42</v>
      </c>
      <c r="J210" s="65">
        <v>0</v>
      </c>
      <c r="K210" s="65">
        <v>100</v>
      </c>
      <c r="L210" s="65">
        <v>25.05</v>
      </c>
      <c r="M210" s="84">
        <v>0</v>
      </c>
      <c r="N210" s="88">
        <f>Tabela1[[#This Row],[1QZ DE DEZ 26]]-Tabela1[[#This Row],[SALDO FINAL]]-Tabela1[[#This Row],[SALDO CARTAO]]-Tabela1[[#This Row],[ADIANTAMENTO]]</f>
        <v>74.95</v>
      </c>
      <c r="O210" s="67">
        <f>-Tabela1[[#This Row],[SALDO REEMBOLSAR]]</f>
        <v>125.42</v>
      </c>
      <c r="P210" s="90">
        <f>IF(Tabela1[[#This Row],[CARGA PARCIAL]]&lt;0,0,Tabela1[[#This Row],[CARGA PARCIAL]])</f>
        <v>74.95</v>
      </c>
      <c r="Q210" s="93">
        <f>IF(Tabela1[[#This Row],[CARGA PARCIAL]]&lt;0,0,Tabela1[[#This Row],[CARGA PARCIAL]])+Tabela1[[#This Row],[REEMBOLSO]]</f>
        <v>200.37</v>
      </c>
      <c r="R210" s="66" t="s">
        <v>21</v>
      </c>
      <c r="S210" s="70"/>
    </row>
    <row r="211" spans="2:19" x14ac:dyDescent="0.25">
      <c r="B211" s="83" t="s">
        <v>458</v>
      </c>
      <c r="C211" s="64" t="s">
        <v>459</v>
      </c>
      <c r="D211" s="64" t="s">
        <v>17</v>
      </c>
      <c r="E211" s="64" t="s">
        <v>259</v>
      </c>
      <c r="F211" s="64">
        <v>11061890001</v>
      </c>
      <c r="G211" s="82" t="s">
        <v>244</v>
      </c>
      <c r="H211" s="64" t="s">
        <v>33</v>
      </c>
      <c r="I211" s="65">
        <v>0</v>
      </c>
      <c r="J211" s="65">
        <v>1756.9999999999989</v>
      </c>
      <c r="K211" s="65">
        <v>2000</v>
      </c>
      <c r="L211" s="65">
        <v>43</v>
      </c>
      <c r="M211" s="84">
        <v>0</v>
      </c>
      <c r="N211" s="88">
        <f>Tabela1[[#This Row],[1QZ DE DEZ 26]]-Tabela1[[#This Row],[SALDO FINAL]]-Tabela1[[#This Row],[SALDO CARTAO]]-Tabela1[[#This Row],[ADIANTAMENTO]]</f>
        <v>200.00000000000114</v>
      </c>
      <c r="O211" s="67">
        <f>(-Tabela1[[#This Row],[SALDO REEMBOLSAR]]*$O$4)</f>
        <v>0</v>
      </c>
      <c r="P211" s="90">
        <f>IF(Tabela1[[#This Row],[CARGA PARCIAL]]&lt;0,0,Tabela1[[#This Row],[CARGA PARCIAL]])</f>
        <v>200.00000000000114</v>
      </c>
      <c r="Q211" s="93">
        <f>IF(Tabela1[[#This Row],[CARGA PARCIAL]]&lt;0,0,Tabela1[[#This Row],[CARGA PARCIAL]])+Tabela1[[#This Row],[REEMBOLSO]]</f>
        <v>200.00000000000114</v>
      </c>
      <c r="R211" s="66" t="s">
        <v>21</v>
      </c>
      <c r="S211" s="70"/>
    </row>
    <row r="212" spans="2:19" x14ac:dyDescent="0.25">
      <c r="B212" s="103" t="s">
        <v>771</v>
      </c>
      <c r="C212" s="102" t="s">
        <v>772</v>
      </c>
      <c r="D212" s="64" t="s">
        <v>17</v>
      </c>
      <c r="E212" s="64" t="s">
        <v>81</v>
      </c>
      <c r="F212" s="64">
        <v>11062670001</v>
      </c>
      <c r="G212" s="82" t="s">
        <v>32</v>
      </c>
      <c r="H212" s="64" t="s">
        <v>33</v>
      </c>
      <c r="I212" s="65">
        <v>0</v>
      </c>
      <c r="J212" s="65">
        <v>599.99999999999977</v>
      </c>
      <c r="K212" s="65">
        <v>800</v>
      </c>
      <c r="L212" s="65">
        <v>0.25</v>
      </c>
      <c r="M212" s="84">
        <v>0</v>
      </c>
      <c r="N212" s="88">
        <f>Tabela1[[#This Row],[1QZ DE DEZ 26]]-Tabela1[[#This Row],[SALDO FINAL]]-Tabela1[[#This Row],[SALDO CARTAO]]-Tabela1[[#This Row],[ADIANTAMENTO]]</f>
        <v>199.75000000000023</v>
      </c>
      <c r="O212" s="67">
        <f>(-Tabela1[[#This Row],[SALDO REEMBOLSAR]]*$O$4)</f>
        <v>0</v>
      </c>
      <c r="P212" s="122">
        <f>IF(Tabela1[[#This Row],[CARGA PARCIAL]]&lt;0,0,Tabela1[[#This Row],[CARGA PARCIAL]])</f>
        <v>199.75000000000023</v>
      </c>
      <c r="Q212" s="93">
        <f>IF(Tabela1[[#This Row],[CARGA PARCIAL]]&lt;0,0,Tabela1[[#This Row],[CARGA PARCIAL]])+Tabela1[[#This Row],[REEMBOLSO]]</f>
        <v>199.75000000000023</v>
      </c>
      <c r="R212" s="66" t="s">
        <v>21</v>
      </c>
      <c r="S212" s="70"/>
    </row>
    <row r="213" spans="2:19" x14ac:dyDescent="0.25">
      <c r="B213" s="103" t="s">
        <v>649</v>
      </c>
      <c r="C213" s="102" t="s">
        <v>650</v>
      </c>
      <c r="D213" s="64" t="s">
        <v>17</v>
      </c>
      <c r="E213" s="64" t="s">
        <v>651</v>
      </c>
      <c r="F213" s="64">
        <v>11061980001</v>
      </c>
      <c r="G213" s="82" t="s">
        <v>236</v>
      </c>
      <c r="H213" s="64" t="s">
        <v>33</v>
      </c>
      <c r="I213" s="65">
        <v>-75.649999999999778</v>
      </c>
      <c r="J213" s="65">
        <v>0</v>
      </c>
      <c r="K213" s="65">
        <v>200</v>
      </c>
      <c r="L213" s="65">
        <v>76.400000000000006</v>
      </c>
      <c r="M213" s="84">
        <v>0</v>
      </c>
      <c r="N213" s="88">
        <f>Tabela1[[#This Row],[1QZ DE DEZ 26]]-Tabela1[[#This Row],[SALDO FINAL]]-Tabela1[[#This Row],[SALDO CARTAO]]-Tabela1[[#This Row],[ADIANTAMENTO]]</f>
        <v>123.6</v>
      </c>
      <c r="O213" s="67">
        <f>-Tabela1[[#This Row],[SALDO REEMBOLSAR]]</f>
        <v>75.649999999999778</v>
      </c>
      <c r="P213" s="122">
        <f>IF(Tabela1[[#This Row],[CARGA PARCIAL]]&lt;0,0,Tabela1[[#This Row],[CARGA PARCIAL]])</f>
        <v>123.6</v>
      </c>
      <c r="Q213" s="93">
        <f>IF(Tabela1[[#This Row],[CARGA PARCIAL]]&lt;0,0,Tabela1[[#This Row],[CARGA PARCIAL]])+Tabela1[[#This Row],[REEMBOLSO]]</f>
        <v>199.24999999999977</v>
      </c>
      <c r="R213" s="66" t="s">
        <v>21</v>
      </c>
      <c r="S213" s="70"/>
    </row>
    <row r="214" spans="2:19" x14ac:dyDescent="0.25">
      <c r="B214" s="83" t="s">
        <v>583</v>
      </c>
      <c r="C214" s="64" t="s">
        <v>584</v>
      </c>
      <c r="D214" s="64" t="s">
        <v>17</v>
      </c>
      <c r="E214" s="64" t="s">
        <v>270</v>
      </c>
      <c r="F214" s="64">
        <v>11040140001</v>
      </c>
      <c r="G214" s="82" t="s">
        <v>240</v>
      </c>
      <c r="H214" s="64" t="s">
        <v>33</v>
      </c>
      <c r="I214" s="65">
        <v>-917</v>
      </c>
      <c r="J214" s="65">
        <v>0</v>
      </c>
      <c r="K214" s="65">
        <v>100</v>
      </c>
      <c r="L214" s="65">
        <v>1017</v>
      </c>
      <c r="M214" s="66">
        <v>0</v>
      </c>
      <c r="N214" s="88">
        <f>Tabela1[[#This Row],[1QZ DE DEZ 26]]-Tabela1[[#This Row],[SALDO FINAL]]-Tabela1[[#This Row],[SALDO CARTAO]]-Tabela1[[#This Row],[ADIANTAMENTO]]</f>
        <v>-917</v>
      </c>
      <c r="O214" s="67">
        <f>(-Tabela1[[#This Row],[SALDO REEMBOLSAR]]*$O$4)</f>
        <v>183.4</v>
      </c>
      <c r="P214" s="90">
        <f>IF(Tabela1[[#This Row],[CARGA PARCIAL]]&lt;0,0,Tabela1[[#This Row],[CARGA PARCIAL]])</f>
        <v>0</v>
      </c>
      <c r="Q214" s="93">
        <f>IF(Tabela1[[#This Row],[CARGA PARCIAL]]&lt;0,0,Tabela1[[#This Row],[CARGA PARCIAL]])+Tabela1[[#This Row],[REEMBOLSO]]</f>
        <v>183.4</v>
      </c>
      <c r="R214" s="66" t="s">
        <v>21</v>
      </c>
      <c r="S214" s="70"/>
    </row>
    <row r="215" spans="2:19" x14ac:dyDescent="0.25">
      <c r="B215" s="83" t="s">
        <v>587</v>
      </c>
      <c r="C215" s="64" t="s">
        <v>588</v>
      </c>
      <c r="D215" s="64" t="s">
        <v>17</v>
      </c>
      <c r="E215" s="64" t="s">
        <v>24</v>
      </c>
      <c r="F215" s="64">
        <v>11040160001</v>
      </c>
      <c r="G215" s="82" t="s">
        <v>25</v>
      </c>
      <c r="H215" s="64" t="s">
        <v>20</v>
      </c>
      <c r="I215" s="65">
        <v>-902.16999999999973</v>
      </c>
      <c r="J215" s="65">
        <v>0</v>
      </c>
      <c r="K215" s="65">
        <v>700</v>
      </c>
      <c r="L215" s="65">
        <v>854.85</v>
      </c>
      <c r="M215" s="84">
        <v>0</v>
      </c>
      <c r="N215" s="88">
        <f>Tabela1[[#This Row],[1QZ DE DEZ 26]]-Tabela1[[#This Row],[SALDO FINAL]]-Tabela1[[#This Row],[SALDO CARTAO]]-Tabela1[[#This Row],[ADIANTAMENTO]]</f>
        <v>-154.85000000000002</v>
      </c>
      <c r="O215" s="67">
        <f>(-Tabela1[[#This Row],[SALDO REEMBOLSAR]]*$O$4)</f>
        <v>180.43399999999997</v>
      </c>
      <c r="P215" s="90">
        <f>IF(Tabela1[[#This Row],[CARGA PARCIAL]]&lt;0,0,Tabela1[[#This Row],[CARGA PARCIAL]])</f>
        <v>0</v>
      </c>
      <c r="Q215" s="93">
        <f>IF(Tabela1[[#This Row],[CARGA PARCIAL]]&lt;0,0,Tabela1[[#This Row],[CARGA PARCIAL]])+Tabela1[[#This Row],[REEMBOLSO]]</f>
        <v>180.43399999999997</v>
      </c>
      <c r="R215" s="66" t="s">
        <v>21</v>
      </c>
      <c r="S215" s="70"/>
    </row>
    <row r="216" spans="2:19" x14ac:dyDescent="0.25">
      <c r="B216" s="83" t="s">
        <v>1823</v>
      </c>
      <c r="C216" s="64" t="s">
        <v>1824</v>
      </c>
      <c r="D216" s="64" t="s">
        <v>17</v>
      </c>
      <c r="E216" s="64" t="s">
        <v>435</v>
      </c>
      <c r="F216" s="64">
        <v>11080370001</v>
      </c>
      <c r="G216" s="82" t="s">
        <v>284</v>
      </c>
      <c r="H216" s="64" t="s">
        <v>20</v>
      </c>
      <c r="I216" s="65">
        <v>-179.55000000000015</v>
      </c>
      <c r="J216" s="65">
        <v>0</v>
      </c>
      <c r="K216" s="65">
        <v>0</v>
      </c>
      <c r="L216" s="65">
        <v>0</v>
      </c>
      <c r="M216" s="84">
        <v>0</v>
      </c>
      <c r="N216" s="88">
        <f>Tabela1[[#This Row],[1QZ DE DEZ 26]]-Tabela1[[#This Row],[SALDO FINAL]]-Tabela1[[#This Row],[SALDO CARTAO]]-Tabela1[[#This Row],[ADIANTAMENTO]]</f>
        <v>0</v>
      </c>
      <c r="O216" s="67">
        <f>-Tabela1[[#This Row],[SALDO REEMBOLSAR]]</f>
        <v>179.55000000000015</v>
      </c>
      <c r="P216" s="90">
        <f>IF(Tabela1[[#This Row],[CARGA PARCIAL]]&lt;0,0,Tabela1[[#This Row],[CARGA PARCIAL]])</f>
        <v>0</v>
      </c>
      <c r="Q216" s="93">
        <f>IF(Tabela1[[#This Row],[CARGA PARCIAL]]&lt;0,0,Tabela1[[#This Row],[CARGA PARCIAL]])+Tabela1[[#This Row],[REEMBOLSO]]</f>
        <v>179.55000000000015</v>
      </c>
      <c r="R216" s="66" t="s">
        <v>21</v>
      </c>
      <c r="S216" s="70"/>
    </row>
    <row r="217" spans="2:19" x14ac:dyDescent="0.25">
      <c r="B217" s="103" t="s">
        <v>1556</v>
      </c>
      <c r="C217" s="102" t="s">
        <v>1962</v>
      </c>
      <c r="D217" s="64" t="s">
        <v>17</v>
      </c>
      <c r="E217" s="64" t="s">
        <v>1757</v>
      </c>
      <c r="F217" s="64">
        <v>11060800001</v>
      </c>
      <c r="G217" s="82" t="s">
        <v>244</v>
      </c>
      <c r="H217" s="64" t="s">
        <v>33</v>
      </c>
      <c r="I217" s="65">
        <v>-179.55000000000015</v>
      </c>
      <c r="J217" s="65">
        <v>0</v>
      </c>
      <c r="K217" s="65">
        <v>0</v>
      </c>
      <c r="L217" s="65">
        <v>5.71</v>
      </c>
      <c r="M217" s="84">
        <v>0</v>
      </c>
      <c r="N217" s="88">
        <f>Tabela1[[#This Row],[1QZ DE DEZ 26]]-Tabela1[[#This Row],[SALDO FINAL]]-Tabela1[[#This Row],[SALDO CARTAO]]-Tabela1[[#This Row],[ADIANTAMENTO]]</f>
        <v>-5.71</v>
      </c>
      <c r="O217" s="67">
        <f>-Tabela1[[#This Row],[SALDO REEMBOLSAR]]</f>
        <v>179.55000000000015</v>
      </c>
      <c r="P217" s="122">
        <f>IF(Tabela1[[#This Row],[CARGA PARCIAL]]&lt;0,0,Tabela1[[#This Row],[CARGA PARCIAL]])</f>
        <v>0</v>
      </c>
      <c r="Q217" s="93">
        <f>IF(Tabela1[[#This Row],[CARGA PARCIAL]]&lt;0,0,Tabela1[[#This Row],[CARGA PARCIAL]])+Tabela1[[#This Row],[REEMBOLSO]]</f>
        <v>179.55000000000015</v>
      </c>
      <c r="R217" s="66" t="s">
        <v>21</v>
      </c>
      <c r="S217" s="70"/>
    </row>
    <row r="218" spans="2:19" x14ac:dyDescent="0.25">
      <c r="B218" s="103" t="s">
        <v>386</v>
      </c>
      <c r="C218" s="102" t="s">
        <v>387</v>
      </c>
      <c r="D218" s="64" t="s">
        <v>17</v>
      </c>
      <c r="E218" s="64" t="s">
        <v>299</v>
      </c>
      <c r="F218" s="64">
        <v>11062050001</v>
      </c>
      <c r="G218" s="82" t="s">
        <v>240</v>
      </c>
      <c r="H218" s="64" t="s">
        <v>33</v>
      </c>
      <c r="I218" s="65">
        <v>-873.70000000000016</v>
      </c>
      <c r="J218" s="65">
        <v>0</v>
      </c>
      <c r="K218" s="65">
        <v>240</v>
      </c>
      <c r="L218" s="65">
        <v>278.89999999999998</v>
      </c>
      <c r="M218" s="84">
        <v>0</v>
      </c>
      <c r="N218" s="88">
        <f>Tabela1[[#This Row],[1QZ DE DEZ 26]]-Tabela1[[#This Row],[SALDO FINAL]]-Tabela1[[#This Row],[SALDO CARTAO]]-Tabela1[[#This Row],[ADIANTAMENTO]]</f>
        <v>-38.899999999999977</v>
      </c>
      <c r="O218" s="67">
        <f>(-Tabela1[[#This Row],[SALDO REEMBOLSAR]]*$O$4)</f>
        <v>174.74000000000004</v>
      </c>
      <c r="P218" s="122">
        <f>IF(Tabela1[[#This Row],[CARGA PARCIAL]]&lt;0,0,Tabela1[[#This Row],[CARGA PARCIAL]])</f>
        <v>0</v>
      </c>
      <c r="Q218" s="93">
        <f>IF(Tabela1[[#This Row],[CARGA PARCIAL]]&lt;0,0,Tabela1[[#This Row],[CARGA PARCIAL]])+Tabela1[[#This Row],[REEMBOLSO]]</f>
        <v>174.74000000000004</v>
      </c>
      <c r="R218" s="66" t="s">
        <v>21</v>
      </c>
      <c r="S218" s="70"/>
    </row>
    <row r="219" spans="2:19" x14ac:dyDescent="0.25">
      <c r="B219" s="83" t="s">
        <v>1323</v>
      </c>
      <c r="C219" s="64" t="s">
        <v>1883</v>
      </c>
      <c r="D219" s="64" t="s">
        <v>17</v>
      </c>
      <c r="E219" s="64" t="s">
        <v>299</v>
      </c>
      <c r="F219" s="64">
        <v>11062050001</v>
      </c>
      <c r="G219" s="82" t="s">
        <v>240</v>
      </c>
      <c r="H219" s="64" t="s">
        <v>33</v>
      </c>
      <c r="I219" s="65">
        <v>-173.1</v>
      </c>
      <c r="J219" s="65">
        <v>0</v>
      </c>
      <c r="K219" s="65">
        <v>0</v>
      </c>
      <c r="L219" s="65">
        <v>173.1</v>
      </c>
      <c r="M219" s="84">
        <v>0</v>
      </c>
      <c r="N219" s="88">
        <f>Tabela1[[#This Row],[1QZ DE DEZ 26]]-Tabela1[[#This Row],[SALDO FINAL]]-Tabela1[[#This Row],[SALDO CARTAO]]-Tabela1[[#This Row],[ADIANTAMENTO]]</f>
        <v>-173.1</v>
      </c>
      <c r="O219" s="67">
        <f>-Tabela1[[#This Row],[SALDO REEMBOLSAR]]</f>
        <v>173.1</v>
      </c>
      <c r="P219" s="90">
        <f>IF(Tabela1[[#This Row],[CARGA PARCIAL]]&lt;0,0,Tabela1[[#This Row],[CARGA PARCIAL]])</f>
        <v>0</v>
      </c>
      <c r="Q219" s="93">
        <f>IF(Tabela1[[#This Row],[CARGA PARCIAL]]&lt;0,0,Tabela1[[#This Row],[CARGA PARCIAL]])+Tabela1[[#This Row],[REEMBOLSO]]</f>
        <v>173.1</v>
      </c>
      <c r="R219" s="66" t="s">
        <v>21</v>
      </c>
      <c r="S219" s="70"/>
    </row>
    <row r="220" spans="2:19" x14ac:dyDescent="0.25">
      <c r="B220" s="83" t="s">
        <v>34</v>
      </c>
      <c r="C220" s="64" t="s">
        <v>35</v>
      </c>
      <c r="D220" s="64" t="s">
        <v>17</v>
      </c>
      <c r="E220" s="64" t="s">
        <v>36</v>
      </c>
      <c r="F220" s="64">
        <v>11030800001</v>
      </c>
      <c r="G220" s="82" t="s">
        <v>25</v>
      </c>
      <c r="H220" s="64" t="s">
        <v>20</v>
      </c>
      <c r="I220" s="65">
        <v>0</v>
      </c>
      <c r="J220" s="65">
        <v>295.83999999999907</v>
      </c>
      <c r="K220" s="65">
        <v>500</v>
      </c>
      <c r="L220" s="65">
        <v>31.66</v>
      </c>
      <c r="M220" s="84">
        <v>0</v>
      </c>
      <c r="N220" s="88">
        <f>Tabela1[[#This Row],[1QZ DE DEZ 26]]-Tabela1[[#This Row],[SALDO FINAL]]-Tabela1[[#This Row],[SALDO CARTAO]]-Tabela1[[#This Row],[ADIANTAMENTO]]</f>
        <v>172.50000000000094</v>
      </c>
      <c r="O220" s="67">
        <f>(-Tabela1[[#This Row],[SALDO REEMBOLSAR]]*$O$4)</f>
        <v>0</v>
      </c>
      <c r="P220" s="90">
        <f>IF(Tabela1[[#This Row],[CARGA PARCIAL]]&lt;0,0,Tabela1[[#This Row],[CARGA PARCIAL]])</f>
        <v>172.50000000000094</v>
      </c>
      <c r="Q220" s="93">
        <f>IF(Tabela1[[#This Row],[CARGA PARCIAL]]&lt;0,0,Tabela1[[#This Row],[CARGA PARCIAL]])+Tabela1[[#This Row],[REEMBOLSO]]</f>
        <v>172.50000000000094</v>
      </c>
      <c r="R220" s="66" t="s">
        <v>21</v>
      </c>
      <c r="S220" s="70"/>
    </row>
    <row r="221" spans="2:19" x14ac:dyDescent="0.25">
      <c r="B221" s="103" t="s">
        <v>1469</v>
      </c>
      <c r="C221" s="102" t="s">
        <v>1932</v>
      </c>
      <c r="D221" s="64" t="s">
        <v>17</v>
      </c>
      <c r="E221" s="64" t="s">
        <v>1941</v>
      </c>
      <c r="F221" s="64">
        <v>11080310001</v>
      </c>
      <c r="G221" s="82" t="s">
        <v>1993</v>
      </c>
      <c r="H221" s="64" t="s">
        <v>75</v>
      </c>
      <c r="I221" s="65">
        <v>-164.97999999999996</v>
      </c>
      <c r="J221" s="65">
        <v>0</v>
      </c>
      <c r="K221" s="65">
        <v>0</v>
      </c>
      <c r="L221" s="65">
        <v>366.45</v>
      </c>
      <c r="M221" s="84">
        <v>0</v>
      </c>
      <c r="N221" s="88">
        <f>Tabela1[[#This Row],[1QZ DE DEZ 26]]-Tabela1[[#This Row],[SALDO FINAL]]-Tabela1[[#This Row],[SALDO CARTAO]]-Tabela1[[#This Row],[ADIANTAMENTO]]</f>
        <v>-366.45</v>
      </c>
      <c r="O221" s="67">
        <f>-Tabela1[[#This Row],[SALDO REEMBOLSAR]]</f>
        <v>164.97999999999996</v>
      </c>
      <c r="P221" s="122">
        <f>IF(Tabela1[[#This Row],[CARGA PARCIAL]]&lt;0,0,Tabela1[[#This Row],[CARGA PARCIAL]])</f>
        <v>0</v>
      </c>
      <c r="Q221" s="93">
        <f>IF(Tabela1[[#This Row],[CARGA PARCIAL]]&lt;0,0,Tabela1[[#This Row],[CARGA PARCIAL]])+Tabela1[[#This Row],[REEMBOLSO]]</f>
        <v>164.97999999999996</v>
      </c>
      <c r="R221" s="66" t="s">
        <v>21</v>
      </c>
      <c r="S221" s="70"/>
    </row>
    <row r="222" spans="2:19" x14ac:dyDescent="0.25">
      <c r="B222" s="83" t="s">
        <v>800</v>
      </c>
      <c r="C222" s="64" t="s">
        <v>801</v>
      </c>
      <c r="D222" s="64" t="s">
        <v>17</v>
      </c>
      <c r="E222" s="64" t="s">
        <v>392</v>
      </c>
      <c r="F222" s="64">
        <v>11061770001</v>
      </c>
      <c r="G222" s="82" t="s">
        <v>236</v>
      </c>
      <c r="H222" s="64" t="s">
        <v>33</v>
      </c>
      <c r="I222" s="65">
        <v>0</v>
      </c>
      <c r="J222" s="65">
        <v>34.449999999999818</v>
      </c>
      <c r="K222" s="65">
        <v>200</v>
      </c>
      <c r="L222" s="65">
        <v>3</v>
      </c>
      <c r="M222" s="84">
        <v>0</v>
      </c>
      <c r="N222" s="88">
        <f>Tabela1[[#This Row],[1QZ DE DEZ 26]]-Tabela1[[#This Row],[SALDO FINAL]]-Tabela1[[#This Row],[SALDO CARTAO]]-Tabela1[[#This Row],[ADIANTAMENTO]]</f>
        <v>162.55000000000018</v>
      </c>
      <c r="O222" s="67">
        <f>(-Tabela1[[#This Row],[SALDO REEMBOLSAR]]*$O$4)</f>
        <v>0</v>
      </c>
      <c r="P222" s="90">
        <f>IF(Tabela1[[#This Row],[CARGA PARCIAL]]&lt;0,0,Tabela1[[#This Row],[CARGA PARCIAL]])</f>
        <v>162.55000000000018</v>
      </c>
      <c r="Q222" s="93">
        <f>IF(Tabela1[[#This Row],[CARGA PARCIAL]]&lt;0,0,Tabela1[[#This Row],[CARGA PARCIAL]])+Tabela1[[#This Row],[REEMBOLSO]]</f>
        <v>162.55000000000018</v>
      </c>
      <c r="R222" s="66" t="s">
        <v>21</v>
      </c>
      <c r="S222" s="70"/>
    </row>
    <row r="223" spans="2:19" x14ac:dyDescent="0.25">
      <c r="B223" s="103" t="s">
        <v>1367</v>
      </c>
      <c r="C223" s="102" t="s">
        <v>1895</v>
      </c>
      <c r="D223" s="64" t="s">
        <v>17</v>
      </c>
      <c r="E223" s="64" t="s">
        <v>1897</v>
      </c>
      <c r="F223" s="64">
        <v>11060750001</v>
      </c>
      <c r="G223" s="82" t="s">
        <v>244</v>
      </c>
      <c r="H223" s="64" t="s">
        <v>33</v>
      </c>
      <c r="I223" s="65">
        <v>-161.75</v>
      </c>
      <c r="J223" s="65">
        <v>0</v>
      </c>
      <c r="K223" s="65">
        <v>0</v>
      </c>
      <c r="L223" s="65">
        <v>161.75</v>
      </c>
      <c r="M223" s="84">
        <v>0</v>
      </c>
      <c r="N223" s="88">
        <f>Tabela1[[#This Row],[1QZ DE DEZ 26]]-Tabela1[[#This Row],[SALDO FINAL]]-Tabela1[[#This Row],[SALDO CARTAO]]-Tabela1[[#This Row],[ADIANTAMENTO]]</f>
        <v>-161.75</v>
      </c>
      <c r="O223" s="67">
        <f>-Tabela1[[#This Row],[SALDO REEMBOLSAR]]</f>
        <v>161.75</v>
      </c>
      <c r="P223" s="122">
        <f>IF(Tabela1[[#This Row],[CARGA PARCIAL]]&lt;0,0,Tabela1[[#This Row],[CARGA PARCIAL]])</f>
        <v>0</v>
      </c>
      <c r="Q223" s="93">
        <f>IF(Tabela1[[#This Row],[CARGA PARCIAL]]&lt;0,0,Tabela1[[#This Row],[CARGA PARCIAL]])+Tabela1[[#This Row],[REEMBOLSO]]</f>
        <v>161.75</v>
      </c>
      <c r="R223" s="66" t="s">
        <v>21</v>
      </c>
      <c r="S223" s="70"/>
    </row>
    <row r="224" spans="2:19" x14ac:dyDescent="0.25">
      <c r="B224" s="83" t="s">
        <v>421</v>
      </c>
      <c r="C224" s="64" t="s">
        <v>422</v>
      </c>
      <c r="D224" s="64" t="s">
        <v>17</v>
      </c>
      <c r="E224" s="64" t="s">
        <v>270</v>
      </c>
      <c r="F224" s="64">
        <v>11040140001</v>
      </c>
      <c r="G224" s="82" t="s">
        <v>240</v>
      </c>
      <c r="H224" s="64" t="s">
        <v>33</v>
      </c>
      <c r="I224" s="65">
        <v>-337.95000000000005</v>
      </c>
      <c r="J224" s="65">
        <v>0</v>
      </c>
      <c r="K224" s="65">
        <v>100</v>
      </c>
      <c r="L224" s="65">
        <v>6</v>
      </c>
      <c r="M224" s="84">
        <v>0</v>
      </c>
      <c r="N224" s="88">
        <f>Tabela1[[#This Row],[1QZ DE DEZ 26]]-Tabela1[[#This Row],[SALDO FINAL]]-Tabela1[[#This Row],[SALDO CARTAO]]-Tabela1[[#This Row],[ADIANTAMENTO]]</f>
        <v>94</v>
      </c>
      <c r="O224" s="67">
        <f>(-Tabela1[[#This Row],[SALDO REEMBOLSAR]]*$O$4)</f>
        <v>67.590000000000018</v>
      </c>
      <c r="P224" s="90">
        <f>IF(Tabela1[[#This Row],[CARGA PARCIAL]]&lt;0,0,Tabela1[[#This Row],[CARGA PARCIAL]])</f>
        <v>94</v>
      </c>
      <c r="Q224" s="93">
        <f>IF(Tabela1[[#This Row],[CARGA PARCIAL]]&lt;0,0,Tabela1[[#This Row],[CARGA PARCIAL]])+Tabela1[[#This Row],[REEMBOLSO]]</f>
        <v>161.59000000000003</v>
      </c>
      <c r="R224" s="66" t="s">
        <v>21</v>
      </c>
      <c r="S224" s="70"/>
    </row>
    <row r="225" spans="2:19" x14ac:dyDescent="0.25">
      <c r="B225" s="83" t="s">
        <v>276</v>
      </c>
      <c r="C225" s="64" t="s">
        <v>1768</v>
      </c>
      <c r="D225" s="64" t="s">
        <v>17</v>
      </c>
      <c r="E225" s="64" t="s">
        <v>277</v>
      </c>
      <c r="F225" s="64">
        <v>11062110001</v>
      </c>
      <c r="G225" s="82" t="s">
        <v>244</v>
      </c>
      <c r="H225" s="64" t="s">
        <v>33</v>
      </c>
      <c r="I225" s="65">
        <v>-77.489999999999995</v>
      </c>
      <c r="J225" s="65">
        <v>0</v>
      </c>
      <c r="K225" s="65">
        <v>160</v>
      </c>
      <c r="L225" s="65">
        <v>77.489999999999995</v>
      </c>
      <c r="M225" s="84">
        <v>0</v>
      </c>
      <c r="N225" s="88">
        <f>Tabela1[[#This Row],[1QZ DE DEZ 26]]-Tabela1[[#This Row],[SALDO FINAL]]-Tabela1[[#This Row],[SALDO CARTAO]]-Tabela1[[#This Row],[ADIANTAMENTO]]</f>
        <v>82.51</v>
      </c>
      <c r="O225" s="67">
        <f>-Tabela1[[#This Row],[SALDO REEMBOLSAR]]</f>
        <v>77.489999999999995</v>
      </c>
      <c r="P225" s="90">
        <f>IF(Tabela1[[#This Row],[CARGA PARCIAL]]&lt;0,0,Tabela1[[#This Row],[CARGA PARCIAL]])</f>
        <v>82.51</v>
      </c>
      <c r="Q225" s="93">
        <f>IF(Tabela1[[#This Row],[CARGA PARCIAL]]&lt;0,0,Tabela1[[#This Row],[CARGA PARCIAL]])+Tabela1[[#This Row],[REEMBOLSO]]</f>
        <v>160</v>
      </c>
      <c r="R225" s="66" t="s">
        <v>21</v>
      </c>
      <c r="S225" s="70"/>
    </row>
    <row r="226" spans="2:19" x14ac:dyDescent="0.25">
      <c r="B226" s="83" t="s">
        <v>486</v>
      </c>
      <c r="C226" s="64" t="s">
        <v>487</v>
      </c>
      <c r="D226" s="64" t="s">
        <v>17</v>
      </c>
      <c r="E226" s="64" t="s">
        <v>488</v>
      </c>
      <c r="F226" s="64">
        <v>11061820001</v>
      </c>
      <c r="G226" s="82" t="s">
        <v>236</v>
      </c>
      <c r="H226" s="64" t="s">
        <v>33</v>
      </c>
      <c r="I226" s="65">
        <v>-11.649999999999636</v>
      </c>
      <c r="J226" s="65">
        <v>0</v>
      </c>
      <c r="K226" s="65">
        <v>200</v>
      </c>
      <c r="L226" s="65">
        <v>54</v>
      </c>
      <c r="M226" s="84">
        <v>0</v>
      </c>
      <c r="N226" s="88">
        <f>Tabela1[[#This Row],[1QZ DE DEZ 26]]-Tabela1[[#This Row],[SALDO FINAL]]-Tabela1[[#This Row],[SALDO CARTAO]]-Tabela1[[#This Row],[ADIANTAMENTO]]</f>
        <v>146</v>
      </c>
      <c r="O226" s="67">
        <f>-Tabela1[[#This Row],[SALDO REEMBOLSAR]]</f>
        <v>11.649999999999636</v>
      </c>
      <c r="P226" s="90">
        <f>IF(Tabela1[[#This Row],[CARGA PARCIAL]]&lt;0,0,Tabela1[[#This Row],[CARGA PARCIAL]])</f>
        <v>146</v>
      </c>
      <c r="Q226" s="93">
        <f>IF(Tabela1[[#This Row],[CARGA PARCIAL]]&lt;0,0,Tabela1[[#This Row],[CARGA PARCIAL]])+Tabela1[[#This Row],[REEMBOLSO]]</f>
        <v>157.64999999999964</v>
      </c>
      <c r="R226" s="66" t="s">
        <v>21</v>
      </c>
      <c r="S226" s="70"/>
    </row>
    <row r="227" spans="2:19" x14ac:dyDescent="0.25">
      <c r="B227" s="83" t="s">
        <v>728</v>
      </c>
      <c r="C227" s="64" t="s">
        <v>729</v>
      </c>
      <c r="D227" s="64" t="s">
        <v>17</v>
      </c>
      <c r="E227" s="64" t="s">
        <v>262</v>
      </c>
      <c r="F227" s="64">
        <v>11061840001</v>
      </c>
      <c r="G227" s="82" t="s">
        <v>236</v>
      </c>
      <c r="H227" s="64" t="s">
        <v>33</v>
      </c>
      <c r="I227" s="65">
        <v>0</v>
      </c>
      <c r="J227" s="65">
        <v>41.460000000000058</v>
      </c>
      <c r="K227" s="65">
        <v>200</v>
      </c>
      <c r="L227" s="65">
        <v>1.23</v>
      </c>
      <c r="M227" s="84">
        <v>0</v>
      </c>
      <c r="N227" s="88">
        <f>Tabela1[[#This Row],[1QZ DE DEZ 26]]-Tabela1[[#This Row],[SALDO FINAL]]-Tabela1[[#This Row],[SALDO CARTAO]]-Tabela1[[#This Row],[ADIANTAMENTO]]</f>
        <v>157.30999999999995</v>
      </c>
      <c r="O227" s="67">
        <f>(-Tabela1[[#This Row],[SALDO REEMBOLSAR]]*$O$4)</f>
        <v>0</v>
      </c>
      <c r="P227" s="90">
        <f>IF(Tabela1[[#This Row],[CARGA PARCIAL]]&lt;0,0,Tabela1[[#This Row],[CARGA PARCIAL]])</f>
        <v>157.30999999999995</v>
      </c>
      <c r="Q227" s="93">
        <f>IF(Tabela1[[#This Row],[CARGA PARCIAL]]&lt;0,0,Tabela1[[#This Row],[CARGA PARCIAL]])+Tabela1[[#This Row],[REEMBOLSO]]</f>
        <v>157.30999999999995</v>
      </c>
      <c r="R227" s="66" t="s">
        <v>21</v>
      </c>
      <c r="S227" s="70"/>
    </row>
    <row r="228" spans="2:19" x14ac:dyDescent="0.25">
      <c r="B228" s="83" t="s">
        <v>460</v>
      </c>
      <c r="C228" s="64" t="s">
        <v>461</v>
      </c>
      <c r="D228" s="64" t="s">
        <v>17</v>
      </c>
      <c r="E228" s="64" t="s">
        <v>462</v>
      </c>
      <c r="F228" s="64">
        <v>11080490001</v>
      </c>
      <c r="G228" s="82" t="s">
        <v>32</v>
      </c>
      <c r="H228" s="64" t="s">
        <v>33</v>
      </c>
      <c r="I228" s="65">
        <v>0</v>
      </c>
      <c r="J228" s="65">
        <v>1342.48</v>
      </c>
      <c r="K228" s="65">
        <v>1500</v>
      </c>
      <c r="L228" s="65">
        <v>0.52</v>
      </c>
      <c r="M228" s="84">
        <v>0</v>
      </c>
      <c r="N228" s="88">
        <f>Tabela1[[#This Row],[1QZ DE DEZ 26]]-Tabela1[[#This Row],[SALDO FINAL]]-Tabela1[[#This Row],[SALDO CARTAO]]-Tabela1[[#This Row],[ADIANTAMENTO]]</f>
        <v>156.99999999999997</v>
      </c>
      <c r="O228" s="67">
        <f>(-Tabela1[[#This Row],[SALDO REEMBOLSAR]]*$O$4)</f>
        <v>0</v>
      </c>
      <c r="P228" s="90">
        <f>IF(Tabela1[[#This Row],[CARGA PARCIAL]]&lt;0,0,Tabela1[[#This Row],[CARGA PARCIAL]])</f>
        <v>156.99999999999997</v>
      </c>
      <c r="Q228" s="93">
        <f>IF(Tabela1[[#This Row],[CARGA PARCIAL]]&lt;0,0,Tabela1[[#This Row],[CARGA PARCIAL]])+Tabela1[[#This Row],[REEMBOLSO]]</f>
        <v>156.99999999999997</v>
      </c>
      <c r="R228" s="66" t="s">
        <v>21</v>
      </c>
      <c r="S228" s="70"/>
    </row>
    <row r="229" spans="2:19" x14ac:dyDescent="0.25">
      <c r="B229" s="103" t="s">
        <v>1365</v>
      </c>
      <c r="C229" s="102" t="s">
        <v>1894</v>
      </c>
      <c r="D229" s="64" t="s">
        <v>17</v>
      </c>
      <c r="E229" s="64" t="s">
        <v>1896</v>
      </c>
      <c r="F229" s="64">
        <v>11060350001</v>
      </c>
      <c r="G229" s="82" t="s">
        <v>284</v>
      </c>
      <c r="H229" s="64" t="s">
        <v>20</v>
      </c>
      <c r="I229" s="65">
        <v>-156.69999999999999</v>
      </c>
      <c r="J229" s="65">
        <v>0</v>
      </c>
      <c r="K229" s="65">
        <v>0</v>
      </c>
      <c r="L229" s="65">
        <v>156.69999999999999</v>
      </c>
      <c r="M229" s="84">
        <v>0</v>
      </c>
      <c r="N229" s="88">
        <f>Tabela1[[#This Row],[1QZ DE DEZ 26]]-Tabela1[[#This Row],[SALDO FINAL]]-Tabela1[[#This Row],[SALDO CARTAO]]-Tabela1[[#This Row],[ADIANTAMENTO]]</f>
        <v>-156.69999999999999</v>
      </c>
      <c r="O229" s="67">
        <f>-Tabela1[[#This Row],[SALDO REEMBOLSAR]]</f>
        <v>156.69999999999999</v>
      </c>
      <c r="P229" s="122">
        <f>IF(Tabela1[[#This Row],[CARGA PARCIAL]]&lt;0,0,Tabela1[[#This Row],[CARGA PARCIAL]])</f>
        <v>0</v>
      </c>
      <c r="Q229" s="93">
        <f>IF(Tabela1[[#This Row],[CARGA PARCIAL]]&lt;0,0,Tabela1[[#This Row],[CARGA PARCIAL]])+Tabela1[[#This Row],[REEMBOLSO]]</f>
        <v>156.69999999999999</v>
      </c>
      <c r="R229" s="66" t="s">
        <v>21</v>
      </c>
      <c r="S229" s="70"/>
    </row>
    <row r="230" spans="2:19" x14ac:dyDescent="0.25">
      <c r="B230" s="103" t="s">
        <v>1385</v>
      </c>
      <c r="C230" s="102" t="s">
        <v>1901</v>
      </c>
      <c r="D230" s="64" t="s">
        <v>17</v>
      </c>
      <c r="E230" s="64" t="s">
        <v>468</v>
      </c>
      <c r="F230" s="64">
        <v>1104150001</v>
      </c>
      <c r="G230" s="82" t="s">
        <v>240</v>
      </c>
      <c r="H230" s="64" t="s">
        <v>33</v>
      </c>
      <c r="I230" s="65">
        <v>-775.00000000000136</v>
      </c>
      <c r="J230" s="65">
        <v>0</v>
      </c>
      <c r="K230" s="65">
        <v>0</v>
      </c>
      <c r="L230" s="65">
        <v>785</v>
      </c>
      <c r="M230" s="84">
        <v>0</v>
      </c>
      <c r="N230" s="88">
        <f>Tabela1[[#This Row],[1QZ DE DEZ 26]]-Tabela1[[#This Row],[SALDO FINAL]]-Tabela1[[#This Row],[SALDO CARTAO]]-Tabela1[[#This Row],[ADIANTAMENTO]]</f>
        <v>-785</v>
      </c>
      <c r="O230" s="67">
        <f>(-Tabela1[[#This Row],[SALDO REEMBOLSAR]]*$O$4)</f>
        <v>155.00000000000028</v>
      </c>
      <c r="P230" s="122">
        <f>IF(Tabela1[[#This Row],[CARGA PARCIAL]]&lt;0,0,Tabela1[[#This Row],[CARGA PARCIAL]])</f>
        <v>0</v>
      </c>
      <c r="Q230" s="93">
        <f>IF(Tabela1[[#This Row],[CARGA PARCIAL]]&lt;0,0,Tabela1[[#This Row],[CARGA PARCIAL]])+Tabela1[[#This Row],[REEMBOLSO]]</f>
        <v>155.00000000000028</v>
      </c>
      <c r="R230" s="66" t="s">
        <v>21</v>
      </c>
      <c r="S230" s="70"/>
    </row>
    <row r="231" spans="2:19" x14ac:dyDescent="0.25">
      <c r="B231" s="83" t="s">
        <v>709</v>
      </c>
      <c r="C231" s="64" t="s">
        <v>710</v>
      </c>
      <c r="D231" s="64" t="s">
        <v>17</v>
      </c>
      <c r="E231" s="64" t="s">
        <v>371</v>
      </c>
      <c r="F231" s="64">
        <v>11062020001</v>
      </c>
      <c r="G231" s="82" t="s">
        <v>244</v>
      </c>
      <c r="H231" s="64" t="s">
        <v>33</v>
      </c>
      <c r="I231" s="65">
        <v>0</v>
      </c>
      <c r="J231" s="65">
        <v>85.069999999999865</v>
      </c>
      <c r="K231" s="65">
        <v>250</v>
      </c>
      <c r="L231" s="65">
        <v>11.33</v>
      </c>
      <c r="M231" s="84">
        <v>0</v>
      </c>
      <c r="N231" s="88">
        <f>Tabela1[[#This Row],[1QZ DE DEZ 26]]-Tabela1[[#This Row],[SALDO FINAL]]-Tabela1[[#This Row],[SALDO CARTAO]]-Tabela1[[#This Row],[ADIANTAMENTO]]</f>
        <v>153.60000000000011</v>
      </c>
      <c r="O231" s="67">
        <f>(-Tabela1[[#This Row],[SALDO REEMBOLSAR]]*$O$4)</f>
        <v>0</v>
      </c>
      <c r="P231" s="90">
        <f>IF(Tabela1[[#This Row],[CARGA PARCIAL]]&lt;0,0,Tabela1[[#This Row],[CARGA PARCIAL]])</f>
        <v>153.60000000000011</v>
      </c>
      <c r="Q231" s="93">
        <f>IF(Tabela1[[#This Row],[CARGA PARCIAL]]&lt;0,0,Tabela1[[#This Row],[CARGA PARCIAL]])+Tabela1[[#This Row],[REEMBOLSO]]</f>
        <v>153.60000000000011</v>
      </c>
      <c r="R231" s="66" t="s">
        <v>21</v>
      </c>
      <c r="S231" s="70"/>
    </row>
    <row r="232" spans="2:19" x14ac:dyDescent="0.25">
      <c r="B232" s="83" t="s">
        <v>1109</v>
      </c>
      <c r="C232" s="64" t="s">
        <v>1816</v>
      </c>
      <c r="D232" s="64" t="s">
        <v>17</v>
      </c>
      <c r="E232" s="64" t="s">
        <v>455</v>
      </c>
      <c r="F232" s="64">
        <v>11050090001</v>
      </c>
      <c r="G232" s="82" t="s">
        <v>284</v>
      </c>
      <c r="H232" s="64" t="s">
        <v>20</v>
      </c>
      <c r="I232" s="65">
        <v>-153</v>
      </c>
      <c r="J232" s="65">
        <v>0</v>
      </c>
      <c r="K232" s="65">
        <v>0</v>
      </c>
      <c r="L232" s="65">
        <v>153</v>
      </c>
      <c r="M232" s="84">
        <v>0</v>
      </c>
      <c r="N232" s="88">
        <f>Tabela1[[#This Row],[1QZ DE DEZ 26]]-Tabela1[[#This Row],[SALDO FINAL]]-Tabela1[[#This Row],[SALDO CARTAO]]-Tabela1[[#This Row],[ADIANTAMENTO]]</f>
        <v>-153</v>
      </c>
      <c r="O232" s="67">
        <f>-Tabela1[[#This Row],[SALDO REEMBOLSAR]]</f>
        <v>153</v>
      </c>
      <c r="P232" s="90">
        <f>IF(Tabela1[[#This Row],[CARGA PARCIAL]]&lt;0,0,Tabela1[[#This Row],[CARGA PARCIAL]])</f>
        <v>0</v>
      </c>
      <c r="Q232" s="93">
        <f>IF(Tabela1[[#This Row],[CARGA PARCIAL]]&lt;0,0,Tabela1[[#This Row],[CARGA PARCIAL]])+Tabela1[[#This Row],[REEMBOLSO]]</f>
        <v>153</v>
      </c>
      <c r="R232" s="66" t="s">
        <v>21</v>
      </c>
      <c r="S232" s="70"/>
    </row>
    <row r="233" spans="2:19" x14ac:dyDescent="0.25">
      <c r="B233" s="83" t="s">
        <v>1159</v>
      </c>
      <c r="C233" s="64" t="s">
        <v>1833</v>
      </c>
      <c r="D233" s="64" t="s">
        <v>17</v>
      </c>
      <c r="E233" s="108" t="s">
        <v>2001</v>
      </c>
      <c r="F233" s="64">
        <v>11062820001</v>
      </c>
      <c r="G233" s="82" t="s">
        <v>1993</v>
      </c>
      <c r="H233" s="64" t="s">
        <v>75</v>
      </c>
      <c r="I233" s="65">
        <v>-152.07000000000005</v>
      </c>
      <c r="J233" s="65">
        <v>0</v>
      </c>
      <c r="K233" s="65">
        <v>0</v>
      </c>
      <c r="L233" s="65">
        <v>278.62</v>
      </c>
      <c r="M233" s="84">
        <v>0</v>
      </c>
      <c r="N233" s="88">
        <f>Tabela1[[#This Row],[1QZ DE DEZ 26]]-Tabela1[[#This Row],[SALDO FINAL]]-Tabela1[[#This Row],[SALDO CARTAO]]-Tabela1[[#This Row],[ADIANTAMENTO]]</f>
        <v>-278.62</v>
      </c>
      <c r="O233" s="67">
        <f>-Tabela1[[#This Row],[SALDO REEMBOLSAR]]</f>
        <v>152.07000000000005</v>
      </c>
      <c r="P233" s="90">
        <f>IF(Tabela1[[#This Row],[CARGA PARCIAL]]&lt;0,0,Tabela1[[#This Row],[CARGA PARCIAL]])</f>
        <v>0</v>
      </c>
      <c r="Q233" s="93">
        <f>IF(Tabela1[[#This Row],[CARGA PARCIAL]]&lt;0,0,Tabela1[[#This Row],[CARGA PARCIAL]])+Tabela1[[#This Row],[REEMBOLSO]]</f>
        <v>152.07000000000005</v>
      </c>
      <c r="R233" s="66" t="s">
        <v>21</v>
      </c>
      <c r="S233" s="70"/>
    </row>
    <row r="234" spans="2:19" x14ac:dyDescent="0.25">
      <c r="B234" s="83" t="s">
        <v>624</v>
      </c>
      <c r="C234" s="64" t="s">
        <v>625</v>
      </c>
      <c r="D234" s="64" t="s">
        <v>17</v>
      </c>
      <c r="E234" s="64" t="s">
        <v>479</v>
      </c>
      <c r="F234" s="64">
        <v>11061430001</v>
      </c>
      <c r="G234" s="82" t="s">
        <v>1989</v>
      </c>
      <c r="H234" s="64" t="s">
        <v>20</v>
      </c>
      <c r="I234" s="65">
        <v>0</v>
      </c>
      <c r="J234" s="65">
        <v>556.87999999999954</v>
      </c>
      <c r="K234" s="65">
        <v>800</v>
      </c>
      <c r="L234" s="65">
        <v>91.1</v>
      </c>
      <c r="M234" s="84">
        <v>0</v>
      </c>
      <c r="N234" s="88">
        <f>Tabela1[[#This Row],[1QZ DE DEZ 26]]-Tabela1[[#This Row],[SALDO FINAL]]-Tabela1[[#This Row],[SALDO CARTAO]]-Tabela1[[#This Row],[ADIANTAMENTO]]</f>
        <v>152.02000000000046</v>
      </c>
      <c r="O234" s="67">
        <f>(-Tabela1[[#This Row],[SALDO REEMBOLSAR]]*$O$4)</f>
        <v>0</v>
      </c>
      <c r="P234" s="90">
        <f>IF(Tabela1[[#This Row],[CARGA PARCIAL]]&lt;0,0,Tabela1[[#This Row],[CARGA PARCIAL]])</f>
        <v>152.02000000000046</v>
      </c>
      <c r="Q234" s="93">
        <f>IF(Tabela1[[#This Row],[CARGA PARCIAL]]&lt;0,0,Tabela1[[#This Row],[CARGA PARCIAL]])+Tabela1[[#This Row],[REEMBOLSO]]</f>
        <v>152.02000000000046</v>
      </c>
      <c r="R234" s="66" t="s">
        <v>21</v>
      </c>
      <c r="S234" s="70"/>
    </row>
    <row r="235" spans="2:19" x14ac:dyDescent="0.25">
      <c r="B235" s="103" t="s">
        <v>189</v>
      </c>
      <c r="C235" s="102" t="s">
        <v>190</v>
      </c>
      <c r="D235" s="64" t="s">
        <v>17</v>
      </c>
      <c r="E235" s="64" t="s">
        <v>1616</v>
      </c>
      <c r="F235" s="64">
        <v>11062940001</v>
      </c>
      <c r="G235" s="82" t="s">
        <v>32</v>
      </c>
      <c r="H235" s="64" t="s">
        <v>33</v>
      </c>
      <c r="I235" s="65">
        <v>0</v>
      </c>
      <c r="J235" s="65">
        <v>1335.67</v>
      </c>
      <c r="K235" s="65">
        <v>1500</v>
      </c>
      <c r="L235" s="65">
        <v>14.33</v>
      </c>
      <c r="M235" s="84">
        <v>0</v>
      </c>
      <c r="N235" s="88">
        <f>Tabela1[[#This Row],[1QZ DE DEZ 26]]-Tabela1[[#This Row],[SALDO FINAL]]-Tabela1[[#This Row],[SALDO CARTAO]]-Tabela1[[#This Row],[ADIANTAMENTO]]</f>
        <v>149.99999999999991</v>
      </c>
      <c r="O235" s="67">
        <f>(-Tabela1[[#This Row],[SALDO REEMBOLSAR]]*$O$4)</f>
        <v>0</v>
      </c>
      <c r="P235" s="122">
        <f>IF(Tabela1[[#This Row],[CARGA PARCIAL]]&lt;0,0,Tabela1[[#This Row],[CARGA PARCIAL]])</f>
        <v>149.99999999999991</v>
      </c>
      <c r="Q235" s="93">
        <f>IF(Tabela1[[#This Row],[CARGA PARCIAL]]&lt;0,0,Tabela1[[#This Row],[CARGA PARCIAL]])+Tabela1[[#This Row],[REEMBOLSO]]</f>
        <v>149.99999999999991</v>
      </c>
      <c r="R235" s="66" t="s">
        <v>21</v>
      </c>
      <c r="S235" s="70"/>
    </row>
    <row r="236" spans="2:19" x14ac:dyDescent="0.25">
      <c r="B236" s="83" t="s">
        <v>1198</v>
      </c>
      <c r="C236" s="64" t="s">
        <v>1849</v>
      </c>
      <c r="D236" s="64" t="s">
        <v>17</v>
      </c>
      <c r="E236" s="64" t="s">
        <v>468</v>
      </c>
      <c r="F236" s="64">
        <v>1104150001</v>
      </c>
      <c r="G236" s="82" t="s">
        <v>240</v>
      </c>
      <c r="H236" s="64" t="s">
        <v>33</v>
      </c>
      <c r="I236" s="65">
        <v>-741</v>
      </c>
      <c r="J236" s="65">
        <v>0</v>
      </c>
      <c r="K236" s="65">
        <v>0</v>
      </c>
      <c r="L236" s="65">
        <v>734</v>
      </c>
      <c r="M236" s="84">
        <v>0</v>
      </c>
      <c r="N236" s="88">
        <f>Tabela1[[#This Row],[1QZ DE DEZ 26]]-Tabela1[[#This Row],[SALDO FINAL]]-Tabela1[[#This Row],[SALDO CARTAO]]-Tabela1[[#This Row],[ADIANTAMENTO]]</f>
        <v>-734</v>
      </c>
      <c r="O236" s="67">
        <f>(-Tabela1[[#This Row],[SALDO REEMBOLSAR]]*$O$4)</f>
        <v>148.20000000000002</v>
      </c>
      <c r="P236" s="90">
        <f>IF(Tabela1[[#This Row],[CARGA PARCIAL]]&lt;0,0,Tabela1[[#This Row],[CARGA PARCIAL]])</f>
        <v>0</v>
      </c>
      <c r="Q236" s="93">
        <f>IF(Tabela1[[#This Row],[CARGA PARCIAL]]&lt;0,0,Tabela1[[#This Row],[CARGA PARCIAL]])+Tabela1[[#This Row],[REEMBOLSO]]</f>
        <v>148.20000000000002</v>
      </c>
      <c r="R236" s="66" t="s">
        <v>21</v>
      </c>
      <c r="S236" s="70"/>
    </row>
    <row r="237" spans="2:19" x14ac:dyDescent="0.25">
      <c r="B237" s="83" t="s">
        <v>336</v>
      </c>
      <c r="C237" s="64" t="s">
        <v>337</v>
      </c>
      <c r="D237" s="64" t="s">
        <v>17</v>
      </c>
      <c r="E237" s="64" t="s">
        <v>338</v>
      </c>
      <c r="F237" s="64">
        <v>11062560001</v>
      </c>
      <c r="G237" s="82" t="s">
        <v>19</v>
      </c>
      <c r="H237" s="64" t="s">
        <v>20</v>
      </c>
      <c r="I237" s="65">
        <v>0</v>
      </c>
      <c r="J237" s="65">
        <v>31.299999999999955</v>
      </c>
      <c r="K237" s="65">
        <v>200</v>
      </c>
      <c r="L237" s="65">
        <v>22</v>
      </c>
      <c r="M237" s="84">
        <v>0</v>
      </c>
      <c r="N237" s="88">
        <f>Tabela1[[#This Row],[1QZ DE DEZ 26]]-Tabela1[[#This Row],[SALDO FINAL]]-Tabela1[[#This Row],[SALDO CARTAO]]-Tabela1[[#This Row],[ADIANTAMENTO]]</f>
        <v>146.70000000000005</v>
      </c>
      <c r="O237" s="67">
        <f>(-Tabela1[[#This Row],[SALDO REEMBOLSAR]]*$O$4)</f>
        <v>0</v>
      </c>
      <c r="P237" s="90">
        <f>IF(Tabela1[[#This Row],[CARGA PARCIAL]]&lt;0,0,Tabela1[[#This Row],[CARGA PARCIAL]])</f>
        <v>146.70000000000005</v>
      </c>
      <c r="Q237" s="93">
        <f>IF(Tabela1[[#This Row],[CARGA PARCIAL]]&lt;0,0,Tabela1[[#This Row],[CARGA PARCIAL]])+Tabela1[[#This Row],[REEMBOLSO]]</f>
        <v>146.70000000000005</v>
      </c>
      <c r="R237" s="66" t="s">
        <v>21</v>
      </c>
      <c r="S237" s="70"/>
    </row>
    <row r="238" spans="2:19" x14ac:dyDescent="0.25">
      <c r="B238" s="103" t="s">
        <v>745</v>
      </c>
      <c r="C238" s="102" t="s">
        <v>746</v>
      </c>
      <c r="D238" s="64" t="s">
        <v>17</v>
      </c>
      <c r="E238" s="64" t="s">
        <v>2000</v>
      </c>
      <c r="F238" s="64">
        <v>11080400001</v>
      </c>
      <c r="G238" s="82" t="s">
        <v>32</v>
      </c>
      <c r="H238" s="64" t="s">
        <v>33</v>
      </c>
      <c r="I238" s="65">
        <v>0</v>
      </c>
      <c r="J238" s="65">
        <v>6.5199999999998681</v>
      </c>
      <c r="K238" s="65">
        <v>1000</v>
      </c>
      <c r="L238" s="65">
        <v>854.85</v>
      </c>
      <c r="M238" s="84">
        <v>0</v>
      </c>
      <c r="N238" s="88">
        <f>Tabela1[[#This Row],[1QZ DE DEZ 26]]-Tabela1[[#This Row],[SALDO FINAL]]-Tabela1[[#This Row],[SALDO CARTAO]]-Tabela1[[#This Row],[ADIANTAMENTO]]</f>
        <v>138.63000000000011</v>
      </c>
      <c r="O238" s="67">
        <f>(-Tabela1[[#This Row],[SALDO REEMBOLSAR]]*$O$4)</f>
        <v>0</v>
      </c>
      <c r="P238" s="122">
        <f>IF(Tabela1[[#This Row],[CARGA PARCIAL]]&lt;0,0,Tabela1[[#This Row],[CARGA PARCIAL]])</f>
        <v>138.63000000000011</v>
      </c>
      <c r="Q238" s="93">
        <f>IF(Tabela1[[#This Row],[CARGA PARCIAL]]&lt;0,0,Tabela1[[#This Row],[CARGA PARCIAL]])+Tabela1[[#This Row],[REEMBOLSO]]</f>
        <v>138.63000000000011</v>
      </c>
      <c r="R238" s="66" t="s">
        <v>21</v>
      </c>
      <c r="S238" s="70"/>
    </row>
    <row r="239" spans="2:19" x14ac:dyDescent="0.25">
      <c r="B239" s="103" t="s">
        <v>809</v>
      </c>
      <c r="C239" s="102" t="s">
        <v>810</v>
      </c>
      <c r="D239" s="64" t="s">
        <v>17</v>
      </c>
      <c r="E239" s="64" t="s">
        <v>392</v>
      </c>
      <c r="F239" s="64">
        <v>11061770001</v>
      </c>
      <c r="G239" s="82" t="s">
        <v>236</v>
      </c>
      <c r="H239" s="64" t="s">
        <v>33</v>
      </c>
      <c r="I239" s="65">
        <v>-136.25000000000057</v>
      </c>
      <c r="J239" s="65">
        <v>0</v>
      </c>
      <c r="K239" s="65">
        <v>200</v>
      </c>
      <c r="L239" s="65">
        <v>329.6</v>
      </c>
      <c r="M239" s="84">
        <v>0</v>
      </c>
      <c r="N239" s="88">
        <f>Tabela1[[#This Row],[1QZ DE DEZ 26]]-Tabela1[[#This Row],[SALDO FINAL]]-Tabela1[[#This Row],[SALDO CARTAO]]-Tabela1[[#This Row],[ADIANTAMENTO]]</f>
        <v>-129.60000000000002</v>
      </c>
      <c r="O239" s="67">
        <f>-Tabela1[[#This Row],[SALDO REEMBOLSAR]]</f>
        <v>136.25000000000057</v>
      </c>
      <c r="P239" s="122">
        <f>IF(Tabela1[[#This Row],[CARGA PARCIAL]]&lt;0,0,Tabela1[[#This Row],[CARGA PARCIAL]])</f>
        <v>0</v>
      </c>
      <c r="Q239" s="93">
        <f>IF(Tabela1[[#This Row],[CARGA PARCIAL]]&lt;0,0,Tabela1[[#This Row],[CARGA PARCIAL]])+Tabela1[[#This Row],[REEMBOLSO]]</f>
        <v>136.25000000000057</v>
      </c>
      <c r="R239" s="66" t="s">
        <v>21</v>
      </c>
      <c r="S239" s="70"/>
    </row>
    <row r="240" spans="2:19" x14ac:dyDescent="0.25">
      <c r="B240" s="103" t="s">
        <v>591</v>
      </c>
      <c r="C240" s="102" t="s">
        <v>592</v>
      </c>
      <c r="D240" s="64" t="s">
        <v>17</v>
      </c>
      <c r="E240" s="64" t="s">
        <v>270</v>
      </c>
      <c r="F240" s="64">
        <v>11040140001</v>
      </c>
      <c r="G240" s="82" t="s">
        <v>240</v>
      </c>
      <c r="H240" s="64" t="s">
        <v>33</v>
      </c>
      <c r="I240" s="65">
        <v>-97.320000000000135</v>
      </c>
      <c r="J240" s="65">
        <v>0</v>
      </c>
      <c r="K240" s="65">
        <v>50</v>
      </c>
      <c r="L240" s="65">
        <v>13.1</v>
      </c>
      <c r="M240" s="84">
        <v>0</v>
      </c>
      <c r="N240" s="88">
        <f>Tabela1[[#This Row],[1QZ DE DEZ 26]]-Tabela1[[#This Row],[SALDO FINAL]]-Tabela1[[#This Row],[SALDO CARTAO]]-Tabela1[[#This Row],[ADIANTAMENTO]]</f>
        <v>36.9</v>
      </c>
      <c r="O240" s="67">
        <f>-Tabela1[[#This Row],[SALDO REEMBOLSAR]]</f>
        <v>97.320000000000135</v>
      </c>
      <c r="P240" s="122">
        <f>IF(Tabela1[[#This Row],[CARGA PARCIAL]]&lt;0,0,Tabela1[[#This Row],[CARGA PARCIAL]])</f>
        <v>36.9</v>
      </c>
      <c r="Q240" s="93">
        <f>IF(Tabela1[[#This Row],[CARGA PARCIAL]]&lt;0,0,Tabela1[[#This Row],[CARGA PARCIAL]])+Tabela1[[#This Row],[REEMBOLSO]]</f>
        <v>134.22000000000014</v>
      </c>
      <c r="R240" s="66" t="s">
        <v>21</v>
      </c>
      <c r="S240" s="70"/>
    </row>
    <row r="241" spans="2:19" x14ac:dyDescent="0.25">
      <c r="B241" s="83" t="s">
        <v>672</v>
      </c>
      <c r="C241" s="64" t="s">
        <v>673</v>
      </c>
      <c r="D241" s="64" t="s">
        <v>17</v>
      </c>
      <c r="E241" s="64" t="s">
        <v>90</v>
      </c>
      <c r="F241" s="64">
        <v>11030760001</v>
      </c>
      <c r="G241" s="82" t="s">
        <v>32</v>
      </c>
      <c r="H241" s="64" t="s">
        <v>33</v>
      </c>
      <c r="I241" s="65">
        <v>0</v>
      </c>
      <c r="J241" s="65">
        <v>487.49000000000007</v>
      </c>
      <c r="K241" s="65">
        <v>675</v>
      </c>
      <c r="L241" s="65">
        <v>56.45</v>
      </c>
      <c r="M241" s="84">
        <v>0</v>
      </c>
      <c r="N241" s="88">
        <f>Tabela1[[#This Row],[1QZ DE DEZ 26]]-Tabela1[[#This Row],[SALDO FINAL]]-Tabela1[[#This Row],[SALDO CARTAO]]-Tabela1[[#This Row],[ADIANTAMENTO]]</f>
        <v>131.05999999999995</v>
      </c>
      <c r="O241" s="67">
        <f>(-Tabela1[[#This Row],[SALDO REEMBOLSAR]]*$O$4)</f>
        <v>0</v>
      </c>
      <c r="P241" s="90">
        <f>IF(Tabela1[[#This Row],[CARGA PARCIAL]]&lt;0,0,Tabela1[[#This Row],[CARGA PARCIAL]])</f>
        <v>131.05999999999995</v>
      </c>
      <c r="Q241" s="93">
        <f>IF(Tabela1[[#This Row],[CARGA PARCIAL]]&lt;0,0,Tabela1[[#This Row],[CARGA PARCIAL]])+Tabela1[[#This Row],[REEMBOLSO]]</f>
        <v>131.05999999999995</v>
      </c>
      <c r="R241" s="66" t="s">
        <v>21</v>
      </c>
      <c r="S241" s="70"/>
    </row>
    <row r="242" spans="2:19" x14ac:dyDescent="0.25">
      <c r="B242" s="83" t="s">
        <v>1072</v>
      </c>
      <c r="C242" s="64" t="s">
        <v>1804</v>
      </c>
      <c r="D242" s="64" t="s">
        <v>17</v>
      </c>
      <c r="E242" s="64" t="s">
        <v>239</v>
      </c>
      <c r="F242" s="64">
        <v>11040130001</v>
      </c>
      <c r="G242" s="82" t="s">
        <v>240</v>
      </c>
      <c r="H242" s="64" t="s">
        <v>33</v>
      </c>
      <c r="I242" s="65">
        <v>-126.53999999999999</v>
      </c>
      <c r="J242" s="65">
        <v>0</v>
      </c>
      <c r="K242" s="65">
        <v>0</v>
      </c>
      <c r="L242" s="65">
        <v>252.91</v>
      </c>
      <c r="M242" s="84">
        <v>0</v>
      </c>
      <c r="N242" s="88">
        <f>Tabela1[[#This Row],[1QZ DE DEZ 26]]-Tabela1[[#This Row],[SALDO FINAL]]-Tabela1[[#This Row],[SALDO CARTAO]]-Tabela1[[#This Row],[ADIANTAMENTO]]</f>
        <v>-252.91</v>
      </c>
      <c r="O242" s="67">
        <f>-Tabela1[[#This Row],[SALDO REEMBOLSAR]]</f>
        <v>126.53999999999999</v>
      </c>
      <c r="P242" s="90">
        <f>IF(Tabela1[[#This Row],[CARGA PARCIAL]]&lt;0,0,Tabela1[[#This Row],[CARGA PARCIAL]])</f>
        <v>0</v>
      </c>
      <c r="Q242" s="93">
        <f>IF(Tabela1[[#This Row],[CARGA PARCIAL]]&lt;0,0,Tabela1[[#This Row],[CARGA PARCIAL]])+Tabela1[[#This Row],[REEMBOLSO]]</f>
        <v>126.53999999999999</v>
      </c>
      <c r="R242" s="66" t="s">
        <v>21</v>
      </c>
      <c r="S242" s="70"/>
    </row>
    <row r="243" spans="2:19" x14ac:dyDescent="0.25">
      <c r="B243" s="83" t="s">
        <v>1153</v>
      </c>
      <c r="C243" s="64" t="s">
        <v>1826</v>
      </c>
      <c r="D243" s="64" t="s">
        <v>17</v>
      </c>
      <c r="E243" s="64" t="s">
        <v>380</v>
      </c>
      <c r="F243" s="64">
        <v>11030620001</v>
      </c>
      <c r="G243" s="82" t="s">
        <v>236</v>
      </c>
      <c r="H243" s="64" t="s">
        <v>33</v>
      </c>
      <c r="I243" s="65">
        <v>-632.59000000000015</v>
      </c>
      <c r="J243" s="65">
        <v>0</v>
      </c>
      <c r="K243" s="65">
        <v>0</v>
      </c>
      <c r="L243" s="65">
        <v>0</v>
      </c>
      <c r="M243" s="84">
        <v>0</v>
      </c>
      <c r="N243" s="88">
        <f>Tabela1[[#This Row],[1QZ DE DEZ 26]]-Tabela1[[#This Row],[SALDO FINAL]]-Tabela1[[#This Row],[SALDO CARTAO]]-Tabela1[[#This Row],[ADIANTAMENTO]]</f>
        <v>0</v>
      </c>
      <c r="O243" s="67">
        <f>(-Tabela1[[#This Row],[SALDO REEMBOLSAR]]*$O$4)</f>
        <v>126.51800000000003</v>
      </c>
      <c r="P243" s="90">
        <f>IF(Tabela1[[#This Row],[CARGA PARCIAL]]&lt;0,0,Tabela1[[#This Row],[CARGA PARCIAL]])</f>
        <v>0</v>
      </c>
      <c r="Q243" s="93">
        <f>IF(Tabela1[[#This Row],[CARGA PARCIAL]]&lt;0,0,Tabela1[[#This Row],[CARGA PARCIAL]])+Tabela1[[#This Row],[REEMBOLSO]]</f>
        <v>126.51800000000003</v>
      </c>
      <c r="R243" s="66" t="s">
        <v>21</v>
      </c>
      <c r="S243" s="70"/>
    </row>
    <row r="244" spans="2:19" x14ac:dyDescent="0.25">
      <c r="B244" s="83" t="s">
        <v>1128</v>
      </c>
      <c r="C244" s="64" t="s">
        <v>1817</v>
      </c>
      <c r="D244" s="64" t="s">
        <v>17</v>
      </c>
      <c r="E244" s="64" t="s">
        <v>444</v>
      </c>
      <c r="F244" s="64">
        <v>11030710001</v>
      </c>
      <c r="G244" s="82" t="s">
        <v>244</v>
      </c>
      <c r="H244" s="64" t="s">
        <v>33</v>
      </c>
      <c r="I244" s="65">
        <v>-629.36</v>
      </c>
      <c r="J244" s="65">
        <v>0</v>
      </c>
      <c r="K244" s="65">
        <v>0</v>
      </c>
      <c r="L244" s="65">
        <v>0</v>
      </c>
      <c r="M244" s="84">
        <v>0</v>
      </c>
      <c r="N244" s="88">
        <f>Tabela1[[#This Row],[1QZ DE DEZ 26]]-Tabela1[[#This Row],[SALDO FINAL]]-Tabela1[[#This Row],[SALDO CARTAO]]-Tabela1[[#This Row],[ADIANTAMENTO]]</f>
        <v>0</v>
      </c>
      <c r="O244" s="67">
        <f>(-Tabela1[[#This Row],[SALDO REEMBOLSAR]]*$O$4)</f>
        <v>125.87200000000001</v>
      </c>
      <c r="P244" s="90">
        <f>IF(Tabela1[[#This Row],[CARGA PARCIAL]]&lt;0,0,Tabela1[[#This Row],[CARGA PARCIAL]])</f>
        <v>0</v>
      </c>
      <c r="Q244" s="93">
        <f>IF(Tabela1[[#This Row],[CARGA PARCIAL]]&lt;0,0,Tabela1[[#This Row],[CARGA PARCIAL]])+Tabela1[[#This Row],[REEMBOLSO]]</f>
        <v>125.87200000000001</v>
      </c>
      <c r="R244" s="66" t="s">
        <v>21</v>
      </c>
      <c r="S244" s="70"/>
    </row>
    <row r="245" spans="2:19" x14ac:dyDescent="0.25">
      <c r="B245" s="103" t="s">
        <v>1490</v>
      </c>
      <c r="C245" s="102" t="s">
        <v>1944</v>
      </c>
      <c r="D245" s="64" t="s">
        <v>17</v>
      </c>
      <c r="E245" s="64" t="s">
        <v>1946</v>
      </c>
      <c r="F245" s="64">
        <v>12010580001</v>
      </c>
      <c r="G245" s="82" t="s">
        <v>19</v>
      </c>
      <c r="H245" s="64" t="s">
        <v>20</v>
      </c>
      <c r="I245" s="65">
        <v>-629.36</v>
      </c>
      <c r="J245" s="65">
        <v>0</v>
      </c>
      <c r="K245" s="65">
        <v>0</v>
      </c>
      <c r="L245" s="65">
        <v>629.36</v>
      </c>
      <c r="M245" s="84">
        <v>0</v>
      </c>
      <c r="N245" s="88">
        <f>Tabela1[[#This Row],[1QZ DE DEZ 26]]-Tabela1[[#This Row],[SALDO FINAL]]-Tabela1[[#This Row],[SALDO CARTAO]]-Tabela1[[#This Row],[ADIANTAMENTO]]</f>
        <v>-629.36</v>
      </c>
      <c r="O245" s="67">
        <f>(-Tabela1[[#This Row],[SALDO REEMBOLSAR]]*$O$4)</f>
        <v>125.87200000000001</v>
      </c>
      <c r="P245" s="122">
        <f>IF(Tabela1[[#This Row],[CARGA PARCIAL]]&lt;0,0,Tabela1[[#This Row],[CARGA PARCIAL]])</f>
        <v>0</v>
      </c>
      <c r="Q245" s="93">
        <f>IF(Tabela1[[#This Row],[CARGA PARCIAL]]&lt;0,0,Tabela1[[#This Row],[CARGA PARCIAL]])+Tabela1[[#This Row],[REEMBOLSO]]</f>
        <v>125.87200000000001</v>
      </c>
      <c r="R245" s="66" t="s">
        <v>21</v>
      </c>
      <c r="S245" s="70"/>
    </row>
    <row r="246" spans="2:19" x14ac:dyDescent="0.25">
      <c r="B246" s="83" t="s">
        <v>316</v>
      </c>
      <c r="C246" s="64" t="s">
        <v>317</v>
      </c>
      <c r="D246" s="64" t="s">
        <v>17</v>
      </c>
      <c r="E246" s="64" t="s">
        <v>239</v>
      </c>
      <c r="F246" s="64">
        <v>11040130001</v>
      </c>
      <c r="G246" s="82" t="s">
        <v>240</v>
      </c>
      <c r="H246" s="64" t="s">
        <v>33</v>
      </c>
      <c r="I246" s="65">
        <v>-625.50000000000023</v>
      </c>
      <c r="J246" s="65">
        <v>0</v>
      </c>
      <c r="K246" s="65">
        <v>80</v>
      </c>
      <c r="L246" s="65">
        <v>1004.98</v>
      </c>
      <c r="M246" s="84">
        <v>0</v>
      </c>
      <c r="N246" s="88">
        <f>Tabela1[[#This Row],[1QZ DE DEZ 26]]-Tabela1[[#This Row],[SALDO FINAL]]-Tabela1[[#This Row],[SALDO CARTAO]]-Tabela1[[#This Row],[ADIANTAMENTO]]</f>
        <v>-924.98</v>
      </c>
      <c r="O246" s="67">
        <f>(-Tabela1[[#This Row],[SALDO REEMBOLSAR]]*$O$4)</f>
        <v>125.10000000000005</v>
      </c>
      <c r="P246" s="90">
        <f>IF(Tabela1[[#This Row],[CARGA PARCIAL]]&lt;0,0,Tabela1[[#This Row],[CARGA PARCIAL]])</f>
        <v>0</v>
      </c>
      <c r="Q246" s="93">
        <f>IF(Tabela1[[#This Row],[CARGA PARCIAL]]&lt;0,0,Tabela1[[#This Row],[CARGA PARCIAL]])+Tabela1[[#This Row],[REEMBOLSO]]</f>
        <v>125.10000000000005</v>
      </c>
      <c r="R246" s="66" t="s">
        <v>21</v>
      </c>
      <c r="S246" s="70"/>
    </row>
    <row r="247" spans="2:19" x14ac:dyDescent="0.25">
      <c r="B247" s="83" t="s">
        <v>399</v>
      </c>
      <c r="C247" s="64" t="s">
        <v>400</v>
      </c>
      <c r="D247" s="64" t="s">
        <v>17</v>
      </c>
      <c r="E247" s="64" t="s">
        <v>239</v>
      </c>
      <c r="F247" s="64">
        <v>11040130001</v>
      </c>
      <c r="G247" s="82" t="s">
        <v>240</v>
      </c>
      <c r="H247" s="64" t="s">
        <v>33</v>
      </c>
      <c r="I247" s="65">
        <v>-78.500000000000014</v>
      </c>
      <c r="J247" s="65">
        <v>0</v>
      </c>
      <c r="K247" s="65">
        <v>160</v>
      </c>
      <c r="L247" s="65">
        <v>116.26</v>
      </c>
      <c r="M247" s="84">
        <v>0</v>
      </c>
      <c r="N247" s="88">
        <f>Tabela1[[#This Row],[1QZ DE DEZ 26]]-Tabela1[[#This Row],[SALDO FINAL]]-Tabela1[[#This Row],[SALDO CARTAO]]-Tabela1[[#This Row],[ADIANTAMENTO]]</f>
        <v>43.739999999999995</v>
      </c>
      <c r="O247" s="67">
        <f>-Tabela1[[#This Row],[SALDO REEMBOLSAR]]</f>
        <v>78.500000000000014</v>
      </c>
      <c r="P247" s="90">
        <f>IF(Tabela1[[#This Row],[CARGA PARCIAL]]&lt;0,0,Tabela1[[#This Row],[CARGA PARCIAL]])</f>
        <v>43.739999999999995</v>
      </c>
      <c r="Q247" s="93">
        <f>IF(Tabela1[[#This Row],[CARGA PARCIAL]]&lt;0,0,Tabela1[[#This Row],[CARGA PARCIAL]])+Tabela1[[#This Row],[REEMBOLSO]]</f>
        <v>122.24000000000001</v>
      </c>
      <c r="R247" s="66" t="s">
        <v>21</v>
      </c>
      <c r="S247" s="70"/>
    </row>
    <row r="248" spans="2:19" x14ac:dyDescent="0.25">
      <c r="B248" s="103" t="s">
        <v>652</v>
      </c>
      <c r="C248" s="102" t="s">
        <v>653</v>
      </c>
      <c r="D248" s="64" t="s">
        <v>17</v>
      </c>
      <c r="E248" s="64" t="s">
        <v>262</v>
      </c>
      <c r="F248" s="64">
        <v>11061840001</v>
      </c>
      <c r="G248" s="82" t="s">
        <v>236</v>
      </c>
      <c r="H248" s="64" t="s">
        <v>33</v>
      </c>
      <c r="I248" s="65">
        <v>-94.47999999999999</v>
      </c>
      <c r="J248" s="65">
        <v>0</v>
      </c>
      <c r="K248" s="65">
        <v>200</v>
      </c>
      <c r="L248" s="65">
        <v>174.48</v>
      </c>
      <c r="M248" s="84">
        <v>0</v>
      </c>
      <c r="N248" s="88">
        <f>Tabela1[[#This Row],[1QZ DE DEZ 26]]-Tabela1[[#This Row],[SALDO FINAL]]-Tabela1[[#This Row],[SALDO CARTAO]]-Tabela1[[#This Row],[ADIANTAMENTO]]</f>
        <v>25.52000000000001</v>
      </c>
      <c r="O248" s="67">
        <f>-Tabela1[[#This Row],[SALDO REEMBOLSAR]]</f>
        <v>94.47999999999999</v>
      </c>
      <c r="P248" s="122">
        <f>IF(Tabela1[[#This Row],[CARGA PARCIAL]]&lt;0,0,Tabela1[[#This Row],[CARGA PARCIAL]])</f>
        <v>25.52000000000001</v>
      </c>
      <c r="Q248" s="93">
        <f>IF(Tabela1[[#This Row],[CARGA PARCIAL]]&lt;0,0,Tabela1[[#This Row],[CARGA PARCIAL]])+Tabela1[[#This Row],[REEMBOLSO]]</f>
        <v>120</v>
      </c>
      <c r="R248" s="66" t="s">
        <v>21</v>
      </c>
      <c r="S248" s="70"/>
    </row>
    <row r="249" spans="2:19" x14ac:dyDescent="0.25">
      <c r="B249" s="103" t="s">
        <v>656</v>
      </c>
      <c r="C249" s="102" t="s">
        <v>657</v>
      </c>
      <c r="D249" s="64" t="s">
        <v>17</v>
      </c>
      <c r="E249" s="64" t="s">
        <v>239</v>
      </c>
      <c r="F249" s="64">
        <v>11040130001</v>
      </c>
      <c r="G249" s="82" t="s">
        <v>240</v>
      </c>
      <c r="H249" s="64" t="s">
        <v>33</v>
      </c>
      <c r="I249" s="65">
        <v>0</v>
      </c>
      <c r="J249" s="65">
        <v>0</v>
      </c>
      <c r="K249" s="65">
        <v>120</v>
      </c>
      <c r="L249" s="65">
        <v>1.32</v>
      </c>
      <c r="M249" s="84">
        <v>0</v>
      </c>
      <c r="N249" s="88">
        <f>Tabela1[[#This Row],[1QZ DE DEZ 26]]-Tabela1[[#This Row],[SALDO FINAL]]-Tabela1[[#This Row],[SALDO CARTAO]]-Tabela1[[#This Row],[ADIANTAMENTO]]</f>
        <v>118.68</v>
      </c>
      <c r="O249" s="67">
        <f>(-Tabela1[[#This Row],[SALDO REEMBOLSAR]]*$O$4)</f>
        <v>0</v>
      </c>
      <c r="P249" s="122">
        <f>IF(Tabela1[[#This Row],[CARGA PARCIAL]]&lt;0,0,Tabela1[[#This Row],[CARGA PARCIAL]])</f>
        <v>118.68</v>
      </c>
      <c r="Q249" s="93">
        <f>IF(Tabela1[[#This Row],[CARGA PARCIAL]]&lt;0,0,Tabela1[[#This Row],[CARGA PARCIAL]])+Tabela1[[#This Row],[REEMBOLSO]]</f>
        <v>118.68</v>
      </c>
      <c r="R249" s="66" t="s">
        <v>21</v>
      </c>
      <c r="S249" s="70"/>
    </row>
    <row r="250" spans="2:19" x14ac:dyDescent="0.25">
      <c r="B250" s="103" t="s">
        <v>1380</v>
      </c>
      <c r="C250" s="102" t="s">
        <v>1900</v>
      </c>
      <c r="D250" s="64" t="s">
        <v>17</v>
      </c>
      <c r="E250" s="64" t="s">
        <v>468</v>
      </c>
      <c r="F250" s="64">
        <v>1104150001</v>
      </c>
      <c r="G250" s="82" t="s">
        <v>240</v>
      </c>
      <c r="H250" s="64" t="s">
        <v>33</v>
      </c>
      <c r="I250" s="65">
        <v>-549.79999999999995</v>
      </c>
      <c r="J250" s="65">
        <v>0</v>
      </c>
      <c r="K250" s="65">
        <v>0</v>
      </c>
      <c r="L250" s="65">
        <v>347.85</v>
      </c>
      <c r="M250" s="84">
        <v>0</v>
      </c>
      <c r="N250" s="88">
        <f>Tabela1[[#This Row],[1QZ DE DEZ 26]]-Tabela1[[#This Row],[SALDO FINAL]]-Tabela1[[#This Row],[SALDO CARTAO]]-Tabela1[[#This Row],[ADIANTAMENTO]]</f>
        <v>-347.85</v>
      </c>
      <c r="O250" s="67">
        <f>(-Tabela1[[#This Row],[SALDO REEMBOLSAR]]*$O$4)</f>
        <v>109.96</v>
      </c>
      <c r="P250" s="122">
        <f>IF(Tabela1[[#This Row],[CARGA PARCIAL]]&lt;0,0,Tabela1[[#This Row],[CARGA PARCIAL]])</f>
        <v>0</v>
      </c>
      <c r="Q250" s="93">
        <f>IF(Tabela1[[#This Row],[CARGA PARCIAL]]&lt;0,0,Tabela1[[#This Row],[CARGA PARCIAL]])+Tabela1[[#This Row],[REEMBOLSO]]</f>
        <v>109.96</v>
      </c>
      <c r="R250" s="66" t="s">
        <v>21</v>
      </c>
      <c r="S250" s="70"/>
    </row>
    <row r="251" spans="2:19" x14ac:dyDescent="0.25">
      <c r="B251" s="83" t="s">
        <v>49</v>
      </c>
      <c r="C251" s="64" t="s">
        <v>50</v>
      </c>
      <c r="D251" s="64" t="s">
        <v>17</v>
      </c>
      <c r="E251" s="64" t="s">
        <v>51</v>
      </c>
      <c r="F251" s="64">
        <v>11062850001</v>
      </c>
      <c r="G251" s="82" t="s">
        <v>25</v>
      </c>
      <c r="H251" s="64" t="s">
        <v>20</v>
      </c>
      <c r="I251" s="65">
        <v>0</v>
      </c>
      <c r="J251" s="65">
        <v>625.61999999999989</v>
      </c>
      <c r="K251" s="65">
        <v>800</v>
      </c>
      <c r="L251" s="65">
        <v>66.89</v>
      </c>
      <c r="M251" s="84">
        <v>0</v>
      </c>
      <c r="N251" s="88">
        <f>Tabela1[[#This Row],[1QZ DE DEZ 26]]-Tabela1[[#This Row],[SALDO FINAL]]-Tabela1[[#This Row],[SALDO CARTAO]]-Tabela1[[#This Row],[ADIANTAMENTO]]</f>
        <v>107.49000000000011</v>
      </c>
      <c r="O251" s="67">
        <f>(-Tabela1[[#This Row],[SALDO REEMBOLSAR]]*$O$4)</f>
        <v>0</v>
      </c>
      <c r="P251" s="90">
        <f>IF(Tabela1[[#This Row],[CARGA PARCIAL]]&lt;0,0,Tabela1[[#This Row],[CARGA PARCIAL]])</f>
        <v>107.49000000000011</v>
      </c>
      <c r="Q251" s="93">
        <f>IF(Tabela1[[#This Row],[CARGA PARCIAL]]&lt;0,0,Tabela1[[#This Row],[CARGA PARCIAL]])+Tabela1[[#This Row],[REEMBOLSO]]</f>
        <v>107.49000000000011</v>
      </c>
      <c r="R251" s="66" t="s">
        <v>21</v>
      </c>
      <c r="S251" s="70"/>
    </row>
    <row r="252" spans="2:19" x14ac:dyDescent="0.25">
      <c r="B252" s="103" t="s">
        <v>1515</v>
      </c>
      <c r="C252" s="102" t="s">
        <v>1953</v>
      </c>
      <c r="D252" s="64" t="s">
        <v>17</v>
      </c>
      <c r="E252" s="64" t="s">
        <v>1884</v>
      </c>
      <c r="F252" s="64">
        <v>1201002</v>
      </c>
      <c r="G252" s="82" t="s">
        <v>1996</v>
      </c>
      <c r="H252" s="64" t="s">
        <v>1997</v>
      </c>
      <c r="I252" s="65">
        <v>-507.03</v>
      </c>
      <c r="J252" s="65">
        <v>0</v>
      </c>
      <c r="K252" s="65">
        <v>0</v>
      </c>
      <c r="L252" s="65">
        <v>1017</v>
      </c>
      <c r="M252" s="84">
        <v>0</v>
      </c>
      <c r="N252" s="88">
        <f>Tabela1[[#This Row],[1QZ DE DEZ 26]]-Tabela1[[#This Row],[SALDO FINAL]]-Tabela1[[#This Row],[SALDO CARTAO]]-Tabela1[[#This Row],[ADIANTAMENTO]]</f>
        <v>-1017</v>
      </c>
      <c r="O252" s="67">
        <f>(-Tabela1[[#This Row],[SALDO REEMBOLSAR]]*$O$4)</f>
        <v>101.40600000000001</v>
      </c>
      <c r="P252" s="122">
        <f>IF(Tabela1[[#This Row],[CARGA PARCIAL]]&lt;0,0,Tabela1[[#This Row],[CARGA PARCIAL]])</f>
        <v>0</v>
      </c>
      <c r="Q252" s="93">
        <f>IF(Tabela1[[#This Row],[CARGA PARCIAL]]&lt;0,0,Tabela1[[#This Row],[CARGA PARCIAL]])+Tabela1[[#This Row],[REEMBOLSO]]</f>
        <v>101.40600000000001</v>
      </c>
      <c r="R252" s="66" t="s">
        <v>21</v>
      </c>
      <c r="S252" s="70"/>
    </row>
    <row r="253" spans="2:19" x14ac:dyDescent="0.25">
      <c r="B253" s="83" t="s">
        <v>412</v>
      </c>
      <c r="C253" s="64" t="s">
        <v>413</v>
      </c>
      <c r="D253" s="64" t="s">
        <v>17</v>
      </c>
      <c r="E253" s="64" t="s">
        <v>414</v>
      </c>
      <c r="F253" s="64">
        <v>11010290001</v>
      </c>
      <c r="G253" s="82" t="s">
        <v>25</v>
      </c>
      <c r="H253" s="64" t="s">
        <v>20</v>
      </c>
      <c r="I253" s="65">
        <v>-500.29999999999995</v>
      </c>
      <c r="J253" s="65">
        <v>0</v>
      </c>
      <c r="K253" s="65">
        <v>500</v>
      </c>
      <c r="L253" s="65">
        <v>1000.3</v>
      </c>
      <c r="M253" s="84">
        <v>0</v>
      </c>
      <c r="N253" s="88">
        <f>Tabela1[[#This Row],[1QZ DE DEZ 26]]-Tabela1[[#This Row],[SALDO FINAL]]-Tabela1[[#This Row],[SALDO CARTAO]]-Tabela1[[#This Row],[ADIANTAMENTO]]</f>
        <v>-500.29999999999995</v>
      </c>
      <c r="O253" s="67">
        <f>(-Tabela1[[#This Row],[SALDO REEMBOLSAR]]*$O$4)</f>
        <v>100.06</v>
      </c>
      <c r="P253" s="90">
        <f>IF(Tabela1[[#This Row],[CARGA PARCIAL]]&lt;0,0,Tabela1[[#This Row],[CARGA PARCIAL]])</f>
        <v>0</v>
      </c>
      <c r="Q253" s="93">
        <f>IF(Tabela1[[#This Row],[CARGA PARCIAL]]&lt;0,0,Tabela1[[#This Row],[CARGA PARCIAL]])+Tabela1[[#This Row],[REEMBOLSO]]</f>
        <v>100.06</v>
      </c>
      <c r="R253" s="66" t="s">
        <v>21</v>
      </c>
      <c r="S253" s="70"/>
    </row>
    <row r="254" spans="2:19" x14ac:dyDescent="0.25">
      <c r="B254" s="83" t="s">
        <v>504</v>
      </c>
      <c r="C254" s="64" t="s">
        <v>505</v>
      </c>
      <c r="D254" s="64" t="s">
        <v>17</v>
      </c>
      <c r="E254" s="64" t="s">
        <v>262</v>
      </c>
      <c r="F254" s="64">
        <v>11061840001</v>
      </c>
      <c r="G254" s="82" t="s">
        <v>236</v>
      </c>
      <c r="H254" s="64" t="s">
        <v>33</v>
      </c>
      <c r="I254" s="65">
        <v>-13.93</v>
      </c>
      <c r="J254" s="65">
        <v>0</v>
      </c>
      <c r="K254" s="65">
        <v>100</v>
      </c>
      <c r="L254" s="65">
        <v>13.93</v>
      </c>
      <c r="M254" s="84">
        <v>0</v>
      </c>
      <c r="N254" s="88">
        <f>Tabela1[[#This Row],[1QZ DE DEZ 26]]-Tabela1[[#This Row],[SALDO FINAL]]-Tabela1[[#This Row],[SALDO CARTAO]]-Tabela1[[#This Row],[ADIANTAMENTO]]</f>
        <v>86.07</v>
      </c>
      <c r="O254" s="67">
        <f>-Tabela1[[#This Row],[SALDO REEMBOLSAR]]</f>
        <v>13.93</v>
      </c>
      <c r="P254" s="90">
        <f>IF(Tabela1[[#This Row],[CARGA PARCIAL]]&lt;0,0,Tabela1[[#This Row],[CARGA PARCIAL]])</f>
        <v>86.07</v>
      </c>
      <c r="Q254" s="93">
        <f>IF(Tabela1[[#This Row],[CARGA PARCIAL]]&lt;0,0,Tabela1[[#This Row],[CARGA PARCIAL]])+Tabela1[[#This Row],[REEMBOLSO]]</f>
        <v>100</v>
      </c>
      <c r="R254" s="66" t="s">
        <v>21</v>
      </c>
      <c r="S254" s="70"/>
    </row>
    <row r="255" spans="2:19" x14ac:dyDescent="0.25">
      <c r="B255" s="83" t="s">
        <v>1156</v>
      </c>
      <c r="C255" s="64" t="s">
        <v>1830</v>
      </c>
      <c r="D255" s="64" t="s">
        <v>17</v>
      </c>
      <c r="E255" s="64" t="s">
        <v>488</v>
      </c>
      <c r="F255" s="64">
        <v>11061820001</v>
      </c>
      <c r="G255" s="82" t="s">
        <v>236</v>
      </c>
      <c r="H255" s="64" t="s">
        <v>33</v>
      </c>
      <c r="I255" s="65">
        <v>-99.529999999999916</v>
      </c>
      <c r="J255" s="65">
        <v>0</v>
      </c>
      <c r="K255" s="65">
        <v>0</v>
      </c>
      <c r="L255" s="65">
        <v>305.70999999999998</v>
      </c>
      <c r="M255" s="84">
        <v>0</v>
      </c>
      <c r="N255" s="88">
        <f>Tabela1[[#This Row],[1QZ DE DEZ 26]]-Tabela1[[#This Row],[SALDO FINAL]]-Tabela1[[#This Row],[SALDO CARTAO]]-Tabela1[[#This Row],[ADIANTAMENTO]]</f>
        <v>-305.70999999999998</v>
      </c>
      <c r="O255" s="67">
        <f>-Tabela1[[#This Row],[SALDO REEMBOLSAR]]</f>
        <v>99.529999999999916</v>
      </c>
      <c r="P255" s="90">
        <f>IF(Tabela1[[#This Row],[CARGA PARCIAL]]&lt;0,0,Tabela1[[#This Row],[CARGA PARCIAL]])</f>
        <v>0</v>
      </c>
      <c r="Q255" s="93">
        <f>IF(Tabela1[[#This Row],[CARGA PARCIAL]]&lt;0,0,Tabela1[[#This Row],[CARGA PARCIAL]])+Tabela1[[#This Row],[REEMBOLSO]]</f>
        <v>99.529999999999916</v>
      </c>
      <c r="R255" s="66" t="s">
        <v>21</v>
      </c>
      <c r="S255" s="70"/>
    </row>
    <row r="256" spans="2:19" x14ac:dyDescent="0.25">
      <c r="B256" s="83" t="s">
        <v>1252</v>
      </c>
      <c r="C256" s="64" t="s">
        <v>1861</v>
      </c>
      <c r="D256" s="64" t="s">
        <v>17</v>
      </c>
      <c r="E256" s="64" t="s">
        <v>296</v>
      </c>
      <c r="F256" s="64">
        <v>11030610001</v>
      </c>
      <c r="G256" s="82" t="s">
        <v>236</v>
      </c>
      <c r="H256" s="64" t="s">
        <v>33</v>
      </c>
      <c r="I256" s="65">
        <v>-486</v>
      </c>
      <c r="J256" s="65">
        <v>0</v>
      </c>
      <c r="K256" s="65">
        <v>0</v>
      </c>
      <c r="L256" s="65">
        <v>486</v>
      </c>
      <c r="M256" s="84">
        <v>0</v>
      </c>
      <c r="N256" s="88">
        <f>Tabela1[[#This Row],[1QZ DE DEZ 26]]-Tabela1[[#This Row],[SALDO FINAL]]-Tabela1[[#This Row],[SALDO CARTAO]]-Tabela1[[#This Row],[ADIANTAMENTO]]</f>
        <v>-486</v>
      </c>
      <c r="O256" s="67">
        <f>(-Tabela1[[#This Row],[SALDO REEMBOLSAR]]*$O$4)</f>
        <v>97.2</v>
      </c>
      <c r="P256" s="90">
        <f>IF(Tabela1[[#This Row],[CARGA PARCIAL]]&lt;0,0,Tabela1[[#This Row],[CARGA PARCIAL]])</f>
        <v>0</v>
      </c>
      <c r="Q256" s="93">
        <f>IF(Tabela1[[#This Row],[CARGA PARCIAL]]&lt;0,0,Tabela1[[#This Row],[CARGA PARCIAL]])+Tabela1[[#This Row],[REEMBOLSO]]</f>
        <v>97.2</v>
      </c>
      <c r="R256" s="66" t="s">
        <v>21</v>
      </c>
      <c r="S256" s="70"/>
    </row>
    <row r="257" spans="2:19" x14ac:dyDescent="0.25">
      <c r="B257" s="83" t="s">
        <v>1181</v>
      </c>
      <c r="C257" s="64" t="s">
        <v>1843</v>
      </c>
      <c r="D257" s="64" t="s">
        <v>17</v>
      </c>
      <c r="E257" s="64" t="s">
        <v>569</v>
      </c>
      <c r="F257" s="64">
        <v>11080200001</v>
      </c>
      <c r="G257" s="82" t="s">
        <v>19</v>
      </c>
      <c r="H257" s="64" t="s">
        <v>20</v>
      </c>
      <c r="I257" s="65">
        <v>-95.44</v>
      </c>
      <c r="J257" s="65">
        <v>0</v>
      </c>
      <c r="K257" s="65">
        <v>0</v>
      </c>
      <c r="L257" s="65">
        <v>95.44</v>
      </c>
      <c r="M257" s="84">
        <v>0</v>
      </c>
      <c r="N257" s="88">
        <f>Tabela1[[#This Row],[1QZ DE DEZ 26]]-Tabela1[[#This Row],[SALDO FINAL]]-Tabela1[[#This Row],[SALDO CARTAO]]-Tabela1[[#This Row],[ADIANTAMENTO]]</f>
        <v>-95.44</v>
      </c>
      <c r="O257" s="67">
        <f>-Tabela1[[#This Row],[SALDO REEMBOLSAR]]</f>
        <v>95.44</v>
      </c>
      <c r="P257" s="90">
        <f>IF(Tabela1[[#This Row],[CARGA PARCIAL]]&lt;0,0,Tabela1[[#This Row],[CARGA PARCIAL]])</f>
        <v>0</v>
      </c>
      <c r="Q257" s="93">
        <f>IF(Tabela1[[#This Row],[CARGA PARCIAL]]&lt;0,0,Tabela1[[#This Row],[CARGA PARCIAL]])+Tabela1[[#This Row],[REEMBOLSO]]</f>
        <v>95.44</v>
      </c>
      <c r="R257" s="66" t="s">
        <v>21</v>
      </c>
      <c r="S257" s="70"/>
    </row>
    <row r="258" spans="2:19" x14ac:dyDescent="0.25">
      <c r="B258" s="83" t="s">
        <v>1216</v>
      </c>
      <c r="C258" s="64" t="s">
        <v>1728</v>
      </c>
      <c r="D258" s="64" t="s">
        <v>17</v>
      </c>
      <c r="E258" s="64" t="s">
        <v>239</v>
      </c>
      <c r="F258" s="64">
        <v>11040130001</v>
      </c>
      <c r="G258" s="82" t="s">
        <v>240</v>
      </c>
      <c r="H258" s="64" t="s">
        <v>33</v>
      </c>
      <c r="I258" s="65">
        <v>-472.02999999999992</v>
      </c>
      <c r="J258" s="65">
        <v>0</v>
      </c>
      <c r="K258" s="65">
        <v>0</v>
      </c>
      <c r="L258" s="65">
        <v>477.2</v>
      </c>
      <c r="M258" s="84">
        <v>0</v>
      </c>
      <c r="N258" s="88">
        <f>Tabela1[[#This Row],[1QZ DE DEZ 26]]-Tabela1[[#This Row],[SALDO FINAL]]-Tabela1[[#This Row],[SALDO CARTAO]]-Tabela1[[#This Row],[ADIANTAMENTO]]</f>
        <v>-477.2</v>
      </c>
      <c r="O258" s="67">
        <f>(-Tabela1[[#This Row],[SALDO REEMBOLSAR]]*$O$4)</f>
        <v>94.405999999999992</v>
      </c>
      <c r="P258" s="90">
        <f>IF(Tabela1[[#This Row],[CARGA PARCIAL]]&lt;0,0,Tabela1[[#This Row],[CARGA PARCIAL]])</f>
        <v>0</v>
      </c>
      <c r="Q258" s="93">
        <f>IF(Tabela1[[#This Row],[CARGA PARCIAL]]&lt;0,0,Tabela1[[#This Row],[CARGA PARCIAL]])+Tabela1[[#This Row],[REEMBOLSO]]</f>
        <v>94.405999999999992</v>
      </c>
      <c r="R258" s="66" t="s">
        <v>21</v>
      </c>
      <c r="S258" s="70"/>
    </row>
    <row r="259" spans="2:19" x14ac:dyDescent="0.25">
      <c r="B259" s="83" t="s">
        <v>1275</v>
      </c>
      <c r="C259" s="64" t="s">
        <v>1868</v>
      </c>
      <c r="D259" s="64" t="s">
        <v>17</v>
      </c>
      <c r="E259" s="64" t="s">
        <v>18</v>
      </c>
      <c r="F259" s="64">
        <v>11040170001</v>
      </c>
      <c r="G259" s="82" t="s">
        <v>19</v>
      </c>
      <c r="H259" s="64" t="s">
        <v>20</v>
      </c>
      <c r="I259" s="65">
        <v>-92.88</v>
      </c>
      <c r="J259" s="65">
        <v>0</v>
      </c>
      <c r="K259" s="65">
        <v>0</v>
      </c>
      <c r="L259" s="65">
        <v>92.88</v>
      </c>
      <c r="M259" s="84">
        <v>0</v>
      </c>
      <c r="N259" s="88">
        <f>Tabela1[[#This Row],[1QZ DE DEZ 26]]-Tabela1[[#This Row],[SALDO FINAL]]-Tabela1[[#This Row],[SALDO CARTAO]]-Tabela1[[#This Row],[ADIANTAMENTO]]</f>
        <v>-92.88</v>
      </c>
      <c r="O259" s="67">
        <f>-Tabela1[[#This Row],[SALDO REEMBOLSAR]]</f>
        <v>92.88</v>
      </c>
      <c r="P259" s="90">
        <f>IF(Tabela1[[#This Row],[CARGA PARCIAL]]&lt;0,0,Tabela1[[#This Row],[CARGA PARCIAL]])</f>
        <v>0</v>
      </c>
      <c r="Q259" s="93">
        <f>IF(Tabela1[[#This Row],[CARGA PARCIAL]]&lt;0,0,Tabela1[[#This Row],[CARGA PARCIAL]])+Tabela1[[#This Row],[REEMBOLSO]]</f>
        <v>92.88</v>
      </c>
      <c r="R259" s="66" t="s">
        <v>21</v>
      </c>
      <c r="S259" s="70"/>
    </row>
    <row r="260" spans="2:19" x14ac:dyDescent="0.25">
      <c r="B260" s="83" t="s">
        <v>1229</v>
      </c>
      <c r="C260" s="64" t="s">
        <v>1857</v>
      </c>
      <c r="D260" s="64" t="s">
        <v>17</v>
      </c>
      <c r="E260" s="64" t="s">
        <v>54</v>
      </c>
      <c r="F260" s="64">
        <v>11080220001</v>
      </c>
      <c r="G260" s="82" t="s">
        <v>284</v>
      </c>
      <c r="H260" s="64" t="s">
        <v>20</v>
      </c>
      <c r="I260" s="65">
        <v>-91.98</v>
      </c>
      <c r="J260" s="65">
        <v>0</v>
      </c>
      <c r="K260" s="65">
        <v>0</v>
      </c>
      <c r="L260" s="65">
        <v>91.98</v>
      </c>
      <c r="M260" s="84">
        <v>0</v>
      </c>
      <c r="N260" s="88">
        <f>Tabela1[[#This Row],[1QZ DE DEZ 26]]-Tabela1[[#This Row],[SALDO FINAL]]-Tabela1[[#This Row],[SALDO CARTAO]]-Tabela1[[#This Row],[ADIANTAMENTO]]</f>
        <v>-91.98</v>
      </c>
      <c r="O260" s="67">
        <f>-Tabela1[[#This Row],[SALDO REEMBOLSAR]]</f>
        <v>91.98</v>
      </c>
      <c r="P260" s="90">
        <f>IF(Tabela1[[#This Row],[CARGA PARCIAL]]&lt;0,0,Tabela1[[#This Row],[CARGA PARCIAL]])</f>
        <v>0</v>
      </c>
      <c r="Q260" s="93">
        <f>IF(Tabela1[[#This Row],[CARGA PARCIAL]]&lt;0,0,Tabela1[[#This Row],[CARGA PARCIAL]])+Tabela1[[#This Row],[REEMBOLSO]]</f>
        <v>91.98</v>
      </c>
      <c r="R260" s="66" t="s">
        <v>21</v>
      </c>
      <c r="S260" s="70"/>
    </row>
    <row r="261" spans="2:19" x14ac:dyDescent="0.25">
      <c r="B261" s="103" t="s">
        <v>1357</v>
      </c>
      <c r="C261" s="102" t="s">
        <v>1892</v>
      </c>
      <c r="D261" s="64" t="s">
        <v>17</v>
      </c>
      <c r="E261" s="64" t="s">
        <v>732</v>
      </c>
      <c r="F261" s="64">
        <v>11061990001</v>
      </c>
      <c r="G261" s="82" t="s">
        <v>236</v>
      </c>
      <c r="H261" s="64" t="s">
        <v>33</v>
      </c>
      <c r="I261" s="65">
        <v>-91.1</v>
      </c>
      <c r="J261" s="65">
        <v>0</v>
      </c>
      <c r="K261" s="65">
        <v>0</v>
      </c>
      <c r="L261" s="65">
        <v>91.1</v>
      </c>
      <c r="M261" s="84">
        <v>0</v>
      </c>
      <c r="N261" s="88">
        <f>Tabela1[[#This Row],[1QZ DE DEZ 26]]-Tabela1[[#This Row],[SALDO FINAL]]-Tabela1[[#This Row],[SALDO CARTAO]]-Tabela1[[#This Row],[ADIANTAMENTO]]</f>
        <v>-91.1</v>
      </c>
      <c r="O261" s="67">
        <f>-Tabela1[[#This Row],[SALDO REEMBOLSAR]]</f>
        <v>91.1</v>
      </c>
      <c r="P261" s="122">
        <f>IF(Tabela1[[#This Row],[CARGA PARCIAL]]&lt;0,0,Tabela1[[#This Row],[CARGA PARCIAL]])</f>
        <v>0</v>
      </c>
      <c r="Q261" s="93">
        <f>IF(Tabela1[[#This Row],[CARGA PARCIAL]]&lt;0,0,Tabela1[[#This Row],[CARGA PARCIAL]])+Tabela1[[#This Row],[REEMBOLSO]]</f>
        <v>91.1</v>
      </c>
      <c r="R261" s="66" t="s">
        <v>21</v>
      </c>
      <c r="S261" s="70"/>
    </row>
    <row r="262" spans="2:19" x14ac:dyDescent="0.25">
      <c r="B262" s="103" t="s">
        <v>777</v>
      </c>
      <c r="C262" s="102" t="s">
        <v>778</v>
      </c>
      <c r="D262" s="64" t="s">
        <v>17</v>
      </c>
      <c r="E262" s="64" t="s">
        <v>779</v>
      </c>
      <c r="F262" s="64">
        <v>11062770001</v>
      </c>
      <c r="G262" s="82" t="s">
        <v>25</v>
      </c>
      <c r="H262" s="64" t="s">
        <v>20</v>
      </c>
      <c r="I262" s="65">
        <v>0</v>
      </c>
      <c r="J262" s="65">
        <v>660</v>
      </c>
      <c r="K262" s="65">
        <v>750</v>
      </c>
      <c r="L262" s="65">
        <v>0</v>
      </c>
      <c r="M262" s="84">
        <v>0</v>
      </c>
      <c r="N262" s="88">
        <f>Tabela1[[#This Row],[1QZ DE DEZ 26]]-Tabela1[[#This Row],[SALDO FINAL]]-Tabela1[[#This Row],[SALDO CARTAO]]-Tabela1[[#This Row],[ADIANTAMENTO]]</f>
        <v>90</v>
      </c>
      <c r="O262" s="67">
        <f>(-Tabela1[[#This Row],[SALDO REEMBOLSAR]]*$O$4)</f>
        <v>0</v>
      </c>
      <c r="P262" s="122">
        <f>IF(Tabela1[[#This Row],[CARGA PARCIAL]]&lt;0,0,Tabela1[[#This Row],[CARGA PARCIAL]])</f>
        <v>90</v>
      </c>
      <c r="Q262" s="93">
        <f>IF(Tabela1[[#This Row],[CARGA PARCIAL]]&lt;0,0,Tabela1[[#This Row],[CARGA PARCIAL]])+Tabela1[[#This Row],[REEMBOLSO]]</f>
        <v>90</v>
      </c>
      <c r="R262" s="66" t="s">
        <v>21</v>
      </c>
      <c r="S262" s="70"/>
    </row>
    <row r="263" spans="2:19" x14ac:dyDescent="0.25">
      <c r="B263" s="83" t="s">
        <v>339</v>
      </c>
      <c r="C263" s="64" t="s">
        <v>340</v>
      </c>
      <c r="D263" s="64" t="s">
        <v>17</v>
      </c>
      <c r="E263" s="64" t="s">
        <v>341</v>
      </c>
      <c r="F263" s="64">
        <v>11010090001</v>
      </c>
      <c r="G263" s="82" t="s">
        <v>32</v>
      </c>
      <c r="H263" s="64" t="s">
        <v>33</v>
      </c>
      <c r="I263" s="65">
        <v>0</v>
      </c>
      <c r="J263" s="65">
        <v>301.71000000000004</v>
      </c>
      <c r="K263" s="65">
        <v>400</v>
      </c>
      <c r="L263" s="65">
        <v>14.4</v>
      </c>
      <c r="M263" s="84">
        <v>0</v>
      </c>
      <c r="N263" s="88">
        <f>Tabela1[[#This Row],[1QZ DE DEZ 26]]-Tabela1[[#This Row],[SALDO FINAL]]-Tabela1[[#This Row],[SALDO CARTAO]]-Tabela1[[#This Row],[ADIANTAMENTO]]</f>
        <v>83.889999999999958</v>
      </c>
      <c r="O263" s="67">
        <f>(-Tabela1[[#This Row],[SALDO REEMBOLSAR]]*$O$4)</f>
        <v>0</v>
      </c>
      <c r="P263" s="90">
        <f>IF(Tabela1[[#This Row],[CARGA PARCIAL]]&lt;0,0,Tabela1[[#This Row],[CARGA PARCIAL]])</f>
        <v>83.889999999999958</v>
      </c>
      <c r="Q263" s="93">
        <f>IF(Tabela1[[#This Row],[CARGA PARCIAL]]&lt;0,0,Tabela1[[#This Row],[CARGA PARCIAL]])+Tabela1[[#This Row],[REEMBOLSO]]</f>
        <v>83.889999999999958</v>
      </c>
      <c r="R263" s="66" t="s">
        <v>21</v>
      </c>
      <c r="S263" s="70"/>
    </row>
    <row r="264" spans="2:19" x14ac:dyDescent="0.25">
      <c r="B264" s="83" t="s">
        <v>859</v>
      </c>
      <c r="C264" s="64" t="s">
        <v>1759</v>
      </c>
      <c r="D264" s="64" t="s">
        <v>17</v>
      </c>
      <c r="E264" s="64" t="s">
        <v>24</v>
      </c>
      <c r="F264" s="64">
        <v>11040160001</v>
      </c>
      <c r="G264" s="82" t="s">
        <v>25</v>
      </c>
      <c r="H264" s="64" t="s">
        <v>20</v>
      </c>
      <c r="I264" s="65">
        <v>-83.06</v>
      </c>
      <c r="J264" s="65">
        <v>0</v>
      </c>
      <c r="K264" s="65">
        <v>0</v>
      </c>
      <c r="L264" s="65">
        <v>83.06</v>
      </c>
      <c r="M264" s="84">
        <v>0</v>
      </c>
      <c r="N264" s="88">
        <f>Tabela1[[#This Row],[1QZ DE DEZ 26]]-Tabela1[[#This Row],[SALDO FINAL]]-Tabela1[[#This Row],[SALDO CARTAO]]-Tabela1[[#This Row],[ADIANTAMENTO]]</f>
        <v>-83.06</v>
      </c>
      <c r="O264" s="67">
        <f>-Tabela1[[#This Row],[SALDO REEMBOLSAR]]</f>
        <v>83.06</v>
      </c>
      <c r="P264" s="90">
        <f>IF(Tabela1[[#This Row],[CARGA PARCIAL]]&lt;0,0,Tabela1[[#This Row],[CARGA PARCIAL]])</f>
        <v>0</v>
      </c>
      <c r="Q264" s="93">
        <f>IF(Tabela1[[#This Row],[CARGA PARCIAL]]&lt;0,0,Tabela1[[#This Row],[CARGA PARCIAL]])+Tabela1[[#This Row],[REEMBOLSO]]</f>
        <v>83.06</v>
      </c>
      <c r="R264" s="66" t="s">
        <v>21</v>
      </c>
      <c r="S264" s="70"/>
    </row>
    <row r="265" spans="2:19" x14ac:dyDescent="0.25">
      <c r="B265" s="83" t="s">
        <v>802</v>
      </c>
      <c r="C265" s="64" t="s">
        <v>803</v>
      </c>
      <c r="D265" s="64" t="s">
        <v>17</v>
      </c>
      <c r="E265" s="64" t="s">
        <v>239</v>
      </c>
      <c r="F265" s="64">
        <v>11040130001</v>
      </c>
      <c r="G265" s="82" t="s">
        <v>240</v>
      </c>
      <c r="H265" s="64" t="s">
        <v>33</v>
      </c>
      <c r="I265" s="65">
        <v>-6.5499999999999972</v>
      </c>
      <c r="J265" s="65">
        <v>0</v>
      </c>
      <c r="K265" s="65">
        <v>120</v>
      </c>
      <c r="L265" s="65">
        <v>44.55</v>
      </c>
      <c r="M265" s="84">
        <v>0</v>
      </c>
      <c r="N265" s="88">
        <f>Tabela1[[#This Row],[1QZ DE DEZ 26]]-Tabela1[[#This Row],[SALDO FINAL]]-Tabela1[[#This Row],[SALDO CARTAO]]-Tabela1[[#This Row],[ADIANTAMENTO]]</f>
        <v>75.45</v>
      </c>
      <c r="O265" s="67">
        <f>-Tabela1[[#This Row],[SALDO REEMBOLSAR]]</f>
        <v>6.5499999999999972</v>
      </c>
      <c r="P265" s="90">
        <f>IF(Tabela1[[#This Row],[CARGA PARCIAL]]&lt;0,0,Tabela1[[#This Row],[CARGA PARCIAL]])</f>
        <v>75.45</v>
      </c>
      <c r="Q265" s="93">
        <f>IF(Tabela1[[#This Row],[CARGA PARCIAL]]&lt;0,0,Tabela1[[#This Row],[CARGA PARCIAL]])+Tabela1[[#This Row],[REEMBOLSO]]</f>
        <v>82</v>
      </c>
      <c r="R265" s="66" t="s">
        <v>21</v>
      </c>
      <c r="S265" s="70"/>
    </row>
    <row r="266" spans="2:19" x14ac:dyDescent="0.25">
      <c r="B266" s="83" t="s">
        <v>245</v>
      </c>
      <c r="C266" s="64" t="s">
        <v>246</v>
      </c>
      <c r="D266" s="64" t="s">
        <v>17</v>
      </c>
      <c r="E266" s="64" t="s">
        <v>24</v>
      </c>
      <c r="F266" s="64">
        <v>11040160001</v>
      </c>
      <c r="G266" s="82" t="s">
        <v>25</v>
      </c>
      <c r="H266" s="64" t="s">
        <v>20</v>
      </c>
      <c r="I266" s="65">
        <v>-402.91999999999996</v>
      </c>
      <c r="J266" s="65">
        <v>0</v>
      </c>
      <c r="K266" s="65">
        <v>400</v>
      </c>
      <c r="L266" s="65">
        <v>802.92</v>
      </c>
      <c r="M266" s="84">
        <v>0</v>
      </c>
      <c r="N266" s="88">
        <f>Tabela1[[#This Row],[1QZ DE DEZ 26]]-Tabela1[[#This Row],[SALDO FINAL]]-Tabela1[[#This Row],[SALDO CARTAO]]-Tabela1[[#This Row],[ADIANTAMENTO]]</f>
        <v>-402.91999999999996</v>
      </c>
      <c r="O266" s="67">
        <f>(-Tabela1[[#This Row],[SALDO REEMBOLSAR]]*$O$4)</f>
        <v>80.584000000000003</v>
      </c>
      <c r="P266" s="90">
        <f>IF(Tabela1[[#This Row],[CARGA PARCIAL]]&lt;0,0,Tabela1[[#This Row],[CARGA PARCIAL]])</f>
        <v>0</v>
      </c>
      <c r="Q266" s="93">
        <f>IF(Tabela1[[#This Row],[CARGA PARCIAL]]&lt;0,0,Tabela1[[#This Row],[CARGA PARCIAL]])+Tabela1[[#This Row],[REEMBOLSO]]</f>
        <v>80.584000000000003</v>
      </c>
      <c r="R266" s="66" t="s">
        <v>21</v>
      </c>
      <c r="S266" s="70"/>
    </row>
    <row r="267" spans="2:19" x14ac:dyDescent="0.25">
      <c r="B267" s="103" t="s">
        <v>1425</v>
      </c>
      <c r="C267" s="102" t="s">
        <v>1921</v>
      </c>
      <c r="D267" s="64" t="s">
        <v>17</v>
      </c>
      <c r="E267" s="64" t="s">
        <v>18</v>
      </c>
      <c r="F267" s="64">
        <v>11040170001</v>
      </c>
      <c r="G267" s="82" t="s">
        <v>19</v>
      </c>
      <c r="H267" s="64" t="s">
        <v>20</v>
      </c>
      <c r="I267" s="65">
        <v>-402.26</v>
      </c>
      <c r="J267" s="65">
        <v>0</v>
      </c>
      <c r="K267" s="65">
        <v>0</v>
      </c>
      <c r="L267" s="65">
        <v>0</v>
      </c>
      <c r="M267" s="84">
        <v>0</v>
      </c>
      <c r="N267" s="88">
        <f>Tabela1[[#This Row],[1QZ DE DEZ 26]]-Tabela1[[#This Row],[SALDO FINAL]]-Tabela1[[#This Row],[SALDO CARTAO]]-Tabela1[[#This Row],[ADIANTAMENTO]]</f>
        <v>0</v>
      </c>
      <c r="O267" s="67">
        <f>(-Tabela1[[#This Row],[SALDO REEMBOLSAR]]*$O$4)</f>
        <v>80.451999999999998</v>
      </c>
      <c r="P267" s="122">
        <f>IF(Tabela1[[#This Row],[CARGA PARCIAL]]&lt;0,0,Tabela1[[#This Row],[CARGA PARCIAL]])</f>
        <v>0</v>
      </c>
      <c r="Q267" s="93">
        <f>IF(Tabela1[[#This Row],[CARGA PARCIAL]]&lt;0,0,Tabela1[[#This Row],[CARGA PARCIAL]])+Tabela1[[#This Row],[REEMBOLSO]]</f>
        <v>80.451999999999998</v>
      </c>
      <c r="R267" s="66" t="s">
        <v>21</v>
      </c>
      <c r="S267" s="70"/>
    </row>
    <row r="268" spans="2:19" x14ac:dyDescent="0.25">
      <c r="B268" s="103" t="s">
        <v>713</v>
      </c>
      <c r="C268" s="102" t="s">
        <v>714</v>
      </c>
      <c r="D268" s="64" t="s">
        <v>17</v>
      </c>
      <c r="E268" s="64" t="s">
        <v>513</v>
      </c>
      <c r="F268" s="64">
        <v>11061400001</v>
      </c>
      <c r="G268" s="82" t="s">
        <v>244</v>
      </c>
      <c r="H268" s="64" t="s">
        <v>33</v>
      </c>
      <c r="I268" s="65">
        <v>0</v>
      </c>
      <c r="J268" s="65">
        <v>598.68000000000711</v>
      </c>
      <c r="K268" s="65">
        <v>700</v>
      </c>
      <c r="L268" s="65">
        <v>20.98</v>
      </c>
      <c r="M268" s="84">
        <v>0</v>
      </c>
      <c r="N268" s="88">
        <f>Tabela1[[#This Row],[1QZ DE DEZ 26]]-Tabela1[[#This Row],[SALDO FINAL]]-Tabela1[[#This Row],[SALDO CARTAO]]-Tabela1[[#This Row],[ADIANTAMENTO]]</f>
        <v>80.339999999992884</v>
      </c>
      <c r="O268" s="67">
        <f>(-Tabela1[[#This Row],[SALDO REEMBOLSAR]]*$O$4)</f>
        <v>0</v>
      </c>
      <c r="P268" s="122">
        <f>IF(Tabela1[[#This Row],[CARGA PARCIAL]]&lt;0,0,Tabela1[[#This Row],[CARGA PARCIAL]])</f>
        <v>80.339999999992884</v>
      </c>
      <c r="Q268" s="93">
        <f>IF(Tabela1[[#This Row],[CARGA PARCIAL]]&lt;0,0,Tabela1[[#This Row],[CARGA PARCIAL]])+Tabela1[[#This Row],[REEMBOLSO]]</f>
        <v>80.339999999992884</v>
      </c>
      <c r="R268" s="66" t="s">
        <v>21</v>
      </c>
      <c r="S268" s="70"/>
    </row>
    <row r="269" spans="2:19" x14ac:dyDescent="0.25">
      <c r="B269" s="83" t="s">
        <v>489</v>
      </c>
      <c r="C269" s="64" t="s">
        <v>490</v>
      </c>
      <c r="D269" s="64" t="s">
        <v>17</v>
      </c>
      <c r="E269" s="64" t="s">
        <v>239</v>
      </c>
      <c r="F269" s="64">
        <v>11040130001</v>
      </c>
      <c r="G269" s="82" t="s">
        <v>240</v>
      </c>
      <c r="H269" s="64" t="s">
        <v>33</v>
      </c>
      <c r="I269" s="65">
        <v>0</v>
      </c>
      <c r="J269" s="65">
        <v>40.48000000000031</v>
      </c>
      <c r="K269" s="65">
        <v>120</v>
      </c>
      <c r="L269" s="65">
        <v>1.68</v>
      </c>
      <c r="M269" s="84">
        <v>0</v>
      </c>
      <c r="N269" s="88">
        <f>Tabela1[[#This Row],[1QZ DE DEZ 26]]-Tabela1[[#This Row],[SALDO FINAL]]-Tabela1[[#This Row],[SALDO CARTAO]]-Tabela1[[#This Row],[ADIANTAMENTO]]</f>
        <v>77.839999999999691</v>
      </c>
      <c r="O269" s="67">
        <f>(-Tabela1[[#This Row],[SALDO REEMBOLSAR]]*$O$4)</f>
        <v>0</v>
      </c>
      <c r="P269" s="90">
        <f>IF(Tabela1[[#This Row],[CARGA PARCIAL]]&lt;0,0,Tabela1[[#This Row],[CARGA PARCIAL]])</f>
        <v>77.839999999999691</v>
      </c>
      <c r="Q269" s="93">
        <f>IF(Tabela1[[#This Row],[CARGA PARCIAL]]&lt;0,0,Tabela1[[#This Row],[CARGA PARCIAL]])+Tabela1[[#This Row],[REEMBOLSO]]</f>
        <v>77.839999999999691</v>
      </c>
      <c r="R269" s="66" t="s">
        <v>21</v>
      </c>
      <c r="S269" s="70"/>
    </row>
    <row r="270" spans="2:19" x14ac:dyDescent="0.25">
      <c r="B270" s="83" t="s">
        <v>1107</v>
      </c>
      <c r="C270" s="64" t="s">
        <v>1814</v>
      </c>
      <c r="D270" s="64" t="s">
        <v>17</v>
      </c>
      <c r="E270" s="64" t="s">
        <v>1815</v>
      </c>
      <c r="F270" s="64">
        <v>11062410001</v>
      </c>
      <c r="G270" s="82" t="s">
        <v>244</v>
      </c>
      <c r="H270" s="64" t="s">
        <v>33</v>
      </c>
      <c r="I270" s="65">
        <v>-382</v>
      </c>
      <c r="J270" s="65">
        <v>0</v>
      </c>
      <c r="K270" s="65">
        <v>0</v>
      </c>
      <c r="L270" s="65">
        <v>382</v>
      </c>
      <c r="M270" s="84">
        <v>0</v>
      </c>
      <c r="N270" s="88">
        <f>Tabela1[[#This Row],[1QZ DE DEZ 26]]-Tabela1[[#This Row],[SALDO FINAL]]-Tabela1[[#This Row],[SALDO CARTAO]]-Tabela1[[#This Row],[ADIANTAMENTO]]</f>
        <v>-382</v>
      </c>
      <c r="O270" s="67">
        <f>(-Tabela1[[#This Row],[SALDO REEMBOLSAR]]*$O$4)</f>
        <v>76.400000000000006</v>
      </c>
      <c r="P270" s="90">
        <f>IF(Tabela1[[#This Row],[CARGA PARCIAL]]&lt;0,0,Tabela1[[#This Row],[CARGA PARCIAL]])</f>
        <v>0</v>
      </c>
      <c r="Q270" s="93">
        <f>IF(Tabela1[[#This Row],[CARGA PARCIAL]]&lt;0,0,Tabela1[[#This Row],[CARGA PARCIAL]])+Tabela1[[#This Row],[REEMBOLSO]]</f>
        <v>76.400000000000006</v>
      </c>
      <c r="R270" s="66" t="s">
        <v>21</v>
      </c>
      <c r="S270" s="70"/>
    </row>
    <row r="271" spans="2:19" x14ac:dyDescent="0.25">
      <c r="B271" s="83" t="s">
        <v>1786</v>
      </c>
      <c r="C271" s="64" t="s">
        <v>1787</v>
      </c>
      <c r="D271" s="64" t="s">
        <v>17</v>
      </c>
      <c r="E271" s="64" t="s">
        <v>610</v>
      </c>
      <c r="F271" s="64">
        <v>11062450001</v>
      </c>
      <c r="G271" s="82" t="s">
        <v>25</v>
      </c>
      <c r="H271" s="64" t="s">
        <v>20</v>
      </c>
      <c r="I271" s="65">
        <v>-381.00000000000023</v>
      </c>
      <c r="J271" s="65">
        <v>0</v>
      </c>
      <c r="K271" s="65">
        <v>0</v>
      </c>
      <c r="L271" s="65"/>
      <c r="M271" s="84">
        <v>0</v>
      </c>
      <c r="N271" s="88">
        <f>Tabela1[[#This Row],[1QZ DE DEZ 26]]-Tabela1[[#This Row],[SALDO FINAL]]-Tabela1[[#This Row],[SALDO CARTAO]]-Tabela1[[#This Row],[ADIANTAMENTO]]</f>
        <v>0</v>
      </c>
      <c r="O271" s="67">
        <f>(-Tabela1[[#This Row],[SALDO REEMBOLSAR]]*$O$4)</f>
        <v>76.200000000000045</v>
      </c>
      <c r="P271" s="90">
        <f>IF(Tabela1[[#This Row],[CARGA PARCIAL]]&lt;0,0,Tabela1[[#This Row],[CARGA PARCIAL]])</f>
        <v>0</v>
      </c>
      <c r="Q271" s="93">
        <f>IF(Tabela1[[#This Row],[CARGA PARCIAL]]&lt;0,0,Tabela1[[#This Row],[CARGA PARCIAL]])+Tabela1[[#This Row],[REEMBOLSO]]</f>
        <v>76.200000000000045</v>
      </c>
      <c r="R271" s="66" t="s">
        <v>21</v>
      </c>
      <c r="S271" s="70"/>
    </row>
    <row r="272" spans="2:19" x14ac:dyDescent="0.25">
      <c r="B272" s="83" t="s">
        <v>1239</v>
      </c>
      <c r="C272" s="64" t="s">
        <v>1859</v>
      </c>
      <c r="D272" s="64" t="s">
        <v>17</v>
      </c>
      <c r="E272" s="64" t="s">
        <v>239</v>
      </c>
      <c r="F272" s="64">
        <v>11040130001</v>
      </c>
      <c r="G272" s="82" t="s">
        <v>240</v>
      </c>
      <c r="H272" s="64" t="s">
        <v>33</v>
      </c>
      <c r="I272" s="65">
        <v>-381.00000000000023</v>
      </c>
      <c r="J272" s="65">
        <v>0</v>
      </c>
      <c r="K272" s="65">
        <v>0</v>
      </c>
      <c r="L272" s="65">
        <v>90</v>
      </c>
      <c r="M272" s="84">
        <v>0</v>
      </c>
      <c r="N272" s="88">
        <f>Tabela1[[#This Row],[1QZ DE DEZ 26]]-Tabela1[[#This Row],[SALDO FINAL]]-Tabela1[[#This Row],[SALDO CARTAO]]-Tabela1[[#This Row],[ADIANTAMENTO]]</f>
        <v>-90</v>
      </c>
      <c r="O272" s="67">
        <f>(-Tabela1[[#This Row],[SALDO REEMBOLSAR]]*$O$4)</f>
        <v>76.200000000000045</v>
      </c>
      <c r="P272" s="90">
        <f>IF(Tabela1[[#This Row],[CARGA PARCIAL]]&lt;0,0,Tabela1[[#This Row],[CARGA PARCIAL]])</f>
        <v>0</v>
      </c>
      <c r="Q272" s="93">
        <f>IF(Tabela1[[#This Row],[CARGA PARCIAL]]&lt;0,0,Tabela1[[#This Row],[CARGA PARCIAL]])+Tabela1[[#This Row],[REEMBOLSO]]</f>
        <v>76.200000000000045</v>
      </c>
      <c r="R272" s="66" t="s">
        <v>21</v>
      </c>
      <c r="S272" s="70"/>
    </row>
    <row r="273" spans="2:19" x14ac:dyDescent="0.25">
      <c r="B273" s="83" t="s">
        <v>943</v>
      </c>
      <c r="C273" s="64" t="s">
        <v>1776</v>
      </c>
      <c r="D273" s="64" t="s">
        <v>17</v>
      </c>
      <c r="E273" s="64" t="s">
        <v>353</v>
      </c>
      <c r="F273" s="64">
        <v>11030630001</v>
      </c>
      <c r="G273" s="82" t="s">
        <v>236</v>
      </c>
      <c r="H273" s="64" t="s">
        <v>33</v>
      </c>
      <c r="I273" s="65">
        <v>-74.489999999999995</v>
      </c>
      <c r="J273" s="65">
        <v>0</v>
      </c>
      <c r="K273" s="65">
        <v>0</v>
      </c>
      <c r="L273" s="65">
        <v>74.489999999999995</v>
      </c>
      <c r="M273" s="84">
        <v>0</v>
      </c>
      <c r="N273" s="88">
        <f>Tabela1[[#This Row],[1QZ DE DEZ 26]]-Tabela1[[#This Row],[SALDO FINAL]]-Tabela1[[#This Row],[SALDO CARTAO]]-Tabela1[[#This Row],[ADIANTAMENTO]]</f>
        <v>-74.489999999999995</v>
      </c>
      <c r="O273" s="67">
        <f>-Tabela1[[#This Row],[SALDO REEMBOLSAR]]</f>
        <v>74.489999999999995</v>
      </c>
      <c r="P273" s="90">
        <f>IF(Tabela1[[#This Row],[CARGA PARCIAL]]&lt;0,0,Tabela1[[#This Row],[CARGA PARCIAL]])</f>
        <v>0</v>
      </c>
      <c r="Q273" s="93">
        <f>IF(Tabela1[[#This Row],[CARGA PARCIAL]]&lt;0,0,Tabela1[[#This Row],[CARGA PARCIAL]])+Tabela1[[#This Row],[REEMBOLSO]]</f>
        <v>74.489999999999995</v>
      </c>
      <c r="R273" s="66" t="s">
        <v>21</v>
      </c>
      <c r="S273" s="70"/>
    </row>
    <row r="274" spans="2:19" x14ac:dyDescent="0.25">
      <c r="B274" s="83" t="s">
        <v>374</v>
      </c>
      <c r="C274" s="64" t="s">
        <v>375</v>
      </c>
      <c r="D274" s="64" t="s">
        <v>17</v>
      </c>
      <c r="E274" s="64" t="s">
        <v>270</v>
      </c>
      <c r="F274" s="64">
        <v>11040140001</v>
      </c>
      <c r="G274" s="82" t="s">
        <v>240</v>
      </c>
      <c r="H274" s="64" t="s">
        <v>33</v>
      </c>
      <c r="I274" s="65">
        <v>0</v>
      </c>
      <c r="J274" s="65">
        <v>25.869999999999969</v>
      </c>
      <c r="K274" s="65">
        <v>100</v>
      </c>
      <c r="L274" s="65">
        <v>0.28999999999999998</v>
      </c>
      <c r="M274" s="84">
        <v>0</v>
      </c>
      <c r="N274" s="88">
        <f>Tabela1[[#This Row],[1QZ DE DEZ 26]]-Tabela1[[#This Row],[SALDO FINAL]]-Tabela1[[#This Row],[SALDO CARTAO]]-Tabela1[[#This Row],[ADIANTAMENTO]]</f>
        <v>73.840000000000018</v>
      </c>
      <c r="O274" s="67">
        <f>(-Tabela1[[#This Row],[SALDO REEMBOLSAR]]*$O$4)</f>
        <v>0</v>
      </c>
      <c r="P274" s="90">
        <f>IF(Tabela1[[#This Row],[CARGA PARCIAL]]&lt;0,0,Tabela1[[#This Row],[CARGA PARCIAL]])</f>
        <v>73.840000000000018</v>
      </c>
      <c r="Q274" s="93">
        <f>IF(Tabela1[[#This Row],[CARGA PARCIAL]]&lt;0,0,Tabela1[[#This Row],[CARGA PARCIAL]])+Tabela1[[#This Row],[REEMBOLSO]]</f>
        <v>73.840000000000018</v>
      </c>
      <c r="R274" s="66" t="s">
        <v>21</v>
      </c>
      <c r="S274" s="70"/>
    </row>
    <row r="275" spans="2:19" x14ac:dyDescent="0.25">
      <c r="B275" s="83" t="s">
        <v>372</v>
      </c>
      <c r="C275" s="64" t="s">
        <v>373</v>
      </c>
      <c r="D275" s="64" t="s">
        <v>17</v>
      </c>
      <c r="E275" s="64" t="s">
        <v>270</v>
      </c>
      <c r="F275" s="64">
        <v>11040140001</v>
      </c>
      <c r="G275" s="82" t="s">
        <v>240</v>
      </c>
      <c r="H275" s="64" t="s">
        <v>33</v>
      </c>
      <c r="I275" s="65">
        <v>-363</v>
      </c>
      <c r="J275" s="65">
        <v>0</v>
      </c>
      <c r="K275" s="65">
        <v>100</v>
      </c>
      <c r="L275" s="65">
        <v>453</v>
      </c>
      <c r="M275" s="84">
        <v>0</v>
      </c>
      <c r="N275" s="88">
        <f>Tabela1[[#This Row],[1QZ DE DEZ 26]]-Tabela1[[#This Row],[SALDO FINAL]]-Tabela1[[#This Row],[SALDO CARTAO]]-Tabela1[[#This Row],[ADIANTAMENTO]]</f>
        <v>-353</v>
      </c>
      <c r="O275" s="67">
        <f>(-Tabela1[[#This Row],[SALDO REEMBOLSAR]]*$O$4)</f>
        <v>72.600000000000009</v>
      </c>
      <c r="P275" s="90">
        <f>IF(Tabela1[[#This Row],[CARGA PARCIAL]]&lt;0,0,Tabela1[[#This Row],[CARGA PARCIAL]])</f>
        <v>0</v>
      </c>
      <c r="Q275" s="93">
        <f>IF(Tabela1[[#This Row],[CARGA PARCIAL]]&lt;0,0,Tabela1[[#This Row],[CARGA PARCIAL]])+Tabela1[[#This Row],[REEMBOLSO]]</f>
        <v>72.600000000000009</v>
      </c>
      <c r="R275" s="66" t="s">
        <v>21</v>
      </c>
      <c r="S275" s="70"/>
    </row>
    <row r="276" spans="2:19" x14ac:dyDescent="0.25">
      <c r="B276" s="83" t="s">
        <v>363</v>
      </c>
      <c r="C276" s="64" t="s">
        <v>364</v>
      </c>
      <c r="D276" s="64" t="s">
        <v>17</v>
      </c>
      <c r="E276" s="64" t="s">
        <v>270</v>
      </c>
      <c r="F276" s="64">
        <v>11040140001</v>
      </c>
      <c r="G276" s="82" t="s">
        <v>240</v>
      </c>
      <c r="H276" s="64" t="s">
        <v>33</v>
      </c>
      <c r="I276" s="65">
        <v>-70.000000000000057</v>
      </c>
      <c r="J276" s="65">
        <v>0</v>
      </c>
      <c r="K276" s="65">
        <v>300</v>
      </c>
      <c r="L276" s="65">
        <v>340</v>
      </c>
      <c r="M276" s="84">
        <v>0</v>
      </c>
      <c r="N276" s="88">
        <f>Tabela1[[#This Row],[1QZ DE DEZ 26]]-Tabela1[[#This Row],[SALDO FINAL]]-Tabela1[[#This Row],[SALDO CARTAO]]-Tabela1[[#This Row],[ADIANTAMENTO]]</f>
        <v>-40</v>
      </c>
      <c r="O276" s="67">
        <f>-Tabela1[[#This Row],[SALDO REEMBOLSAR]]</f>
        <v>70.000000000000057</v>
      </c>
      <c r="P276" s="90">
        <f>IF(Tabela1[[#This Row],[CARGA PARCIAL]]&lt;0,0,Tabela1[[#This Row],[CARGA PARCIAL]])</f>
        <v>0</v>
      </c>
      <c r="Q276" s="93">
        <f>IF(Tabela1[[#This Row],[CARGA PARCIAL]]&lt;0,0,Tabela1[[#This Row],[CARGA PARCIAL]])+Tabela1[[#This Row],[REEMBOLSO]]</f>
        <v>70.000000000000057</v>
      </c>
      <c r="R276" s="66" t="s">
        <v>21</v>
      </c>
      <c r="S276" s="70"/>
    </row>
    <row r="277" spans="2:19" x14ac:dyDescent="0.25">
      <c r="B277" s="83" t="s">
        <v>273</v>
      </c>
      <c r="C277" s="64" t="s">
        <v>274</v>
      </c>
      <c r="D277" s="64" t="s">
        <v>17</v>
      </c>
      <c r="E277" s="64" t="s">
        <v>275</v>
      </c>
      <c r="F277" s="64">
        <v>11061850001</v>
      </c>
      <c r="G277" s="82" t="s">
        <v>244</v>
      </c>
      <c r="H277" s="64" t="s">
        <v>33</v>
      </c>
      <c r="I277" s="65">
        <v>0</v>
      </c>
      <c r="J277" s="65">
        <v>292.48999999999995</v>
      </c>
      <c r="K277" s="65">
        <v>400</v>
      </c>
      <c r="L277" s="65">
        <v>39.31</v>
      </c>
      <c r="M277" s="84">
        <v>0</v>
      </c>
      <c r="N277" s="88">
        <f>Tabela1[[#This Row],[1QZ DE DEZ 26]]-Tabela1[[#This Row],[SALDO FINAL]]-Tabela1[[#This Row],[SALDO CARTAO]]-Tabela1[[#This Row],[ADIANTAMENTO]]</f>
        <v>68.200000000000045</v>
      </c>
      <c r="O277" s="67">
        <f>(-Tabela1[[#This Row],[SALDO REEMBOLSAR]]*$O$4)</f>
        <v>0</v>
      </c>
      <c r="P277" s="90">
        <f>IF(Tabela1[[#This Row],[CARGA PARCIAL]]&lt;0,0,Tabela1[[#This Row],[CARGA PARCIAL]])</f>
        <v>68.200000000000045</v>
      </c>
      <c r="Q277" s="93">
        <f>IF(Tabela1[[#This Row],[CARGA PARCIAL]]&lt;0,0,Tabela1[[#This Row],[CARGA PARCIAL]])+Tabela1[[#This Row],[REEMBOLSO]]</f>
        <v>68.200000000000045</v>
      </c>
      <c r="R277" s="66" t="s">
        <v>21</v>
      </c>
      <c r="S277" s="70"/>
    </row>
    <row r="278" spans="2:19" x14ac:dyDescent="0.25">
      <c r="B278" s="83" t="s">
        <v>850</v>
      </c>
      <c r="C278" s="64" t="s">
        <v>1756</v>
      </c>
      <c r="D278" s="64" t="s">
        <v>17</v>
      </c>
      <c r="E278" s="64" t="s">
        <v>468</v>
      </c>
      <c r="F278" s="64">
        <v>1104150001</v>
      </c>
      <c r="G278" s="82" t="s">
        <v>240</v>
      </c>
      <c r="H278" s="64" t="s">
        <v>33</v>
      </c>
      <c r="I278" s="65">
        <v>-68.11</v>
      </c>
      <c r="J278" s="65">
        <v>0</v>
      </c>
      <c r="K278" s="65">
        <v>0</v>
      </c>
      <c r="L278" s="65">
        <v>68.11</v>
      </c>
      <c r="M278" s="84">
        <v>0</v>
      </c>
      <c r="N278" s="88">
        <f>Tabela1[[#This Row],[1QZ DE DEZ 26]]-Tabela1[[#This Row],[SALDO FINAL]]-Tabela1[[#This Row],[SALDO CARTAO]]-Tabela1[[#This Row],[ADIANTAMENTO]]</f>
        <v>-68.11</v>
      </c>
      <c r="O278" s="67">
        <f>-Tabela1[[#This Row],[SALDO REEMBOLSAR]]</f>
        <v>68.11</v>
      </c>
      <c r="P278" s="90">
        <f>IF(Tabela1[[#This Row],[CARGA PARCIAL]]&lt;0,0,Tabela1[[#This Row],[CARGA PARCIAL]])</f>
        <v>0</v>
      </c>
      <c r="Q278" s="93">
        <f>IF(Tabela1[[#This Row],[CARGA PARCIAL]]&lt;0,0,Tabela1[[#This Row],[CARGA PARCIAL]])+Tabela1[[#This Row],[REEMBOLSO]]</f>
        <v>68.11</v>
      </c>
      <c r="R278" s="66" t="s">
        <v>21</v>
      </c>
      <c r="S278" s="70"/>
    </row>
    <row r="279" spans="2:19" x14ac:dyDescent="0.25">
      <c r="B279" s="103" t="s">
        <v>720</v>
      </c>
      <c r="C279" s="102" t="s">
        <v>721</v>
      </c>
      <c r="D279" s="64" t="s">
        <v>17</v>
      </c>
      <c r="E279" s="64" t="s">
        <v>239</v>
      </c>
      <c r="F279" s="64">
        <v>11040130001</v>
      </c>
      <c r="G279" s="82" t="s">
        <v>240</v>
      </c>
      <c r="H279" s="64" t="s">
        <v>33</v>
      </c>
      <c r="I279" s="65">
        <v>0</v>
      </c>
      <c r="J279" s="65">
        <v>0</v>
      </c>
      <c r="K279" s="65">
        <v>160</v>
      </c>
      <c r="L279" s="65">
        <v>94.45</v>
      </c>
      <c r="M279" s="84">
        <v>0</v>
      </c>
      <c r="N279" s="88">
        <f>Tabela1[[#This Row],[1QZ DE DEZ 26]]-Tabela1[[#This Row],[SALDO FINAL]]-Tabela1[[#This Row],[SALDO CARTAO]]-Tabela1[[#This Row],[ADIANTAMENTO]]</f>
        <v>65.55</v>
      </c>
      <c r="O279" s="67">
        <f>(-Tabela1[[#This Row],[SALDO REEMBOLSAR]]*$O$4)</f>
        <v>0</v>
      </c>
      <c r="P279" s="122">
        <f>IF(Tabela1[[#This Row],[CARGA PARCIAL]]&lt;0,0,Tabela1[[#This Row],[CARGA PARCIAL]])</f>
        <v>65.55</v>
      </c>
      <c r="Q279" s="93">
        <f>IF(Tabela1[[#This Row],[CARGA PARCIAL]]&lt;0,0,Tabela1[[#This Row],[CARGA PARCIAL]])+Tabela1[[#This Row],[REEMBOLSO]]</f>
        <v>65.55</v>
      </c>
      <c r="R279" s="66" t="s">
        <v>21</v>
      </c>
      <c r="S279" s="70"/>
    </row>
    <row r="280" spans="2:19" x14ac:dyDescent="0.25">
      <c r="B280" s="103" t="s">
        <v>633</v>
      </c>
      <c r="C280" s="102" t="s">
        <v>634</v>
      </c>
      <c r="D280" s="64" t="s">
        <v>17</v>
      </c>
      <c r="E280" s="64" t="s">
        <v>635</v>
      </c>
      <c r="F280" s="64">
        <v>11010270001</v>
      </c>
      <c r="G280" s="82" t="s">
        <v>244</v>
      </c>
      <c r="H280" s="64" t="s">
        <v>33</v>
      </c>
      <c r="I280" s="65">
        <v>0</v>
      </c>
      <c r="J280" s="65">
        <v>0</v>
      </c>
      <c r="K280" s="65">
        <v>500</v>
      </c>
      <c r="L280" s="65">
        <v>435.18</v>
      </c>
      <c r="M280" s="84">
        <v>0</v>
      </c>
      <c r="N280" s="88">
        <f>Tabela1[[#This Row],[1QZ DE DEZ 26]]-Tabela1[[#This Row],[SALDO FINAL]]-Tabela1[[#This Row],[SALDO CARTAO]]-Tabela1[[#This Row],[ADIANTAMENTO]]</f>
        <v>64.819999999999993</v>
      </c>
      <c r="O280" s="67">
        <f>(-Tabela1[[#This Row],[SALDO REEMBOLSAR]]*$O$4)</f>
        <v>0</v>
      </c>
      <c r="P280" s="122">
        <f>IF(Tabela1[[#This Row],[CARGA PARCIAL]]&lt;0,0,Tabela1[[#This Row],[CARGA PARCIAL]])</f>
        <v>64.819999999999993</v>
      </c>
      <c r="Q280" s="93">
        <f>IF(Tabela1[[#This Row],[CARGA PARCIAL]]&lt;0,0,Tabela1[[#This Row],[CARGA PARCIAL]])+Tabela1[[#This Row],[REEMBOLSO]]</f>
        <v>64.819999999999993</v>
      </c>
      <c r="R280" s="66" t="s">
        <v>21</v>
      </c>
      <c r="S280" s="70"/>
    </row>
    <row r="281" spans="2:19" x14ac:dyDescent="0.25">
      <c r="B281" s="83" t="s">
        <v>1194</v>
      </c>
      <c r="C281" s="64" t="s">
        <v>1847</v>
      </c>
      <c r="D281" s="64" t="s">
        <v>17</v>
      </c>
      <c r="E281" s="64" t="s">
        <v>468</v>
      </c>
      <c r="F281" s="64">
        <v>1104150001</v>
      </c>
      <c r="G281" s="82" t="s">
        <v>240</v>
      </c>
      <c r="H281" s="64" t="s">
        <v>33</v>
      </c>
      <c r="I281" s="65">
        <v>-319.70999999999992</v>
      </c>
      <c r="J281" s="65">
        <v>0</v>
      </c>
      <c r="K281" s="65">
        <v>0</v>
      </c>
      <c r="L281" s="65">
        <v>347.85</v>
      </c>
      <c r="M281" s="84">
        <v>0</v>
      </c>
      <c r="N281" s="88">
        <f>Tabela1[[#This Row],[1QZ DE DEZ 26]]-Tabela1[[#This Row],[SALDO FINAL]]-Tabela1[[#This Row],[SALDO CARTAO]]-Tabela1[[#This Row],[ADIANTAMENTO]]</f>
        <v>-347.85</v>
      </c>
      <c r="O281" s="67">
        <f>(-Tabela1[[#This Row],[SALDO REEMBOLSAR]]*$O$4)</f>
        <v>63.941999999999986</v>
      </c>
      <c r="P281" s="90">
        <f>IF(Tabela1[[#This Row],[CARGA PARCIAL]]&lt;0,0,Tabela1[[#This Row],[CARGA PARCIAL]])</f>
        <v>0</v>
      </c>
      <c r="Q281" s="93">
        <f>IF(Tabela1[[#This Row],[CARGA PARCIAL]]&lt;0,0,Tabela1[[#This Row],[CARGA PARCIAL]])+Tabela1[[#This Row],[REEMBOLSO]]</f>
        <v>63.941999999999986</v>
      </c>
      <c r="R281" s="66" t="s">
        <v>21</v>
      </c>
      <c r="S281" s="70"/>
    </row>
    <row r="282" spans="2:19" x14ac:dyDescent="0.25">
      <c r="B282" s="83" t="s">
        <v>436</v>
      </c>
      <c r="C282" s="64" t="s">
        <v>437</v>
      </c>
      <c r="D282" s="64" t="s">
        <v>17</v>
      </c>
      <c r="E282" s="64" t="s">
        <v>283</v>
      </c>
      <c r="F282" s="64">
        <v>11030870001</v>
      </c>
      <c r="G282" s="82" t="s">
        <v>284</v>
      </c>
      <c r="H282" s="64" t="s">
        <v>20</v>
      </c>
      <c r="I282" s="65">
        <v>0</v>
      </c>
      <c r="J282" s="65">
        <v>895.19000000000472</v>
      </c>
      <c r="K282" s="65">
        <v>1000</v>
      </c>
      <c r="L282" s="65">
        <v>44.86</v>
      </c>
      <c r="M282" s="84">
        <v>0</v>
      </c>
      <c r="N282" s="88">
        <f>Tabela1[[#This Row],[1QZ DE DEZ 26]]-Tabela1[[#This Row],[SALDO FINAL]]-Tabela1[[#This Row],[SALDO CARTAO]]-Tabela1[[#This Row],[ADIANTAMENTO]]</f>
        <v>59.949999999995285</v>
      </c>
      <c r="O282" s="67">
        <f>(-Tabela1[[#This Row],[SALDO REEMBOLSAR]]*$O$4)</f>
        <v>0</v>
      </c>
      <c r="P282" s="90">
        <f>IF(Tabela1[[#This Row],[CARGA PARCIAL]]&lt;0,0,Tabela1[[#This Row],[CARGA PARCIAL]])</f>
        <v>59.949999999995285</v>
      </c>
      <c r="Q282" s="93">
        <f>IF(Tabela1[[#This Row],[CARGA PARCIAL]]&lt;0,0,Tabela1[[#This Row],[CARGA PARCIAL]])+Tabela1[[#This Row],[REEMBOLSO]]</f>
        <v>59.949999999995285</v>
      </c>
      <c r="R282" s="66" t="s">
        <v>21</v>
      </c>
      <c r="S282" s="70"/>
    </row>
    <row r="283" spans="2:19" x14ac:dyDescent="0.25">
      <c r="B283" s="83" t="s">
        <v>1192</v>
      </c>
      <c r="C283" s="64" t="s">
        <v>1845</v>
      </c>
      <c r="D283" s="64" t="s">
        <v>17</v>
      </c>
      <c r="E283" s="64" t="s">
        <v>1846</v>
      </c>
      <c r="F283" s="64">
        <v>1201001</v>
      </c>
      <c r="G283" s="82" t="s">
        <v>112</v>
      </c>
      <c r="H283" s="64" t="s">
        <v>75</v>
      </c>
      <c r="I283" s="65">
        <v>-295.17999999999978</v>
      </c>
      <c r="J283" s="65">
        <v>0</v>
      </c>
      <c r="K283" s="65">
        <v>0</v>
      </c>
      <c r="L283" s="65">
        <v>435.18</v>
      </c>
      <c r="M283" s="84">
        <v>0</v>
      </c>
      <c r="N283" s="88">
        <f>Tabela1[[#This Row],[1QZ DE DEZ 26]]-Tabela1[[#This Row],[SALDO FINAL]]-Tabela1[[#This Row],[SALDO CARTAO]]-Tabela1[[#This Row],[ADIANTAMENTO]]</f>
        <v>-435.18</v>
      </c>
      <c r="O283" s="67">
        <f>(-Tabela1[[#This Row],[SALDO REEMBOLSAR]]*$O$4)</f>
        <v>59.035999999999959</v>
      </c>
      <c r="P283" s="90">
        <f>IF(Tabela1[[#This Row],[CARGA PARCIAL]]&lt;0,0,Tabela1[[#This Row],[CARGA PARCIAL]])</f>
        <v>0</v>
      </c>
      <c r="Q283" s="93">
        <f>IF(Tabela1[[#This Row],[CARGA PARCIAL]]&lt;0,0,Tabela1[[#This Row],[CARGA PARCIAL]])+Tabela1[[#This Row],[REEMBOLSO]]</f>
        <v>59.035999999999959</v>
      </c>
      <c r="R283" s="66" t="s">
        <v>21</v>
      </c>
      <c r="S283" s="70"/>
    </row>
    <row r="284" spans="2:19" x14ac:dyDescent="0.25">
      <c r="B284" s="83" t="s">
        <v>525</v>
      </c>
      <c r="C284" s="64" t="s">
        <v>526</v>
      </c>
      <c r="D284" s="64" t="s">
        <v>17</v>
      </c>
      <c r="E284" s="64" t="s">
        <v>290</v>
      </c>
      <c r="F284" s="64">
        <v>11010370001</v>
      </c>
      <c r="G284" s="82" t="s">
        <v>244</v>
      </c>
      <c r="H284" s="64" t="s">
        <v>33</v>
      </c>
      <c r="I284" s="65">
        <v>0</v>
      </c>
      <c r="J284" s="65">
        <v>435.28</v>
      </c>
      <c r="K284" s="65">
        <v>500</v>
      </c>
      <c r="L284" s="65">
        <v>5.72</v>
      </c>
      <c r="M284" s="84">
        <v>0</v>
      </c>
      <c r="N284" s="88">
        <f>Tabela1[[#This Row],[1QZ DE DEZ 26]]-Tabela1[[#This Row],[SALDO FINAL]]-Tabela1[[#This Row],[SALDO CARTAO]]-Tabela1[[#This Row],[ADIANTAMENTO]]</f>
        <v>59.000000000000028</v>
      </c>
      <c r="O284" s="67">
        <f>(-Tabela1[[#This Row],[SALDO REEMBOLSAR]]*$O$4)</f>
        <v>0</v>
      </c>
      <c r="P284" s="90">
        <f>IF(Tabela1[[#This Row],[CARGA PARCIAL]]&lt;0,0,Tabela1[[#This Row],[CARGA PARCIAL]])</f>
        <v>59.000000000000028</v>
      </c>
      <c r="Q284" s="93">
        <f>IF(Tabela1[[#This Row],[CARGA PARCIAL]]&lt;0,0,Tabela1[[#This Row],[CARGA PARCIAL]])+Tabela1[[#This Row],[REEMBOLSO]]</f>
        <v>59.000000000000028</v>
      </c>
      <c r="R284" s="66" t="s">
        <v>21</v>
      </c>
      <c r="S284" s="70"/>
    </row>
    <row r="285" spans="2:19" x14ac:dyDescent="0.25">
      <c r="B285" s="83" t="s">
        <v>1135</v>
      </c>
      <c r="C285" s="64" t="s">
        <v>1818</v>
      </c>
      <c r="D285" s="64" t="s">
        <v>17</v>
      </c>
      <c r="E285" s="64" t="s">
        <v>569</v>
      </c>
      <c r="F285" s="64">
        <v>11080200001</v>
      </c>
      <c r="G285" s="82" t="s">
        <v>19</v>
      </c>
      <c r="H285" s="64" t="s">
        <v>20</v>
      </c>
      <c r="I285" s="65">
        <v>-294.7</v>
      </c>
      <c r="J285" s="65">
        <v>0</v>
      </c>
      <c r="K285" s="65">
        <v>0</v>
      </c>
      <c r="L285" s="65">
        <v>294.7</v>
      </c>
      <c r="M285" s="84">
        <v>0</v>
      </c>
      <c r="N285" s="88">
        <f>Tabela1[[#This Row],[1QZ DE DEZ 26]]-Tabela1[[#This Row],[SALDO FINAL]]-Tabela1[[#This Row],[SALDO CARTAO]]-Tabela1[[#This Row],[ADIANTAMENTO]]</f>
        <v>-294.7</v>
      </c>
      <c r="O285" s="67">
        <f>(-Tabela1[[#This Row],[SALDO REEMBOLSAR]]*$O$4)</f>
        <v>58.94</v>
      </c>
      <c r="P285" s="90">
        <f>IF(Tabela1[[#This Row],[CARGA PARCIAL]]&lt;0,0,Tabela1[[#This Row],[CARGA PARCIAL]])</f>
        <v>0</v>
      </c>
      <c r="Q285" s="93">
        <f>IF(Tabela1[[#This Row],[CARGA PARCIAL]]&lt;0,0,Tabela1[[#This Row],[CARGA PARCIAL]])+Tabela1[[#This Row],[REEMBOLSO]]</f>
        <v>58.94</v>
      </c>
      <c r="R285" s="66" t="s">
        <v>21</v>
      </c>
      <c r="S285" s="70"/>
    </row>
    <row r="286" spans="2:19" x14ac:dyDescent="0.25">
      <c r="B286" s="83" t="s">
        <v>576</v>
      </c>
      <c r="C286" s="64" t="s">
        <v>577</v>
      </c>
      <c r="D286" s="64" t="s">
        <v>17</v>
      </c>
      <c r="E286" s="64" t="s">
        <v>360</v>
      </c>
      <c r="F286" s="64">
        <v>11061720001</v>
      </c>
      <c r="G286" s="82" t="s">
        <v>244</v>
      </c>
      <c r="H286" s="64" t="s">
        <v>33</v>
      </c>
      <c r="I286" s="65">
        <v>-279</v>
      </c>
      <c r="J286" s="65">
        <v>0</v>
      </c>
      <c r="K286" s="65">
        <v>800</v>
      </c>
      <c r="L286" s="65">
        <v>1006</v>
      </c>
      <c r="M286" s="84">
        <v>0</v>
      </c>
      <c r="N286" s="88">
        <f>Tabela1[[#This Row],[1QZ DE DEZ 26]]-Tabela1[[#This Row],[SALDO FINAL]]-Tabela1[[#This Row],[SALDO CARTAO]]-Tabela1[[#This Row],[ADIANTAMENTO]]</f>
        <v>-206</v>
      </c>
      <c r="O286" s="67">
        <f>(-Tabela1[[#This Row],[SALDO REEMBOLSAR]]*$O$4)</f>
        <v>55.800000000000004</v>
      </c>
      <c r="P286" s="90">
        <f>IF(Tabela1[[#This Row],[CARGA PARCIAL]]&lt;0,0,Tabela1[[#This Row],[CARGA PARCIAL]])</f>
        <v>0</v>
      </c>
      <c r="Q286" s="93">
        <f>IF(Tabela1[[#This Row],[CARGA PARCIAL]]&lt;0,0,Tabela1[[#This Row],[CARGA PARCIAL]])+Tabela1[[#This Row],[REEMBOLSO]]</f>
        <v>55.800000000000004</v>
      </c>
      <c r="R286" s="66" t="s">
        <v>21</v>
      </c>
      <c r="S286" s="70"/>
    </row>
    <row r="287" spans="2:19" x14ac:dyDescent="0.25">
      <c r="B287" s="103" t="s">
        <v>638</v>
      </c>
      <c r="C287" s="102" t="s">
        <v>639</v>
      </c>
      <c r="D287" s="64" t="s">
        <v>17</v>
      </c>
      <c r="E287" s="64" t="s">
        <v>270</v>
      </c>
      <c r="F287" s="64">
        <v>11040140001</v>
      </c>
      <c r="G287" s="82" t="s">
        <v>240</v>
      </c>
      <c r="H287" s="64" t="s">
        <v>33</v>
      </c>
      <c r="I287" s="65">
        <v>-55.25</v>
      </c>
      <c r="J287" s="65">
        <v>0</v>
      </c>
      <c r="K287" s="65">
        <v>50</v>
      </c>
      <c r="L287" s="65">
        <v>63.25</v>
      </c>
      <c r="M287" s="84">
        <v>0</v>
      </c>
      <c r="N287" s="88">
        <f>Tabela1[[#This Row],[1QZ DE DEZ 26]]-Tabela1[[#This Row],[SALDO FINAL]]-Tabela1[[#This Row],[SALDO CARTAO]]-Tabela1[[#This Row],[ADIANTAMENTO]]</f>
        <v>-13.25</v>
      </c>
      <c r="O287" s="67">
        <f>-Tabela1[[#This Row],[SALDO REEMBOLSAR]]</f>
        <v>55.25</v>
      </c>
      <c r="P287" s="122">
        <f>IF(Tabela1[[#This Row],[CARGA PARCIAL]]&lt;0,0,Tabela1[[#This Row],[CARGA PARCIAL]])</f>
        <v>0</v>
      </c>
      <c r="Q287" s="93">
        <f>IF(Tabela1[[#This Row],[CARGA PARCIAL]]&lt;0,0,Tabela1[[#This Row],[CARGA PARCIAL]])+Tabela1[[#This Row],[REEMBOLSO]]</f>
        <v>55.25</v>
      </c>
      <c r="R287" s="66" t="s">
        <v>21</v>
      </c>
      <c r="S287" s="70"/>
    </row>
    <row r="288" spans="2:19" x14ac:dyDescent="0.25">
      <c r="B288" s="83" t="s">
        <v>1232</v>
      </c>
      <c r="C288" s="64" t="s">
        <v>1671</v>
      </c>
      <c r="D288" s="64" t="s">
        <v>17</v>
      </c>
      <c r="E288" s="64" t="s">
        <v>642</v>
      </c>
      <c r="F288" s="64">
        <v>11062630001</v>
      </c>
      <c r="G288" s="82" t="s">
        <v>244</v>
      </c>
      <c r="H288" s="64" t="s">
        <v>33</v>
      </c>
      <c r="I288" s="65">
        <v>-261.96999999999935</v>
      </c>
      <c r="J288" s="65">
        <v>0</v>
      </c>
      <c r="K288" s="65">
        <v>0</v>
      </c>
      <c r="L288" s="65">
        <v>61.25</v>
      </c>
      <c r="M288" s="84">
        <v>0</v>
      </c>
      <c r="N288" s="88">
        <f>Tabela1[[#This Row],[1QZ DE DEZ 26]]-Tabela1[[#This Row],[SALDO FINAL]]-Tabela1[[#This Row],[SALDO CARTAO]]-Tabela1[[#This Row],[ADIANTAMENTO]]</f>
        <v>-61.25</v>
      </c>
      <c r="O288" s="67">
        <f>(-Tabela1[[#This Row],[SALDO REEMBOLSAR]]*$O$4)</f>
        <v>52.39399999999987</v>
      </c>
      <c r="P288" s="90">
        <f>IF(Tabela1[[#This Row],[CARGA PARCIAL]]&lt;0,0,Tabela1[[#This Row],[CARGA PARCIAL]])</f>
        <v>0</v>
      </c>
      <c r="Q288" s="93">
        <f>IF(Tabela1[[#This Row],[CARGA PARCIAL]]&lt;0,0,Tabela1[[#This Row],[CARGA PARCIAL]])+Tabela1[[#This Row],[REEMBOLSO]]</f>
        <v>52.39399999999987</v>
      </c>
      <c r="R288" s="66" t="s">
        <v>21</v>
      </c>
      <c r="S288" s="70"/>
    </row>
    <row r="289" spans="2:19" x14ac:dyDescent="0.25">
      <c r="B289" s="83" t="s">
        <v>1264</v>
      </c>
      <c r="C289" s="64" t="s">
        <v>1863</v>
      </c>
      <c r="D289" s="64" t="s">
        <v>17</v>
      </c>
      <c r="E289" s="108" t="s">
        <v>2001</v>
      </c>
      <c r="F289" s="64">
        <v>11062820001</v>
      </c>
      <c r="G289" s="82" t="s">
        <v>1993</v>
      </c>
      <c r="H289" s="64" t="s">
        <v>75</v>
      </c>
      <c r="I289" s="65">
        <v>-51.980000000000082</v>
      </c>
      <c r="J289" s="65">
        <v>0</v>
      </c>
      <c r="K289" s="65">
        <v>0</v>
      </c>
      <c r="L289" s="65">
        <v>37.57</v>
      </c>
      <c r="M289" s="84">
        <v>0</v>
      </c>
      <c r="N289" s="88">
        <f>Tabela1[[#This Row],[1QZ DE DEZ 26]]-Tabela1[[#This Row],[SALDO FINAL]]-Tabela1[[#This Row],[SALDO CARTAO]]-Tabela1[[#This Row],[ADIANTAMENTO]]</f>
        <v>-37.57</v>
      </c>
      <c r="O289" s="67">
        <f>-Tabela1[[#This Row],[SALDO REEMBOLSAR]]</f>
        <v>51.980000000000082</v>
      </c>
      <c r="P289" s="90">
        <f>IF(Tabela1[[#This Row],[CARGA PARCIAL]]&lt;0,0,Tabela1[[#This Row],[CARGA PARCIAL]])</f>
        <v>0</v>
      </c>
      <c r="Q289" s="93">
        <f>IF(Tabela1[[#This Row],[CARGA PARCIAL]]&lt;0,0,Tabela1[[#This Row],[CARGA PARCIAL]])+Tabela1[[#This Row],[REEMBOLSO]]</f>
        <v>51.980000000000082</v>
      </c>
      <c r="R289" s="66" t="s">
        <v>21</v>
      </c>
      <c r="S289" s="70"/>
    </row>
    <row r="290" spans="2:19" x14ac:dyDescent="0.25">
      <c r="B290" s="83" t="s">
        <v>500</v>
      </c>
      <c r="C290" s="64" t="s">
        <v>501</v>
      </c>
      <c r="D290" s="64" t="s">
        <v>17</v>
      </c>
      <c r="E290" s="64" t="s">
        <v>262</v>
      </c>
      <c r="F290" s="64">
        <v>11061840001</v>
      </c>
      <c r="G290" s="82" t="s">
        <v>236</v>
      </c>
      <c r="H290" s="64" t="s">
        <v>33</v>
      </c>
      <c r="I290" s="65">
        <v>0</v>
      </c>
      <c r="J290" s="65">
        <v>383.09000000000026</v>
      </c>
      <c r="K290" s="65">
        <v>500</v>
      </c>
      <c r="L290" s="65">
        <v>66.61</v>
      </c>
      <c r="M290" s="84">
        <v>0</v>
      </c>
      <c r="N290" s="88">
        <f>Tabela1[[#This Row],[1QZ DE DEZ 26]]-Tabela1[[#This Row],[SALDO FINAL]]-Tabela1[[#This Row],[SALDO CARTAO]]-Tabela1[[#This Row],[ADIANTAMENTO]]</f>
        <v>50.299999999999741</v>
      </c>
      <c r="O290" s="67">
        <f>(-Tabela1[[#This Row],[SALDO REEMBOLSAR]]*$O$4)</f>
        <v>0</v>
      </c>
      <c r="P290" s="90">
        <f>IF(Tabela1[[#This Row],[CARGA PARCIAL]]&lt;0,0,Tabela1[[#This Row],[CARGA PARCIAL]])</f>
        <v>50.299999999999741</v>
      </c>
      <c r="Q290" s="93">
        <f>IF(Tabela1[[#This Row],[CARGA PARCIAL]]&lt;0,0,Tabela1[[#This Row],[CARGA PARCIAL]])+Tabela1[[#This Row],[REEMBOLSO]]</f>
        <v>50.299999999999741</v>
      </c>
      <c r="R290" s="66" t="s">
        <v>21</v>
      </c>
      <c r="S290" s="70"/>
    </row>
    <row r="291" spans="2:19" x14ac:dyDescent="0.25">
      <c r="B291" s="83" t="s">
        <v>977</v>
      </c>
      <c r="C291" s="64" t="s">
        <v>1783</v>
      </c>
      <c r="D291" s="64" t="s">
        <v>17</v>
      </c>
      <c r="E291" s="64" t="s">
        <v>691</v>
      </c>
      <c r="F291" s="64">
        <v>11030590001</v>
      </c>
      <c r="G291" s="82" t="s">
        <v>236</v>
      </c>
      <c r="H291" s="64" t="s">
        <v>33</v>
      </c>
      <c r="I291" s="65">
        <v>-46.65</v>
      </c>
      <c r="J291" s="65">
        <v>0</v>
      </c>
      <c r="K291" s="65">
        <v>0</v>
      </c>
      <c r="L291" s="65">
        <v>46.65</v>
      </c>
      <c r="M291" s="84">
        <v>0</v>
      </c>
      <c r="N291" s="88">
        <f>Tabela1[[#This Row],[1QZ DE DEZ 26]]-Tabela1[[#This Row],[SALDO FINAL]]-Tabela1[[#This Row],[SALDO CARTAO]]-Tabela1[[#This Row],[ADIANTAMENTO]]</f>
        <v>-46.65</v>
      </c>
      <c r="O291" s="67">
        <f>-Tabela1[[#This Row],[SALDO REEMBOLSAR]]</f>
        <v>46.65</v>
      </c>
      <c r="P291" s="90">
        <f>IF(Tabela1[[#This Row],[CARGA PARCIAL]]&lt;0,0,Tabela1[[#This Row],[CARGA PARCIAL]])</f>
        <v>0</v>
      </c>
      <c r="Q291" s="93">
        <f>IF(Tabela1[[#This Row],[CARGA PARCIAL]]&lt;0,0,Tabela1[[#This Row],[CARGA PARCIAL]])+Tabela1[[#This Row],[REEMBOLSO]]</f>
        <v>46.65</v>
      </c>
      <c r="R291" s="66" t="s">
        <v>21</v>
      </c>
      <c r="S291" s="70"/>
    </row>
    <row r="292" spans="2:19" x14ac:dyDescent="0.25">
      <c r="B292" s="83" t="s">
        <v>1190</v>
      </c>
      <c r="C292" s="64" t="s">
        <v>1844</v>
      </c>
      <c r="D292" s="64" t="s">
        <v>17</v>
      </c>
      <c r="E292" s="64" t="s">
        <v>468</v>
      </c>
      <c r="F292" s="64">
        <v>1104150001</v>
      </c>
      <c r="G292" s="82" t="s">
        <v>240</v>
      </c>
      <c r="H292" s="64" t="s">
        <v>33</v>
      </c>
      <c r="I292" s="65">
        <v>-225</v>
      </c>
      <c r="J292" s="65">
        <v>0</v>
      </c>
      <c r="K292" s="65">
        <v>0</v>
      </c>
      <c r="L292" s="65">
        <v>225</v>
      </c>
      <c r="M292" s="84">
        <v>0</v>
      </c>
      <c r="N292" s="88">
        <f>Tabela1[[#This Row],[1QZ DE DEZ 26]]-Tabela1[[#This Row],[SALDO FINAL]]-Tabela1[[#This Row],[SALDO CARTAO]]-Tabela1[[#This Row],[ADIANTAMENTO]]</f>
        <v>-225</v>
      </c>
      <c r="O292" s="67">
        <f>(-Tabela1[[#This Row],[SALDO REEMBOLSAR]]*$O$4)</f>
        <v>45</v>
      </c>
      <c r="P292" s="90">
        <f>IF(Tabela1[[#This Row],[CARGA PARCIAL]]&lt;0,0,Tabela1[[#This Row],[CARGA PARCIAL]])</f>
        <v>0</v>
      </c>
      <c r="Q292" s="93">
        <f>IF(Tabela1[[#This Row],[CARGA PARCIAL]]&lt;0,0,Tabela1[[#This Row],[CARGA PARCIAL]])+Tabela1[[#This Row],[REEMBOLSO]]</f>
        <v>45</v>
      </c>
      <c r="R292" s="66" t="s">
        <v>21</v>
      </c>
      <c r="S292" s="70"/>
    </row>
    <row r="293" spans="2:19" x14ac:dyDescent="0.25">
      <c r="B293" s="103" t="s">
        <v>1454</v>
      </c>
      <c r="C293" s="102" t="s">
        <v>1928</v>
      </c>
      <c r="D293" s="64" t="s">
        <v>17</v>
      </c>
      <c r="E293" s="64" t="s">
        <v>468</v>
      </c>
      <c r="F293" s="64">
        <v>1104150001</v>
      </c>
      <c r="G293" s="82" t="s">
        <v>240</v>
      </c>
      <c r="H293" s="64" t="s">
        <v>33</v>
      </c>
      <c r="I293" s="65">
        <v>-43.249999999999986</v>
      </c>
      <c r="J293" s="65">
        <v>0</v>
      </c>
      <c r="K293" s="65">
        <v>0</v>
      </c>
      <c r="L293" s="65">
        <v>114.11</v>
      </c>
      <c r="M293" s="84">
        <v>0</v>
      </c>
      <c r="N293" s="88">
        <f>Tabela1[[#This Row],[1QZ DE DEZ 26]]-Tabela1[[#This Row],[SALDO FINAL]]-Tabela1[[#This Row],[SALDO CARTAO]]-Tabela1[[#This Row],[ADIANTAMENTO]]</f>
        <v>-114.11</v>
      </c>
      <c r="O293" s="67">
        <f>-Tabela1[[#This Row],[SALDO REEMBOLSAR]]</f>
        <v>43.249999999999986</v>
      </c>
      <c r="P293" s="122">
        <f>IF(Tabela1[[#This Row],[CARGA PARCIAL]]&lt;0,0,Tabela1[[#This Row],[CARGA PARCIAL]])</f>
        <v>0</v>
      </c>
      <c r="Q293" s="93">
        <f>IF(Tabela1[[#This Row],[CARGA PARCIAL]]&lt;0,0,Tabela1[[#This Row],[CARGA PARCIAL]])+Tabela1[[#This Row],[REEMBOLSO]]</f>
        <v>43.249999999999986</v>
      </c>
      <c r="R293" s="66" t="s">
        <v>21</v>
      </c>
      <c r="S293" s="70"/>
    </row>
    <row r="294" spans="2:19" x14ac:dyDescent="0.25">
      <c r="B294" s="83" t="s">
        <v>606</v>
      </c>
      <c r="C294" s="64" t="s">
        <v>607</v>
      </c>
      <c r="D294" s="64" t="s">
        <v>17</v>
      </c>
      <c r="E294" s="64" t="s">
        <v>270</v>
      </c>
      <c r="F294" s="64">
        <v>11040140001</v>
      </c>
      <c r="G294" s="82" t="s">
        <v>240</v>
      </c>
      <c r="H294" s="64" t="s">
        <v>33</v>
      </c>
      <c r="I294" s="65">
        <v>-215.98999999999998</v>
      </c>
      <c r="J294" s="65">
        <v>0</v>
      </c>
      <c r="K294" s="65">
        <v>100</v>
      </c>
      <c r="L294" s="65">
        <v>189.59</v>
      </c>
      <c r="M294" s="84">
        <v>0</v>
      </c>
      <c r="N294" s="88">
        <f>Tabela1[[#This Row],[1QZ DE DEZ 26]]-Tabela1[[#This Row],[SALDO FINAL]]-Tabela1[[#This Row],[SALDO CARTAO]]-Tabela1[[#This Row],[ADIANTAMENTO]]</f>
        <v>-89.59</v>
      </c>
      <c r="O294" s="67">
        <f>(-Tabela1[[#This Row],[SALDO REEMBOLSAR]]*$O$4)</f>
        <v>43.198</v>
      </c>
      <c r="P294" s="90">
        <f>IF(Tabela1[[#This Row],[CARGA PARCIAL]]&lt;0,0,Tabela1[[#This Row],[CARGA PARCIAL]])</f>
        <v>0</v>
      </c>
      <c r="Q294" s="93">
        <f>IF(Tabela1[[#This Row],[CARGA PARCIAL]]&lt;0,0,Tabela1[[#This Row],[CARGA PARCIAL]])+Tabela1[[#This Row],[REEMBOLSO]]</f>
        <v>43.198</v>
      </c>
      <c r="R294" s="66" t="s">
        <v>21</v>
      </c>
      <c r="S294" s="70"/>
    </row>
    <row r="295" spans="2:19" x14ac:dyDescent="0.25">
      <c r="B295" s="103" t="s">
        <v>1563</v>
      </c>
      <c r="C295" s="102" t="s">
        <v>1964</v>
      </c>
      <c r="D295" s="64" t="s">
        <v>17</v>
      </c>
      <c r="E295" s="64" t="s">
        <v>344</v>
      </c>
      <c r="F295" s="64">
        <v>11030580001</v>
      </c>
      <c r="G295" s="82" t="s">
        <v>236</v>
      </c>
      <c r="H295" s="64" t="s">
        <v>33</v>
      </c>
      <c r="I295" s="65">
        <v>-43.1</v>
      </c>
      <c r="J295" s="65">
        <v>0</v>
      </c>
      <c r="K295" s="65">
        <v>0</v>
      </c>
      <c r="L295" s="65">
        <v>43.1</v>
      </c>
      <c r="M295" s="84">
        <v>0</v>
      </c>
      <c r="N295" s="88">
        <f>Tabela1[[#This Row],[1QZ DE DEZ 26]]-Tabela1[[#This Row],[SALDO FINAL]]-Tabela1[[#This Row],[SALDO CARTAO]]-Tabela1[[#This Row],[ADIANTAMENTO]]</f>
        <v>-43.1</v>
      </c>
      <c r="O295" s="67">
        <f>-Tabela1[[#This Row],[SALDO REEMBOLSAR]]</f>
        <v>43.1</v>
      </c>
      <c r="P295" s="122">
        <f>IF(Tabela1[[#This Row],[CARGA PARCIAL]]&lt;0,0,Tabela1[[#This Row],[CARGA PARCIAL]])</f>
        <v>0</v>
      </c>
      <c r="Q295" s="93">
        <f>IF(Tabela1[[#This Row],[CARGA PARCIAL]]&lt;0,0,Tabela1[[#This Row],[CARGA PARCIAL]])+Tabela1[[#This Row],[REEMBOLSO]]</f>
        <v>43.1</v>
      </c>
      <c r="R295" s="66" t="s">
        <v>21</v>
      </c>
      <c r="S295" s="70"/>
    </row>
    <row r="296" spans="2:19" x14ac:dyDescent="0.25">
      <c r="B296" s="103" t="s">
        <v>168</v>
      </c>
      <c r="C296" s="102" t="s">
        <v>169</v>
      </c>
      <c r="D296" s="64" t="s">
        <v>17</v>
      </c>
      <c r="E296" s="64" t="s">
        <v>24</v>
      </c>
      <c r="F296" s="64">
        <v>11040160001</v>
      </c>
      <c r="G296" s="82" t="s">
        <v>25</v>
      </c>
      <c r="H296" s="64" t="s">
        <v>20</v>
      </c>
      <c r="I296" s="65">
        <v>0</v>
      </c>
      <c r="J296" s="65">
        <v>199.70000000000005</v>
      </c>
      <c r="K296" s="65">
        <v>750</v>
      </c>
      <c r="L296" s="65">
        <v>507.77</v>
      </c>
      <c r="M296" s="84">
        <v>0</v>
      </c>
      <c r="N296" s="88">
        <f>Tabela1[[#This Row],[1QZ DE DEZ 26]]-Tabela1[[#This Row],[SALDO FINAL]]-Tabela1[[#This Row],[SALDO CARTAO]]-Tabela1[[#This Row],[ADIANTAMENTO]]</f>
        <v>42.529999999999973</v>
      </c>
      <c r="O296" s="67">
        <f>(-Tabela1[[#This Row],[SALDO REEMBOLSAR]]*$O$4)</f>
        <v>0</v>
      </c>
      <c r="P296" s="122">
        <f>IF(Tabela1[[#This Row],[CARGA PARCIAL]]&lt;0,0,Tabela1[[#This Row],[CARGA PARCIAL]])</f>
        <v>42.529999999999973</v>
      </c>
      <c r="Q296" s="93">
        <f>IF(Tabela1[[#This Row],[CARGA PARCIAL]]&lt;0,0,Tabela1[[#This Row],[CARGA PARCIAL]])+Tabela1[[#This Row],[REEMBOLSO]]</f>
        <v>42.529999999999973</v>
      </c>
      <c r="R296" s="66" t="s">
        <v>21</v>
      </c>
      <c r="S296" s="70"/>
    </row>
    <row r="297" spans="2:19" x14ac:dyDescent="0.25">
      <c r="B297" s="83" t="s">
        <v>619</v>
      </c>
      <c r="C297" s="64" t="s">
        <v>620</v>
      </c>
      <c r="D297" s="64" t="s">
        <v>17</v>
      </c>
      <c r="E297" s="64" t="s">
        <v>270</v>
      </c>
      <c r="F297" s="64">
        <v>11040140001</v>
      </c>
      <c r="G297" s="82" t="s">
        <v>240</v>
      </c>
      <c r="H297" s="64" t="s">
        <v>33</v>
      </c>
      <c r="I297" s="65">
        <v>-209.96999999999883</v>
      </c>
      <c r="J297" s="65">
        <v>0</v>
      </c>
      <c r="K297" s="65">
        <v>150</v>
      </c>
      <c r="L297" s="65">
        <v>267.68</v>
      </c>
      <c r="M297" s="84">
        <v>0</v>
      </c>
      <c r="N297" s="88">
        <f>Tabela1[[#This Row],[1QZ DE DEZ 26]]-Tabela1[[#This Row],[SALDO FINAL]]-Tabela1[[#This Row],[SALDO CARTAO]]-Tabela1[[#This Row],[ADIANTAMENTO]]</f>
        <v>-117.68</v>
      </c>
      <c r="O297" s="67">
        <f>(-Tabela1[[#This Row],[SALDO REEMBOLSAR]]*$O$4)</f>
        <v>41.993999999999772</v>
      </c>
      <c r="P297" s="90">
        <f>IF(Tabela1[[#This Row],[CARGA PARCIAL]]&lt;0,0,Tabela1[[#This Row],[CARGA PARCIAL]])</f>
        <v>0</v>
      </c>
      <c r="Q297" s="93">
        <f>IF(Tabela1[[#This Row],[CARGA PARCIAL]]&lt;0,0,Tabela1[[#This Row],[CARGA PARCIAL]])+Tabela1[[#This Row],[REEMBOLSO]]</f>
        <v>41.993999999999772</v>
      </c>
      <c r="R297" s="66" t="s">
        <v>21</v>
      </c>
      <c r="S297" s="70"/>
    </row>
    <row r="298" spans="2:19" x14ac:dyDescent="0.25">
      <c r="B298" s="83" t="s">
        <v>561</v>
      </c>
      <c r="C298" s="64" t="s">
        <v>562</v>
      </c>
      <c r="D298" s="64" t="s">
        <v>17</v>
      </c>
      <c r="E298" s="64" t="s">
        <v>270</v>
      </c>
      <c r="F298" s="64">
        <v>11040140001</v>
      </c>
      <c r="G298" s="82" t="s">
        <v>240</v>
      </c>
      <c r="H298" s="64" t="s">
        <v>33</v>
      </c>
      <c r="I298" s="65">
        <v>-41.460000000000043</v>
      </c>
      <c r="J298" s="65">
        <v>0</v>
      </c>
      <c r="K298" s="65">
        <v>200</v>
      </c>
      <c r="L298" s="65">
        <v>57.76</v>
      </c>
      <c r="M298" s="84">
        <v>200</v>
      </c>
      <c r="N298" s="88">
        <f>Tabela1[[#This Row],[1QZ DE DEZ 26]]-Tabela1[[#This Row],[SALDO FINAL]]-Tabela1[[#This Row],[SALDO CARTAO]]-Tabela1[[#This Row],[ADIANTAMENTO]]</f>
        <v>-57.759999999999991</v>
      </c>
      <c r="O298" s="67">
        <f>-Tabela1[[#This Row],[SALDO REEMBOLSAR]]</f>
        <v>41.460000000000043</v>
      </c>
      <c r="P298" s="90">
        <f>IF(Tabela1[[#This Row],[CARGA PARCIAL]]&lt;0,0,Tabela1[[#This Row],[CARGA PARCIAL]])</f>
        <v>0</v>
      </c>
      <c r="Q298" s="93">
        <f>IF(Tabela1[[#This Row],[CARGA PARCIAL]]&lt;0,0,Tabela1[[#This Row],[CARGA PARCIAL]])+Tabela1[[#This Row],[REEMBOLSO]]</f>
        <v>41.460000000000043</v>
      </c>
      <c r="R298" s="66" t="s">
        <v>21</v>
      </c>
      <c r="S298" s="70"/>
    </row>
    <row r="299" spans="2:19" x14ac:dyDescent="0.25">
      <c r="B299" s="103" t="s">
        <v>1502</v>
      </c>
      <c r="C299" s="102" t="s">
        <v>1736</v>
      </c>
      <c r="D299" s="64" t="s">
        <v>17</v>
      </c>
      <c r="E299" s="64" t="s">
        <v>1825</v>
      </c>
      <c r="F299" s="64">
        <v>11020660001</v>
      </c>
      <c r="G299" s="82" t="s">
        <v>244</v>
      </c>
      <c r="H299" s="64" t="s">
        <v>33</v>
      </c>
      <c r="I299" s="65">
        <v>-201.20000000000249</v>
      </c>
      <c r="J299" s="65">
        <v>0</v>
      </c>
      <c r="K299" s="65">
        <v>0</v>
      </c>
      <c r="L299" s="65">
        <v>97.46</v>
      </c>
      <c r="M299" s="84">
        <v>0</v>
      </c>
      <c r="N299" s="88">
        <f>Tabela1[[#This Row],[1QZ DE DEZ 26]]-Tabela1[[#This Row],[SALDO FINAL]]-Tabela1[[#This Row],[SALDO CARTAO]]-Tabela1[[#This Row],[ADIANTAMENTO]]</f>
        <v>-97.46</v>
      </c>
      <c r="O299" s="67">
        <f>(-Tabela1[[#This Row],[SALDO REEMBOLSAR]]*$O$4)</f>
        <v>40.240000000000499</v>
      </c>
      <c r="P299" s="122">
        <f>IF(Tabela1[[#This Row],[CARGA PARCIAL]]&lt;0,0,Tabela1[[#This Row],[CARGA PARCIAL]])</f>
        <v>0</v>
      </c>
      <c r="Q299" s="93">
        <f>IF(Tabela1[[#This Row],[CARGA PARCIAL]]&lt;0,0,Tabela1[[#This Row],[CARGA PARCIAL]])+Tabela1[[#This Row],[REEMBOLSO]]</f>
        <v>40.240000000000499</v>
      </c>
      <c r="R299" s="66" t="s">
        <v>21</v>
      </c>
      <c r="S299" s="70"/>
    </row>
    <row r="300" spans="2:19" x14ac:dyDescent="0.25">
      <c r="B300" s="83" t="s">
        <v>401</v>
      </c>
      <c r="C300" s="64" t="s">
        <v>402</v>
      </c>
      <c r="D300" s="64" t="s">
        <v>17</v>
      </c>
      <c r="E300" s="64" t="s">
        <v>403</v>
      </c>
      <c r="F300" s="64">
        <v>11062610001</v>
      </c>
      <c r="G300" s="82" t="s">
        <v>19</v>
      </c>
      <c r="H300" s="64" t="s">
        <v>20</v>
      </c>
      <c r="I300" s="65">
        <v>0</v>
      </c>
      <c r="J300" s="65">
        <v>233</v>
      </c>
      <c r="K300" s="65">
        <v>400</v>
      </c>
      <c r="L300" s="65">
        <v>127</v>
      </c>
      <c r="M300" s="84">
        <v>0</v>
      </c>
      <c r="N300" s="88">
        <f>Tabela1[[#This Row],[1QZ DE DEZ 26]]-Tabela1[[#This Row],[SALDO FINAL]]-Tabela1[[#This Row],[SALDO CARTAO]]-Tabela1[[#This Row],[ADIANTAMENTO]]</f>
        <v>40</v>
      </c>
      <c r="O300" s="67">
        <f>(-Tabela1[[#This Row],[SALDO REEMBOLSAR]]*$O$4)</f>
        <v>0</v>
      </c>
      <c r="P300" s="90">
        <f>IF(Tabela1[[#This Row],[CARGA PARCIAL]]&lt;0,0,Tabela1[[#This Row],[CARGA PARCIAL]])</f>
        <v>40</v>
      </c>
      <c r="Q300" s="93">
        <f>IF(Tabela1[[#This Row],[CARGA PARCIAL]]&lt;0,0,Tabela1[[#This Row],[CARGA PARCIAL]])+Tabela1[[#This Row],[REEMBOLSO]]</f>
        <v>40</v>
      </c>
      <c r="R300" s="66" t="s">
        <v>21</v>
      </c>
      <c r="S300" s="70"/>
    </row>
    <row r="301" spans="2:19" x14ac:dyDescent="0.25">
      <c r="B301" s="103" t="s">
        <v>1608</v>
      </c>
      <c r="C301" s="102" t="s">
        <v>1982</v>
      </c>
      <c r="D301" s="64" t="s">
        <v>17</v>
      </c>
      <c r="E301" s="64" t="s">
        <v>1987</v>
      </c>
      <c r="F301" s="64">
        <v>11061370001</v>
      </c>
      <c r="G301" s="82" t="s">
        <v>244</v>
      </c>
      <c r="H301" s="64" t="s">
        <v>33</v>
      </c>
      <c r="I301" s="65">
        <v>-39.960000000000093</v>
      </c>
      <c r="J301" s="65">
        <v>0</v>
      </c>
      <c r="K301" s="65">
        <v>0</v>
      </c>
      <c r="L301" s="65">
        <v>339.96</v>
      </c>
      <c r="M301" s="84">
        <v>0</v>
      </c>
      <c r="N301" s="88">
        <f>Tabela1[[#This Row],[1QZ DE DEZ 26]]-Tabela1[[#This Row],[SALDO FINAL]]-Tabela1[[#This Row],[SALDO CARTAO]]-Tabela1[[#This Row],[ADIANTAMENTO]]</f>
        <v>-339.96</v>
      </c>
      <c r="O301" s="67">
        <f>-Tabela1[[#This Row],[SALDO REEMBOLSAR]]</f>
        <v>39.960000000000093</v>
      </c>
      <c r="P301" s="122">
        <f>IF(Tabela1[[#This Row],[CARGA PARCIAL]]&lt;0,0,Tabela1[[#This Row],[CARGA PARCIAL]])</f>
        <v>0</v>
      </c>
      <c r="Q301" s="93">
        <f>IF(Tabela1[[#This Row],[CARGA PARCIAL]]&lt;0,0,Tabela1[[#This Row],[CARGA PARCIAL]])+Tabela1[[#This Row],[REEMBOLSO]]</f>
        <v>39.960000000000093</v>
      </c>
      <c r="R301" s="66" t="s">
        <v>21</v>
      </c>
      <c r="S301" s="70"/>
    </row>
    <row r="302" spans="2:19" x14ac:dyDescent="0.25">
      <c r="B302" s="83" t="s">
        <v>1005</v>
      </c>
      <c r="C302" s="64" t="s">
        <v>1785</v>
      </c>
      <c r="D302" s="64" t="s">
        <v>17</v>
      </c>
      <c r="E302" s="64" t="s">
        <v>468</v>
      </c>
      <c r="F302" s="64">
        <v>1104150001</v>
      </c>
      <c r="G302" s="82" t="s">
        <v>240</v>
      </c>
      <c r="H302" s="64" t="s">
        <v>33</v>
      </c>
      <c r="I302" s="65">
        <v>-39.78</v>
      </c>
      <c r="J302" s="65">
        <v>0</v>
      </c>
      <c r="K302" s="65">
        <v>0</v>
      </c>
      <c r="L302" s="65">
        <v>39.78</v>
      </c>
      <c r="M302" s="84">
        <v>0</v>
      </c>
      <c r="N302" s="88">
        <f>Tabela1[[#This Row],[1QZ DE DEZ 26]]-Tabela1[[#This Row],[SALDO FINAL]]-Tabela1[[#This Row],[SALDO CARTAO]]-Tabela1[[#This Row],[ADIANTAMENTO]]</f>
        <v>-39.78</v>
      </c>
      <c r="O302" s="67">
        <f>-Tabela1[[#This Row],[SALDO REEMBOLSAR]]</f>
        <v>39.78</v>
      </c>
      <c r="P302" s="90">
        <f>IF(Tabela1[[#This Row],[CARGA PARCIAL]]&lt;0,0,Tabela1[[#This Row],[CARGA PARCIAL]])</f>
        <v>0</v>
      </c>
      <c r="Q302" s="93">
        <f>IF(Tabela1[[#This Row],[CARGA PARCIAL]]&lt;0,0,Tabela1[[#This Row],[CARGA PARCIAL]])+Tabela1[[#This Row],[REEMBOLSO]]</f>
        <v>39.78</v>
      </c>
      <c r="R302" s="66" t="s">
        <v>21</v>
      </c>
      <c r="S302" s="70"/>
    </row>
    <row r="303" spans="2:19" x14ac:dyDescent="0.25">
      <c r="B303" s="83" t="s">
        <v>1058</v>
      </c>
      <c r="C303" s="64" t="s">
        <v>1800</v>
      </c>
      <c r="D303" s="64" t="s">
        <v>17</v>
      </c>
      <c r="E303" s="64" t="s">
        <v>1802</v>
      </c>
      <c r="F303" s="64">
        <v>11010350001</v>
      </c>
      <c r="G303" s="82" t="s">
        <v>19</v>
      </c>
      <c r="H303" s="64" t="s">
        <v>20</v>
      </c>
      <c r="I303" s="65">
        <v>-35.36</v>
      </c>
      <c r="J303" s="65">
        <v>0</v>
      </c>
      <c r="K303" s="65">
        <v>0</v>
      </c>
      <c r="L303" s="65">
        <v>35.36</v>
      </c>
      <c r="M303" s="84">
        <v>0</v>
      </c>
      <c r="N303" s="88">
        <f>Tabela1[[#This Row],[1QZ DE DEZ 26]]-Tabela1[[#This Row],[SALDO FINAL]]-Tabela1[[#This Row],[SALDO CARTAO]]-Tabela1[[#This Row],[ADIANTAMENTO]]</f>
        <v>-35.36</v>
      </c>
      <c r="O303" s="67">
        <f>-Tabela1[[#This Row],[SALDO REEMBOLSAR]]</f>
        <v>35.36</v>
      </c>
      <c r="P303" s="90">
        <f>IF(Tabela1[[#This Row],[CARGA PARCIAL]]&lt;0,0,Tabela1[[#This Row],[CARGA PARCIAL]])</f>
        <v>0</v>
      </c>
      <c r="Q303" s="93">
        <f>IF(Tabela1[[#This Row],[CARGA PARCIAL]]&lt;0,0,Tabela1[[#This Row],[CARGA PARCIAL]])+Tabela1[[#This Row],[REEMBOLSO]]</f>
        <v>35.36</v>
      </c>
      <c r="R303" s="66" t="s">
        <v>21</v>
      </c>
      <c r="S303" s="70"/>
    </row>
    <row r="304" spans="2:19" x14ac:dyDescent="0.25">
      <c r="B304" s="103" t="s">
        <v>1459</v>
      </c>
      <c r="C304" s="102" t="s">
        <v>1711</v>
      </c>
      <c r="D304" s="64" t="s">
        <v>17</v>
      </c>
      <c r="E304" s="64" t="s">
        <v>304</v>
      </c>
      <c r="F304" s="64">
        <v>1201071</v>
      </c>
      <c r="G304" s="82" t="s">
        <v>244</v>
      </c>
      <c r="H304" s="64" t="s">
        <v>33</v>
      </c>
      <c r="I304" s="65">
        <v>-35.1</v>
      </c>
      <c r="J304" s="65">
        <v>0</v>
      </c>
      <c r="K304" s="65">
        <v>0</v>
      </c>
      <c r="L304" s="65">
        <v>35.1</v>
      </c>
      <c r="M304" s="84">
        <v>0</v>
      </c>
      <c r="N304" s="88">
        <f>Tabela1[[#This Row],[1QZ DE DEZ 26]]-Tabela1[[#This Row],[SALDO FINAL]]-Tabela1[[#This Row],[SALDO CARTAO]]-Tabela1[[#This Row],[ADIANTAMENTO]]</f>
        <v>-35.1</v>
      </c>
      <c r="O304" s="67">
        <f>-Tabela1[[#This Row],[SALDO REEMBOLSAR]]</f>
        <v>35.1</v>
      </c>
      <c r="P304" s="122">
        <f>IF(Tabela1[[#This Row],[CARGA PARCIAL]]&lt;0,0,Tabela1[[#This Row],[CARGA PARCIAL]])</f>
        <v>0</v>
      </c>
      <c r="Q304" s="93">
        <f>IF(Tabela1[[#This Row],[CARGA PARCIAL]]&lt;0,0,Tabela1[[#This Row],[CARGA PARCIAL]])+Tabela1[[#This Row],[REEMBOLSO]]</f>
        <v>35.1</v>
      </c>
      <c r="R304" s="66" t="s">
        <v>21</v>
      </c>
      <c r="S304" s="70"/>
    </row>
    <row r="305" spans="2:19" x14ac:dyDescent="0.25">
      <c r="B305" s="103" t="s">
        <v>621</v>
      </c>
      <c r="C305" s="102" t="s">
        <v>622</v>
      </c>
      <c r="D305" s="64" t="s">
        <v>17</v>
      </c>
      <c r="E305" s="64" t="s">
        <v>623</v>
      </c>
      <c r="F305" s="64">
        <v>11010210001</v>
      </c>
      <c r="G305" s="82" t="s">
        <v>1989</v>
      </c>
      <c r="H305" s="64" t="s">
        <v>20</v>
      </c>
      <c r="I305" s="65">
        <v>0</v>
      </c>
      <c r="J305" s="65">
        <v>297.89999999999998</v>
      </c>
      <c r="K305" s="65">
        <v>350</v>
      </c>
      <c r="L305" s="65">
        <v>17.100000000000001</v>
      </c>
      <c r="M305" s="84">
        <v>0</v>
      </c>
      <c r="N305" s="88">
        <f>Tabela1[[#This Row],[1QZ DE DEZ 26]]-Tabela1[[#This Row],[SALDO FINAL]]-Tabela1[[#This Row],[SALDO CARTAO]]-Tabela1[[#This Row],[ADIANTAMENTO]]</f>
        <v>35.000000000000021</v>
      </c>
      <c r="O305" s="67">
        <f>(-Tabela1[[#This Row],[SALDO REEMBOLSAR]]*$O$4)</f>
        <v>0</v>
      </c>
      <c r="P305" s="122">
        <f>IF(Tabela1[[#This Row],[CARGA PARCIAL]]&lt;0,0,Tabela1[[#This Row],[CARGA PARCIAL]])</f>
        <v>35.000000000000021</v>
      </c>
      <c r="Q305" s="93">
        <f>IF(Tabela1[[#This Row],[CARGA PARCIAL]]&lt;0,0,Tabela1[[#This Row],[CARGA PARCIAL]])+Tabela1[[#This Row],[REEMBOLSO]]</f>
        <v>35.000000000000021</v>
      </c>
      <c r="R305" s="66" t="s">
        <v>21</v>
      </c>
      <c r="S305" s="70"/>
    </row>
    <row r="306" spans="2:19" x14ac:dyDescent="0.25">
      <c r="B306" s="83" t="s">
        <v>268</v>
      </c>
      <c r="C306" s="64" t="s">
        <v>269</v>
      </c>
      <c r="D306" s="64" t="s">
        <v>17</v>
      </c>
      <c r="E306" s="64" t="s">
        <v>270</v>
      </c>
      <c r="F306" s="64">
        <v>11040140001</v>
      </c>
      <c r="G306" s="82" t="s">
        <v>240</v>
      </c>
      <c r="H306" s="64" t="s">
        <v>33</v>
      </c>
      <c r="I306" s="65">
        <v>0</v>
      </c>
      <c r="J306" s="65">
        <v>14</v>
      </c>
      <c r="K306" s="65">
        <v>50</v>
      </c>
      <c r="L306" s="65">
        <v>1</v>
      </c>
      <c r="M306" s="84">
        <v>0</v>
      </c>
      <c r="N306" s="88">
        <f>Tabela1[[#This Row],[1QZ DE DEZ 26]]-Tabela1[[#This Row],[SALDO FINAL]]-Tabela1[[#This Row],[SALDO CARTAO]]-Tabela1[[#This Row],[ADIANTAMENTO]]</f>
        <v>35</v>
      </c>
      <c r="O306" s="67">
        <f>(-Tabela1[[#This Row],[SALDO REEMBOLSAR]]*$O$4)</f>
        <v>0</v>
      </c>
      <c r="P306" s="90">
        <f>IF(Tabela1[[#This Row],[CARGA PARCIAL]]&lt;0,0,Tabela1[[#This Row],[CARGA PARCIAL]])</f>
        <v>35</v>
      </c>
      <c r="Q306" s="93">
        <f>IF(Tabela1[[#This Row],[CARGA PARCIAL]]&lt;0,0,Tabela1[[#This Row],[CARGA PARCIAL]])+Tabela1[[#This Row],[REEMBOLSO]]</f>
        <v>35</v>
      </c>
      <c r="R306" s="66" t="s">
        <v>21</v>
      </c>
      <c r="S306" s="70"/>
    </row>
    <row r="307" spans="2:19" x14ac:dyDescent="0.25">
      <c r="B307" s="103" t="s">
        <v>654</v>
      </c>
      <c r="C307" s="102" t="s">
        <v>655</v>
      </c>
      <c r="D307" s="64" t="s">
        <v>17</v>
      </c>
      <c r="E307" s="64" t="s">
        <v>270</v>
      </c>
      <c r="F307" s="64">
        <v>11040140001</v>
      </c>
      <c r="G307" s="82" t="s">
        <v>240</v>
      </c>
      <c r="H307" s="64" t="s">
        <v>33</v>
      </c>
      <c r="I307" s="65">
        <v>0</v>
      </c>
      <c r="J307" s="65">
        <v>0</v>
      </c>
      <c r="K307" s="65">
        <v>100</v>
      </c>
      <c r="L307" s="65">
        <v>69</v>
      </c>
      <c r="M307" s="84">
        <v>0</v>
      </c>
      <c r="N307" s="88">
        <f>Tabela1[[#This Row],[1QZ DE DEZ 26]]-Tabela1[[#This Row],[SALDO FINAL]]-Tabela1[[#This Row],[SALDO CARTAO]]-Tabela1[[#This Row],[ADIANTAMENTO]]</f>
        <v>31</v>
      </c>
      <c r="O307" s="67">
        <f>(-Tabela1[[#This Row],[SALDO REEMBOLSAR]]*$O$4)</f>
        <v>0</v>
      </c>
      <c r="P307" s="122">
        <f>IF(Tabela1[[#This Row],[CARGA PARCIAL]]&lt;0,0,Tabela1[[#This Row],[CARGA PARCIAL]])</f>
        <v>31</v>
      </c>
      <c r="Q307" s="93">
        <f>IF(Tabela1[[#This Row],[CARGA PARCIAL]]&lt;0,0,Tabela1[[#This Row],[CARGA PARCIAL]])+Tabela1[[#This Row],[REEMBOLSO]]</f>
        <v>31</v>
      </c>
      <c r="R307" s="66" t="s">
        <v>21</v>
      </c>
      <c r="S307" s="70"/>
    </row>
    <row r="308" spans="2:19" x14ac:dyDescent="0.25">
      <c r="B308" s="83" t="s">
        <v>37</v>
      </c>
      <c r="C308" s="64" t="s">
        <v>38</v>
      </c>
      <c r="D308" s="64" t="s">
        <v>17</v>
      </c>
      <c r="E308" s="64" t="s">
        <v>39</v>
      </c>
      <c r="F308" s="64">
        <v>11110330001</v>
      </c>
      <c r="G308" s="82" t="s">
        <v>25</v>
      </c>
      <c r="H308" s="64" t="s">
        <v>20</v>
      </c>
      <c r="I308" s="65">
        <v>0</v>
      </c>
      <c r="J308" s="65">
        <v>238.1</v>
      </c>
      <c r="K308" s="65">
        <v>300</v>
      </c>
      <c r="L308" s="65">
        <v>31.9</v>
      </c>
      <c r="M308" s="84">
        <v>0</v>
      </c>
      <c r="N308" s="88">
        <f>Tabela1[[#This Row],[1QZ DE DEZ 26]]-Tabela1[[#This Row],[SALDO FINAL]]-Tabela1[[#This Row],[SALDO CARTAO]]-Tabela1[[#This Row],[ADIANTAMENTO]]</f>
        <v>30.000000000000007</v>
      </c>
      <c r="O308" s="67">
        <f>(-Tabela1[[#This Row],[SALDO REEMBOLSAR]]*$O$4)</f>
        <v>0</v>
      </c>
      <c r="P308" s="90">
        <f>IF(Tabela1[[#This Row],[CARGA PARCIAL]]&lt;0,0,Tabela1[[#This Row],[CARGA PARCIAL]])</f>
        <v>30.000000000000007</v>
      </c>
      <c r="Q308" s="93">
        <f>IF(Tabela1[[#This Row],[CARGA PARCIAL]]&lt;0,0,Tabela1[[#This Row],[CARGA PARCIAL]])+Tabela1[[#This Row],[REEMBOLSO]]</f>
        <v>30.000000000000007</v>
      </c>
      <c r="R308" s="66" t="s">
        <v>21</v>
      </c>
      <c r="S308" s="70"/>
    </row>
    <row r="309" spans="2:19" x14ac:dyDescent="0.25">
      <c r="B309" s="83" t="s">
        <v>426</v>
      </c>
      <c r="C309" s="64" t="s">
        <v>427</v>
      </c>
      <c r="D309" s="64" t="s">
        <v>17</v>
      </c>
      <c r="E309" s="64" t="s">
        <v>270</v>
      </c>
      <c r="F309" s="64">
        <v>11040140001</v>
      </c>
      <c r="G309" s="82" t="s">
        <v>240</v>
      </c>
      <c r="H309" s="64" t="s">
        <v>33</v>
      </c>
      <c r="I309" s="65">
        <v>0</v>
      </c>
      <c r="J309" s="65">
        <v>51</v>
      </c>
      <c r="K309" s="65">
        <v>100</v>
      </c>
      <c r="L309" s="65">
        <v>19</v>
      </c>
      <c r="M309" s="86">
        <v>0</v>
      </c>
      <c r="N309" s="111">
        <f>Tabela1[[#This Row],[1QZ DE DEZ 26]]-Tabela1[[#This Row],[SALDO FINAL]]-Tabela1[[#This Row],[SALDO CARTAO]]-Tabela1[[#This Row],[ADIANTAMENTO]]</f>
        <v>30</v>
      </c>
      <c r="O309" s="67">
        <f>(-Tabela1[[#This Row],[SALDO REEMBOLSAR]]*$O$4)</f>
        <v>0</v>
      </c>
      <c r="P309" s="90">
        <f>IF(Tabela1[[#This Row],[CARGA PARCIAL]]&lt;0,0,Tabela1[[#This Row],[CARGA PARCIAL]])</f>
        <v>30</v>
      </c>
      <c r="Q309" s="94">
        <f>IF(Tabela1[[#This Row],[CARGA PARCIAL]]&lt;0,0,Tabela1[[#This Row],[CARGA PARCIAL]])+Tabela1[[#This Row],[REEMBOLSO]]</f>
        <v>30</v>
      </c>
      <c r="R309" s="66" t="s">
        <v>21</v>
      </c>
      <c r="S309" s="70"/>
    </row>
    <row r="310" spans="2:19" x14ac:dyDescent="0.25">
      <c r="B310" s="83" t="s">
        <v>1338</v>
      </c>
      <c r="C310" s="64" t="s">
        <v>1887</v>
      </c>
      <c r="D310" s="64" t="s">
        <v>17</v>
      </c>
      <c r="E310" s="64" t="s">
        <v>1889</v>
      </c>
      <c r="F310" s="64">
        <v>11061900001</v>
      </c>
      <c r="G310" s="82" t="s">
        <v>244</v>
      </c>
      <c r="H310" s="64" t="s">
        <v>33</v>
      </c>
      <c r="I310" s="65">
        <v>-29.15</v>
      </c>
      <c r="J310" s="65">
        <v>0</v>
      </c>
      <c r="K310" s="65">
        <v>0</v>
      </c>
      <c r="L310" s="65">
        <v>29.15</v>
      </c>
      <c r="M310" s="84">
        <v>0</v>
      </c>
      <c r="N310" s="112">
        <f>Tabela1[[#This Row],[1QZ DE DEZ 26]]-Tabela1[[#This Row],[SALDO FINAL]]-Tabela1[[#This Row],[SALDO CARTAO]]-Tabela1[[#This Row],[ADIANTAMENTO]]</f>
        <v>-29.15</v>
      </c>
      <c r="O310" s="67">
        <f>-Tabela1[[#This Row],[SALDO REEMBOLSAR]]</f>
        <v>29.15</v>
      </c>
      <c r="P310" s="90">
        <f>IF(Tabela1[[#This Row],[CARGA PARCIAL]]&lt;0,0,Tabela1[[#This Row],[CARGA PARCIAL]])</f>
        <v>0</v>
      </c>
      <c r="Q310" s="91">
        <f>IF(Tabela1[[#This Row],[CARGA PARCIAL]]&lt;0,0,Tabela1[[#This Row],[CARGA PARCIAL]])+Tabela1[[#This Row],[REEMBOLSO]]</f>
        <v>29.15</v>
      </c>
      <c r="R310" s="66" t="s">
        <v>21</v>
      </c>
      <c r="S310" s="70"/>
    </row>
    <row r="311" spans="2:19" x14ac:dyDescent="0.25">
      <c r="B311" s="83" t="s">
        <v>901</v>
      </c>
      <c r="C311" s="64" t="s">
        <v>1769</v>
      </c>
      <c r="D311" s="64" t="s">
        <v>17</v>
      </c>
      <c r="E311" s="64" t="s">
        <v>1770</v>
      </c>
      <c r="F311" s="64">
        <v>11061800001</v>
      </c>
      <c r="G311" s="82" t="s">
        <v>236</v>
      </c>
      <c r="H311" s="64" t="s">
        <v>33</v>
      </c>
      <c r="I311" s="65">
        <v>-28.330000000000435</v>
      </c>
      <c r="J311" s="65">
        <v>0</v>
      </c>
      <c r="K311" s="65">
        <v>0</v>
      </c>
      <c r="L311" s="65">
        <v>0</v>
      </c>
      <c r="M311" s="84">
        <v>0</v>
      </c>
      <c r="N311" s="112">
        <f>Tabela1[[#This Row],[1QZ DE DEZ 26]]-Tabela1[[#This Row],[SALDO FINAL]]-Tabela1[[#This Row],[SALDO CARTAO]]-Tabela1[[#This Row],[ADIANTAMENTO]]</f>
        <v>0</v>
      </c>
      <c r="O311" s="67">
        <f>-Tabela1[[#This Row],[SALDO REEMBOLSAR]]</f>
        <v>28.330000000000435</v>
      </c>
      <c r="P311" s="90">
        <f>IF(Tabela1[[#This Row],[CARGA PARCIAL]]&lt;0,0,Tabela1[[#This Row],[CARGA PARCIAL]])</f>
        <v>0</v>
      </c>
      <c r="Q311" s="91">
        <f>IF(Tabela1[[#This Row],[CARGA PARCIAL]]&lt;0,0,Tabela1[[#This Row],[CARGA PARCIAL]])+Tabela1[[#This Row],[REEMBOLSO]]</f>
        <v>28.330000000000435</v>
      </c>
      <c r="R311" s="66" t="s">
        <v>21</v>
      </c>
      <c r="S311" s="70"/>
    </row>
    <row r="312" spans="2:19" x14ac:dyDescent="0.25">
      <c r="B312" s="83" t="s">
        <v>407</v>
      </c>
      <c r="C312" s="64" t="s">
        <v>408</v>
      </c>
      <c r="D312" s="64" t="s">
        <v>17</v>
      </c>
      <c r="E312" s="64" t="s">
        <v>270</v>
      </c>
      <c r="F312" s="64">
        <v>11040140001</v>
      </c>
      <c r="G312" s="82" t="s">
        <v>240</v>
      </c>
      <c r="H312" s="64" t="s">
        <v>33</v>
      </c>
      <c r="I312" s="65">
        <v>0</v>
      </c>
      <c r="J312" s="65">
        <v>69.940000000000111</v>
      </c>
      <c r="K312" s="65">
        <v>100</v>
      </c>
      <c r="L312" s="65">
        <v>2.19</v>
      </c>
      <c r="M312" s="84">
        <v>0</v>
      </c>
      <c r="N312" s="112">
        <f>Tabela1[[#This Row],[1QZ DE DEZ 26]]-Tabela1[[#This Row],[SALDO FINAL]]-Tabela1[[#This Row],[SALDO CARTAO]]-Tabela1[[#This Row],[ADIANTAMENTO]]</f>
        <v>27.869999999999887</v>
      </c>
      <c r="O312" s="67">
        <f>(-Tabela1[[#This Row],[SALDO REEMBOLSAR]]*$O$4)</f>
        <v>0</v>
      </c>
      <c r="P312" s="90">
        <f>IF(Tabela1[[#This Row],[CARGA PARCIAL]]&lt;0,0,Tabela1[[#This Row],[CARGA PARCIAL]])</f>
        <v>27.869999999999887</v>
      </c>
      <c r="Q312" s="91">
        <f>IF(Tabela1[[#This Row],[CARGA PARCIAL]]&lt;0,0,Tabela1[[#This Row],[CARGA PARCIAL]])+Tabela1[[#This Row],[REEMBOLSO]]</f>
        <v>27.869999999999887</v>
      </c>
      <c r="R312" s="66" t="s">
        <v>21</v>
      </c>
      <c r="S312" s="70"/>
    </row>
    <row r="313" spans="2:19" x14ac:dyDescent="0.25">
      <c r="B313" s="83" t="s">
        <v>711</v>
      </c>
      <c r="C313" s="64" t="s">
        <v>712</v>
      </c>
      <c r="D313" s="64" t="s">
        <v>17</v>
      </c>
      <c r="E313" s="64" t="s">
        <v>531</v>
      </c>
      <c r="F313" s="64">
        <v>11030570001</v>
      </c>
      <c r="G313" s="82" t="s">
        <v>236</v>
      </c>
      <c r="H313" s="64" t="s">
        <v>33</v>
      </c>
      <c r="I313" s="65">
        <v>0</v>
      </c>
      <c r="J313" s="65">
        <v>93.22999999999989</v>
      </c>
      <c r="K313" s="65">
        <v>125</v>
      </c>
      <c r="L313" s="65">
        <v>5.77</v>
      </c>
      <c r="M313" s="84">
        <v>0</v>
      </c>
      <c r="N313" s="112">
        <f>Tabela1[[#This Row],[1QZ DE DEZ 26]]-Tabela1[[#This Row],[SALDO FINAL]]-Tabela1[[#This Row],[SALDO CARTAO]]-Tabela1[[#This Row],[ADIANTAMENTO]]</f>
        <v>26.00000000000011</v>
      </c>
      <c r="O313" s="67">
        <f>(-Tabela1[[#This Row],[SALDO REEMBOLSAR]]*$O$4)</f>
        <v>0</v>
      </c>
      <c r="P313" s="90">
        <f>IF(Tabela1[[#This Row],[CARGA PARCIAL]]&lt;0,0,Tabela1[[#This Row],[CARGA PARCIAL]])</f>
        <v>26.00000000000011</v>
      </c>
      <c r="Q313" s="91">
        <f>IF(Tabela1[[#This Row],[CARGA PARCIAL]]&lt;0,0,Tabela1[[#This Row],[CARGA PARCIAL]])+Tabela1[[#This Row],[REEMBOLSO]]</f>
        <v>26.00000000000011</v>
      </c>
      <c r="R313" s="66" t="s">
        <v>21</v>
      </c>
      <c r="S313" s="70"/>
    </row>
    <row r="314" spans="2:19" x14ac:dyDescent="0.25">
      <c r="B314" s="83" t="s">
        <v>1236</v>
      </c>
      <c r="C314" s="64" t="s">
        <v>1858</v>
      </c>
      <c r="D314" s="64" t="s">
        <v>17</v>
      </c>
      <c r="E314" s="64" t="s">
        <v>252</v>
      </c>
      <c r="F314" s="64">
        <v>11030290001</v>
      </c>
      <c r="G314" s="82" t="s">
        <v>1989</v>
      </c>
      <c r="H314" s="64" t="s">
        <v>20</v>
      </c>
      <c r="I314" s="65">
        <v>-25.36</v>
      </c>
      <c r="J314" s="65">
        <v>0</v>
      </c>
      <c r="K314" s="65">
        <v>0</v>
      </c>
      <c r="L314" s="65">
        <v>25.36</v>
      </c>
      <c r="M314" s="84">
        <v>0</v>
      </c>
      <c r="N314" s="112">
        <f>Tabela1[[#This Row],[1QZ DE DEZ 26]]-Tabela1[[#This Row],[SALDO FINAL]]-Tabela1[[#This Row],[SALDO CARTAO]]-Tabela1[[#This Row],[ADIANTAMENTO]]</f>
        <v>-25.36</v>
      </c>
      <c r="O314" s="67">
        <f>-Tabela1[[#This Row],[SALDO REEMBOLSAR]]</f>
        <v>25.36</v>
      </c>
      <c r="P314" s="90">
        <f>IF(Tabela1[[#This Row],[CARGA PARCIAL]]&lt;0,0,Tabela1[[#This Row],[CARGA PARCIAL]])</f>
        <v>0</v>
      </c>
      <c r="Q314" s="91">
        <f>IF(Tabela1[[#This Row],[CARGA PARCIAL]]&lt;0,0,Tabela1[[#This Row],[CARGA PARCIAL]])+Tabela1[[#This Row],[REEMBOLSO]]</f>
        <v>25.36</v>
      </c>
      <c r="R314" s="66" t="s">
        <v>21</v>
      </c>
      <c r="S314" s="70"/>
    </row>
    <row r="315" spans="2:19" x14ac:dyDescent="0.25">
      <c r="B315" s="83" t="s">
        <v>1297</v>
      </c>
      <c r="C315" s="64" t="s">
        <v>1874</v>
      </c>
      <c r="D315" s="64" t="s">
        <v>17</v>
      </c>
      <c r="E315" s="64" t="s">
        <v>54</v>
      </c>
      <c r="F315" s="64">
        <v>11080220001</v>
      </c>
      <c r="G315" s="82" t="s">
        <v>32</v>
      </c>
      <c r="H315" s="64" t="s">
        <v>33</v>
      </c>
      <c r="I315" s="65">
        <v>-24.25</v>
      </c>
      <c r="J315" s="65">
        <v>0</v>
      </c>
      <c r="K315" s="65">
        <v>0</v>
      </c>
      <c r="L315" s="65">
        <v>24.25</v>
      </c>
      <c r="M315" s="84">
        <v>0</v>
      </c>
      <c r="N315" s="112">
        <f>Tabela1[[#This Row],[1QZ DE DEZ 26]]-Tabela1[[#This Row],[SALDO FINAL]]-Tabela1[[#This Row],[SALDO CARTAO]]-Tabela1[[#This Row],[ADIANTAMENTO]]</f>
        <v>-24.25</v>
      </c>
      <c r="O315" s="67">
        <f>-Tabela1[[#This Row],[SALDO REEMBOLSAR]]</f>
        <v>24.25</v>
      </c>
      <c r="P315" s="90">
        <f>IF(Tabela1[[#This Row],[CARGA PARCIAL]]&lt;0,0,Tabela1[[#This Row],[CARGA PARCIAL]])</f>
        <v>0</v>
      </c>
      <c r="Q315" s="91">
        <f>IF(Tabela1[[#This Row],[CARGA PARCIAL]]&lt;0,0,Tabela1[[#This Row],[CARGA PARCIAL]])+Tabela1[[#This Row],[REEMBOLSO]]</f>
        <v>24.25</v>
      </c>
      <c r="R315" s="66" t="s">
        <v>21</v>
      </c>
      <c r="S315" s="70"/>
    </row>
    <row r="316" spans="2:19" x14ac:dyDescent="0.25">
      <c r="B316" s="83" t="s">
        <v>572</v>
      </c>
      <c r="C316" s="64" t="s">
        <v>573</v>
      </c>
      <c r="D316" s="64" t="s">
        <v>17</v>
      </c>
      <c r="E316" s="64" t="s">
        <v>270</v>
      </c>
      <c r="F316" s="64">
        <v>11040140001</v>
      </c>
      <c r="G316" s="82" t="s">
        <v>240</v>
      </c>
      <c r="H316" s="64" t="s">
        <v>33</v>
      </c>
      <c r="I316" s="65">
        <v>0</v>
      </c>
      <c r="J316" s="65">
        <v>66.88</v>
      </c>
      <c r="K316" s="65">
        <v>100</v>
      </c>
      <c r="L316" s="65">
        <v>9.92</v>
      </c>
      <c r="M316" s="84">
        <v>0</v>
      </c>
      <c r="N316" s="112">
        <f>Tabela1[[#This Row],[1QZ DE DEZ 26]]-Tabela1[[#This Row],[SALDO FINAL]]-Tabela1[[#This Row],[SALDO CARTAO]]-Tabela1[[#This Row],[ADIANTAMENTO]]</f>
        <v>23.200000000000003</v>
      </c>
      <c r="O316" s="67">
        <f>(-Tabela1[[#This Row],[SALDO REEMBOLSAR]]*$O$4)</f>
        <v>0</v>
      </c>
      <c r="P316" s="90">
        <f>IF(Tabela1[[#This Row],[CARGA PARCIAL]]&lt;0,0,Tabela1[[#This Row],[CARGA PARCIAL]])</f>
        <v>23.200000000000003</v>
      </c>
      <c r="Q316" s="91">
        <f>IF(Tabela1[[#This Row],[CARGA PARCIAL]]&lt;0,0,Tabela1[[#This Row],[CARGA PARCIAL]])+Tabela1[[#This Row],[REEMBOLSO]]</f>
        <v>23.200000000000003</v>
      </c>
      <c r="R316" s="66" t="s">
        <v>21</v>
      </c>
      <c r="S316" s="70"/>
    </row>
    <row r="317" spans="2:19" x14ac:dyDescent="0.25">
      <c r="B317" s="83" t="s">
        <v>1056</v>
      </c>
      <c r="C317" s="64" t="s">
        <v>1799</v>
      </c>
      <c r="D317" s="64" t="s">
        <v>17</v>
      </c>
      <c r="E317" s="64" t="s">
        <v>1801</v>
      </c>
      <c r="F317" s="64">
        <v>12010540001</v>
      </c>
      <c r="G317" s="82" t="s">
        <v>75</v>
      </c>
      <c r="H317" s="64" t="s">
        <v>75</v>
      </c>
      <c r="I317" s="65">
        <v>-22.350000000000019</v>
      </c>
      <c r="J317" s="65">
        <v>0</v>
      </c>
      <c r="K317" s="65">
        <v>0</v>
      </c>
      <c r="L317" s="65">
        <v>21.31</v>
      </c>
      <c r="M317" s="84">
        <v>0</v>
      </c>
      <c r="N317" s="112">
        <f>Tabela1[[#This Row],[1QZ DE DEZ 26]]-Tabela1[[#This Row],[SALDO FINAL]]-Tabela1[[#This Row],[SALDO CARTAO]]-Tabela1[[#This Row],[ADIANTAMENTO]]</f>
        <v>-21.31</v>
      </c>
      <c r="O317" s="67">
        <f>-Tabela1[[#This Row],[SALDO REEMBOLSAR]]</f>
        <v>22.350000000000019</v>
      </c>
      <c r="P317" s="90">
        <f>IF(Tabela1[[#This Row],[CARGA PARCIAL]]&lt;0,0,Tabela1[[#This Row],[CARGA PARCIAL]])</f>
        <v>0</v>
      </c>
      <c r="Q317" s="91">
        <f>IF(Tabela1[[#This Row],[CARGA PARCIAL]]&lt;0,0,Tabela1[[#This Row],[CARGA PARCIAL]])+Tabela1[[#This Row],[REEMBOLSO]]</f>
        <v>22.350000000000019</v>
      </c>
      <c r="R317" s="66" t="s">
        <v>21</v>
      </c>
      <c r="S317" s="70"/>
    </row>
    <row r="318" spans="2:19" x14ac:dyDescent="0.25">
      <c r="B318" s="83" t="s">
        <v>1097</v>
      </c>
      <c r="C318" s="64" t="s">
        <v>1810</v>
      </c>
      <c r="D318" s="64" t="s">
        <v>17</v>
      </c>
      <c r="E318" s="64" t="s">
        <v>468</v>
      </c>
      <c r="F318" s="64">
        <v>1104150001</v>
      </c>
      <c r="G318" s="82" t="s">
        <v>240</v>
      </c>
      <c r="H318" s="64" t="s">
        <v>33</v>
      </c>
      <c r="I318" s="65">
        <v>-21.99</v>
      </c>
      <c r="J318" s="65">
        <v>0</v>
      </c>
      <c r="K318" s="65">
        <v>0</v>
      </c>
      <c r="L318" s="65">
        <v>21.99</v>
      </c>
      <c r="M318" s="86">
        <v>0</v>
      </c>
      <c r="N318" s="113">
        <f>Tabela1[[#This Row],[1QZ DE DEZ 26]]-Tabela1[[#This Row],[SALDO FINAL]]-Tabela1[[#This Row],[SALDO CARTAO]]-Tabela1[[#This Row],[ADIANTAMENTO]]</f>
        <v>-21.99</v>
      </c>
      <c r="O318" s="67">
        <f>-Tabela1[[#This Row],[SALDO REEMBOLSAR]]</f>
        <v>21.99</v>
      </c>
      <c r="P318" s="90">
        <f>IF(Tabela1[[#This Row],[CARGA PARCIAL]]&lt;0,0,Tabela1[[#This Row],[CARGA PARCIAL]])</f>
        <v>0</v>
      </c>
      <c r="Q318" s="92">
        <f>IF(Tabela1[[#This Row],[CARGA PARCIAL]]&lt;0,0,Tabela1[[#This Row],[CARGA PARCIAL]])+Tabela1[[#This Row],[REEMBOLSO]]</f>
        <v>21.99</v>
      </c>
      <c r="R318" s="66" t="s">
        <v>21</v>
      </c>
      <c r="S318" s="70"/>
    </row>
    <row r="319" spans="2:19" x14ac:dyDescent="0.25">
      <c r="B319" s="103" t="s">
        <v>631</v>
      </c>
      <c r="C319" s="102" t="s">
        <v>632</v>
      </c>
      <c r="D319" s="64" t="s">
        <v>17</v>
      </c>
      <c r="E319" s="64" t="s">
        <v>371</v>
      </c>
      <c r="F319" s="64">
        <v>11062020001</v>
      </c>
      <c r="G319" s="82" t="s">
        <v>244</v>
      </c>
      <c r="H319" s="64" t="s">
        <v>33</v>
      </c>
      <c r="I319" s="65">
        <v>0</v>
      </c>
      <c r="J319" s="65">
        <v>5.4900000000000091</v>
      </c>
      <c r="K319" s="65">
        <v>250</v>
      </c>
      <c r="L319" s="65">
        <v>225</v>
      </c>
      <c r="M319" s="84">
        <v>0</v>
      </c>
      <c r="N319" s="112">
        <f>Tabela1[[#This Row],[1QZ DE DEZ 26]]-Tabela1[[#This Row],[SALDO FINAL]]-Tabela1[[#This Row],[SALDO CARTAO]]-Tabela1[[#This Row],[ADIANTAMENTO]]</f>
        <v>19.509999999999991</v>
      </c>
      <c r="O319" s="67">
        <f>(-Tabela1[[#This Row],[SALDO REEMBOLSAR]]*$O$4)</f>
        <v>0</v>
      </c>
      <c r="P319" s="122">
        <f>IF(Tabela1[[#This Row],[CARGA PARCIAL]]&lt;0,0,Tabela1[[#This Row],[CARGA PARCIAL]])</f>
        <v>19.509999999999991</v>
      </c>
      <c r="Q319" s="91">
        <f>IF(Tabela1[[#This Row],[CARGA PARCIAL]]&lt;0,0,Tabela1[[#This Row],[CARGA PARCIAL]])+Tabela1[[#This Row],[REEMBOLSO]]</f>
        <v>19.509999999999991</v>
      </c>
      <c r="R319" s="66" t="s">
        <v>21</v>
      </c>
      <c r="S319" s="70"/>
    </row>
    <row r="320" spans="2:19" x14ac:dyDescent="0.25">
      <c r="B320" s="83" t="s">
        <v>1869</v>
      </c>
      <c r="C320" s="64" t="s">
        <v>1870</v>
      </c>
      <c r="D320" s="64" t="s">
        <v>17</v>
      </c>
      <c r="E320" s="64" t="s">
        <v>181</v>
      </c>
      <c r="F320" s="64">
        <v>11062280001</v>
      </c>
      <c r="G320" s="82" t="s">
        <v>32</v>
      </c>
      <c r="H320" s="64" t="s">
        <v>33</v>
      </c>
      <c r="I320" s="65">
        <v>-18.080000000000155</v>
      </c>
      <c r="J320" s="65">
        <v>0</v>
      </c>
      <c r="K320" s="65">
        <v>0</v>
      </c>
      <c r="L320" s="65">
        <v>6</v>
      </c>
      <c r="M320" s="84">
        <v>0</v>
      </c>
      <c r="N320" s="112">
        <f>Tabela1[[#This Row],[1QZ DE DEZ 26]]-Tabela1[[#This Row],[SALDO FINAL]]-Tabela1[[#This Row],[SALDO CARTAO]]-Tabela1[[#This Row],[ADIANTAMENTO]]</f>
        <v>-6</v>
      </c>
      <c r="O320" s="67">
        <f>-Tabela1[[#This Row],[SALDO REEMBOLSAR]]</f>
        <v>18.080000000000155</v>
      </c>
      <c r="P320" s="90">
        <f>IF(Tabela1[[#This Row],[CARGA PARCIAL]]&lt;0,0,Tabela1[[#This Row],[CARGA PARCIAL]])</f>
        <v>0</v>
      </c>
      <c r="Q320" s="91">
        <f>IF(Tabela1[[#This Row],[CARGA PARCIAL]]&lt;0,0,Tabela1[[#This Row],[CARGA PARCIAL]])+Tabela1[[#This Row],[REEMBOLSO]]</f>
        <v>18.080000000000155</v>
      </c>
      <c r="R320" s="66" t="s">
        <v>21</v>
      </c>
      <c r="S320" s="70"/>
    </row>
    <row r="321" spans="2:19" x14ac:dyDescent="0.25">
      <c r="B321" s="103" t="s">
        <v>1950</v>
      </c>
      <c r="C321" s="102" t="s">
        <v>1951</v>
      </c>
      <c r="D321" s="64" t="s">
        <v>17</v>
      </c>
      <c r="E321" s="64" t="s">
        <v>1829</v>
      </c>
      <c r="F321" s="64">
        <v>11010400001</v>
      </c>
      <c r="G321" s="82" t="s">
        <v>1989</v>
      </c>
      <c r="H321" s="64" t="s">
        <v>20</v>
      </c>
      <c r="I321" s="65">
        <v>-17.119999999999891</v>
      </c>
      <c r="J321" s="65">
        <v>0</v>
      </c>
      <c r="K321" s="65">
        <v>0</v>
      </c>
      <c r="L321" s="65">
        <v>6</v>
      </c>
      <c r="M321" s="84">
        <v>0</v>
      </c>
      <c r="N321" s="112">
        <f>Tabela1[[#This Row],[1QZ DE DEZ 26]]-Tabela1[[#This Row],[SALDO FINAL]]-Tabela1[[#This Row],[SALDO CARTAO]]-Tabela1[[#This Row],[ADIANTAMENTO]]</f>
        <v>-6</v>
      </c>
      <c r="O321" s="67">
        <f>-Tabela1[[#This Row],[SALDO REEMBOLSAR]]</f>
        <v>17.119999999999891</v>
      </c>
      <c r="P321" s="122">
        <f>IF(Tabela1[[#This Row],[CARGA PARCIAL]]&lt;0,0,Tabela1[[#This Row],[CARGA PARCIAL]])</f>
        <v>0</v>
      </c>
      <c r="Q321" s="91">
        <f>IF(Tabela1[[#This Row],[CARGA PARCIAL]]&lt;0,0,Tabela1[[#This Row],[CARGA PARCIAL]])+Tabela1[[#This Row],[REEMBOLSO]]</f>
        <v>17.119999999999891</v>
      </c>
      <c r="R321" s="66" t="s">
        <v>21</v>
      </c>
      <c r="S321" s="70"/>
    </row>
    <row r="322" spans="2:19" x14ac:dyDescent="0.25">
      <c r="B322" s="83" t="s">
        <v>1224</v>
      </c>
      <c r="C322" s="64" t="s">
        <v>1856</v>
      </c>
      <c r="D322" s="64" t="s">
        <v>17</v>
      </c>
      <c r="E322" s="64" t="s">
        <v>42</v>
      </c>
      <c r="F322" s="64">
        <v>11061490001</v>
      </c>
      <c r="G322" s="82" t="s">
        <v>19</v>
      </c>
      <c r="H322" s="64" t="s">
        <v>20</v>
      </c>
      <c r="I322" s="65">
        <v>-16.93</v>
      </c>
      <c r="J322" s="65">
        <v>0</v>
      </c>
      <c r="K322" s="65">
        <v>0</v>
      </c>
      <c r="L322" s="65">
        <v>16.93</v>
      </c>
      <c r="M322" s="84">
        <v>0</v>
      </c>
      <c r="N322" s="112">
        <f>Tabela1[[#This Row],[1QZ DE DEZ 26]]-Tabela1[[#This Row],[SALDO FINAL]]-Tabela1[[#This Row],[SALDO CARTAO]]-Tabela1[[#This Row],[ADIANTAMENTO]]</f>
        <v>-16.93</v>
      </c>
      <c r="O322" s="67">
        <f>-Tabela1[[#This Row],[SALDO REEMBOLSAR]]</f>
        <v>16.93</v>
      </c>
      <c r="P322" s="90">
        <f>IF(Tabela1[[#This Row],[CARGA PARCIAL]]&lt;0,0,Tabela1[[#This Row],[CARGA PARCIAL]])</f>
        <v>0</v>
      </c>
      <c r="Q322" s="91">
        <f>IF(Tabela1[[#This Row],[CARGA PARCIAL]]&lt;0,0,Tabela1[[#This Row],[CARGA PARCIAL]])+Tabela1[[#This Row],[REEMBOLSO]]</f>
        <v>16.93</v>
      </c>
      <c r="R322" s="66" t="s">
        <v>21</v>
      </c>
      <c r="S322" s="70"/>
    </row>
    <row r="323" spans="2:19" x14ac:dyDescent="0.25">
      <c r="B323" s="83" t="s">
        <v>1290</v>
      </c>
      <c r="C323" s="64" t="s">
        <v>1873</v>
      </c>
      <c r="D323" s="64" t="s">
        <v>17</v>
      </c>
      <c r="E323" s="64" t="s">
        <v>516</v>
      </c>
      <c r="F323" s="64">
        <v>11062360001</v>
      </c>
      <c r="G323" s="82" t="s">
        <v>32</v>
      </c>
      <c r="H323" s="64" t="s">
        <v>33</v>
      </c>
      <c r="I323" s="65">
        <v>-16.25</v>
      </c>
      <c r="J323" s="65">
        <v>0</v>
      </c>
      <c r="K323" s="65">
        <v>0</v>
      </c>
      <c r="L323" s="65">
        <v>16.25</v>
      </c>
      <c r="M323" s="84">
        <v>0</v>
      </c>
      <c r="N323" s="112">
        <f>Tabela1[[#This Row],[1QZ DE DEZ 26]]-Tabela1[[#This Row],[SALDO FINAL]]-Tabela1[[#This Row],[SALDO CARTAO]]-Tabela1[[#This Row],[ADIANTAMENTO]]</f>
        <v>-16.25</v>
      </c>
      <c r="O323" s="67">
        <f>-Tabela1[[#This Row],[SALDO REEMBOLSAR]]</f>
        <v>16.25</v>
      </c>
      <c r="P323" s="90">
        <f>IF(Tabela1[[#This Row],[CARGA PARCIAL]]&lt;0,0,Tabela1[[#This Row],[CARGA PARCIAL]])</f>
        <v>0</v>
      </c>
      <c r="Q323" s="91">
        <f>IF(Tabela1[[#This Row],[CARGA PARCIAL]]&lt;0,0,Tabela1[[#This Row],[CARGA PARCIAL]])+Tabela1[[#This Row],[REEMBOLSO]]</f>
        <v>16.25</v>
      </c>
      <c r="R323" s="66" t="s">
        <v>21</v>
      </c>
      <c r="S323" s="70"/>
    </row>
    <row r="324" spans="2:19" x14ac:dyDescent="0.25">
      <c r="B324" s="83" t="s">
        <v>1308</v>
      </c>
      <c r="C324" s="64" t="s">
        <v>1877</v>
      </c>
      <c r="D324" s="64" t="s">
        <v>17</v>
      </c>
      <c r="E324" s="64" t="s">
        <v>1884</v>
      </c>
      <c r="F324" s="64">
        <v>1201002</v>
      </c>
      <c r="G324" s="82" t="s">
        <v>1996</v>
      </c>
      <c r="H324" s="64" t="s">
        <v>1997</v>
      </c>
      <c r="I324" s="65">
        <v>-14.33</v>
      </c>
      <c r="J324" s="65">
        <v>0</v>
      </c>
      <c r="K324" s="65">
        <v>0</v>
      </c>
      <c r="L324" s="65">
        <v>14.33</v>
      </c>
      <c r="M324" s="84">
        <v>0</v>
      </c>
      <c r="N324" s="112">
        <f>Tabela1[[#This Row],[1QZ DE DEZ 26]]-Tabela1[[#This Row],[SALDO FINAL]]-Tabela1[[#This Row],[SALDO CARTAO]]-Tabela1[[#This Row],[ADIANTAMENTO]]</f>
        <v>-14.33</v>
      </c>
      <c r="O324" s="67">
        <f>-Tabela1[[#This Row],[SALDO REEMBOLSAR]]</f>
        <v>14.33</v>
      </c>
      <c r="P324" s="90">
        <f>IF(Tabela1[[#This Row],[CARGA PARCIAL]]&lt;0,0,Tabela1[[#This Row],[CARGA PARCIAL]])</f>
        <v>0</v>
      </c>
      <c r="Q324" s="91">
        <f>IF(Tabela1[[#This Row],[CARGA PARCIAL]]&lt;0,0,Tabela1[[#This Row],[CARGA PARCIAL]])+Tabela1[[#This Row],[REEMBOLSO]]</f>
        <v>14.33</v>
      </c>
      <c r="R324" s="66" t="s">
        <v>21</v>
      </c>
      <c r="S324" s="70"/>
    </row>
    <row r="325" spans="2:19" x14ac:dyDescent="0.25">
      <c r="B325" s="103" t="s">
        <v>1937</v>
      </c>
      <c r="C325" s="102" t="s">
        <v>1938</v>
      </c>
      <c r="D325" s="64" t="s">
        <v>17</v>
      </c>
      <c r="E325" s="64" t="s">
        <v>133</v>
      </c>
      <c r="F325" s="64">
        <v>11062640001</v>
      </c>
      <c r="G325" s="82" t="s">
        <v>32</v>
      </c>
      <c r="H325" s="64" t="s">
        <v>33</v>
      </c>
      <c r="I325" s="65">
        <v>0</v>
      </c>
      <c r="J325" s="65">
        <v>2000</v>
      </c>
      <c r="K325" s="65">
        <v>2500</v>
      </c>
      <c r="L325" s="65">
        <v>486</v>
      </c>
      <c r="M325" s="84">
        <v>0</v>
      </c>
      <c r="N325" s="112">
        <f>Tabela1[[#This Row],[1QZ DE DEZ 26]]-Tabela1[[#This Row],[SALDO FINAL]]-Tabela1[[#This Row],[SALDO CARTAO]]-Tabela1[[#This Row],[ADIANTAMENTO]]</f>
        <v>14</v>
      </c>
      <c r="O325" s="67">
        <f>(-Tabela1[[#This Row],[SALDO REEMBOLSAR]]*$O$4)</f>
        <v>0</v>
      </c>
      <c r="P325" s="122">
        <f>IF(Tabela1[[#This Row],[CARGA PARCIAL]]&lt;0,0,Tabela1[[#This Row],[CARGA PARCIAL]])</f>
        <v>14</v>
      </c>
      <c r="Q325" s="91">
        <f>IF(Tabela1[[#This Row],[CARGA PARCIAL]]&lt;0,0,Tabela1[[#This Row],[CARGA PARCIAL]])+Tabela1[[#This Row],[REEMBOLSO]]</f>
        <v>14</v>
      </c>
      <c r="R325" s="66" t="s">
        <v>21</v>
      </c>
      <c r="S325" s="70"/>
    </row>
    <row r="326" spans="2:19" x14ac:dyDescent="0.25">
      <c r="B326" s="83" t="s">
        <v>1026</v>
      </c>
      <c r="C326" s="64" t="s">
        <v>1792</v>
      </c>
      <c r="D326" s="64" t="s">
        <v>17</v>
      </c>
      <c r="E326" s="64" t="s">
        <v>513</v>
      </c>
      <c r="F326" s="64">
        <v>11061400001</v>
      </c>
      <c r="G326" s="82" t="s">
        <v>244</v>
      </c>
      <c r="H326" s="64" t="s">
        <v>33</v>
      </c>
      <c r="I326" s="65">
        <v>-13.53</v>
      </c>
      <c r="J326" s="65">
        <v>0</v>
      </c>
      <c r="K326" s="65">
        <v>0</v>
      </c>
      <c r="L326" s="65">
        <v>13.53</v>
      </c>
      <c r="M326" s="84">
        <v>0</v>
      </c>
      <c r="N326" s="112">
        <f>Tabela1[[#This Row],[1QZ DE DEZ 26]]-Tabela1[[#This Row],[SALDO FINAL]]-Tabela1[[#This Row],[SALDO CARTAO]]-Tabela1[[#This Row],[ADIANTAMENTO]]</f>
        <v>-13.53</v>
      </c>
      <c r="O326" s="67">
        <f>-Tabela1[[#This Row],[SALDO REEMBOLSAR]]</f>
        <v>13.53</v>
      </c>
      <c r="P326" s="90">
        <f>IF(Tabela1[[#This Row],[CARGA PARCIAL]]&lt;0,0,Tabela1[[#This Row],[CARGA PARCIAL]])</f>
        <v>0</v>
      </c>
      <c r="Q326" s="91">
        <f>IF(Tabela1[[#This Row],[CARGA PARCIAL]]&lt;0,0,Tabela1[[#This Row],[CARGA PARCIAL]])+Tabela1[[#This Row],[REEMBOLSO]]</f>
        <v>13.53</v>
      </c>
      <c r="R326" s="66" t="s">
        <v>21</v>
      </c>
      <c r="S326" s="70"/>
    </row>
    <row r="327" spans="2:19" x14ac:dyDescent="0.25">
      <c r="B327" s="83" t="s">
        <v>904</v>
      </c>
      <c r="C327" s="64" t="s">
        <v>1771</v>
      </c>
      <c r="D327" s="64" t="s">
        <v>17</v>
      </c>
      <c r="E327" s="64" t="s">
        <v>488</v>
      </c>
      <c r="F327" s="64">
        <v>11061820001</v>
      </c>
      <c r="G327" s="82" t="s">
        <v>236</v>
      </c>
      <c r="H327" s="64" t="s">
        <v>33</v>
      </c>
      <c r="I327" s="65">
        <v>-11.43</v>
      </c>
      <c r="J327" s="65">
        <v>0</v>
      </c>
      <c r="K327" s="65">
        <v>0</v>
      </c>
      <c r="L327" s="65">
        <v>11.43</v>
      </c>
      <c r="M327" s="84">
        <v>0</v>
      </c>
      <c r="N327" s="112">
        <f>Tabela1[[#This Row],[1QZ DE DEZ 26]]-Tabela1[[#This Row],[SALDO FINAL]]-Tabela1[[#This Row],[SALDO CARTAO]]-Tabela1[[#This Row],[ADIANTAMENTO]]</f>
        <v>-11.43</v>
      </c>
      <c r="O327" s="67">
        <f>-Tabela1[[#This Row],[SALDO REEMBOLSAR]]</f>
        <v>11.43</v>
      </c>
      <c r="P327" s="90">
        <f>IF(Tabela1[[#This Row],[CARGA PARCIAL]]&lt;0,0,Tabela1[[#This Row],[CARGA PARCIAL]])</f>
        <v>0</v>
      </c>
      <c r="Q327" s="91">
        <f>IF(Tabela1[[#This Row],[CARGA PARCIAL]]&lt;0,0,Tabela1[[#This Row],[CARGA PARCIAL]])+Tabela1[[#This Row],[REEMBOLSO]]</f>
        <v>11.43</v>
      </c>
      <c r="R327" s="66" t="s">
        <v>21</v>
      </c>
      <c r="S327" s="70"/>
    </row>
    <row r="328" spans="2:19" x14ac:dyDescent="0.25">
      <c r="B328" s="83" t="s">
        <v>574</v>
      </c>
      <c r="C328" s="64" t="s">
        <v>575</v>
      </c>
      <c r="D328" s="64" t="s">
        <v>17</v>
      </c>
      <c r="E328" s="64" t="s">
        <v>270</v>
      </c>
      <c r="F328" s="64">
        <v>11040140001</v>
      </c>
      <c r="G328" s="82" t="s">
        <v>240</v>
      </c>
      <c r="H328" s="64" t="s">
        <v>33</v>
      </c>
      <c r="I328" s="65">
        <v>0</v>
      </c>
      <c r="J328" s="65">
        <v>75.55</v>
      </c>
      <c r="K328" s="65">
        <v>100</v>
      </c>
      <c r="L328" s="65">
        <v>14.45</v>
      </c>
      <c r="M328" s="84">
        <v>0</v>
      </c>
      <c r="N328" s="112">
        <f>Tabela1[[#This Row],[1QZ DE DEZ 26]]-Tabela1[[#This Row],[SALDO FINAL]]-Tabela1[[#This Row],[SALDO CARTAO]]-Tabela1[[#This Row],[ADIANTAMENTO]]</f>
        <v>10.000000000000004</v>
      </c>
      <c r="O328" s="67">
        <f>(-Tabela1[[#This Row],[SALDO REEMBOLSAR]]*$O$4)</f>
        <v>0</v>
      </c>
      <c r="P328" s="90">
        <f>IF(Tabela1[[#This Row],[CARGA PARCIAL]]&lt;0,0,Tabela1[[#This Row],[CARGA PARCIAL]])</f>
        <v>10.000000000000004</v>
      </c>
      <c r="Q328" s="91">
        <f>IF(Tabela1[[#This Row],[CARGA PARCIAL]]&lt;0,0,Tabela1[[#This Row],[CARGA PARCIAL]])+Tabela1[[#This Row],[REEMBOLSO]]</f>
        <v>10.000000000000004</v>
      </c>
      <c r="R328" s="66" t="s">
        <v>21</v>
      </c>
      <c r="S328" s="70"/>
    </row>
    <row r="329" spans="2:19" x14ac:dyDescent="0.25">
      <c r="B329" s="103" t="s">
        <v>693</v>
      </c>
      <c r="C329" s="102" t="s">
        <v>694</v>
      </c>
      <c r="D329" s="64" t="s">
        <v>17</v>
      </c>
      <c r="E329" s="64" t="s">
        <v>270</v>
      </c>
      <c r="F329" s="64">
        <v>11040140001</v>
      </c>
      <c r="G329" s="82" t="s">
        <v>240</v>
      </c>
      <c r="H329" s="64" t="s">
        <v>33</v>
      </c>
      <c r="I329" s="65">
        <v>0</v>
      </c>
      <c r="J329" s="65">
        <v>0</v>
      </c>
      <c r="K329" s="65">
        <v>100</v>
      </c>
      <c r="L329" s="65">
        <v>90</v>
      </c>
      <c r="M329" s="84">
        <v>0</v>
      </c>
      <c r="N329" s="112">
        <f>Tabela1[[#This Row],[1QZ DE DEZ 26]]-Tabela1[[#This Row],[SALDO FINAL]]-Tabela1[[#This Row],[SALDO CARTAO]]-Tabela1[[#This Row],[ADIANTAMENTO]]</f>
        <v>10</v>
      </c>
      <c r="O329" s="67">
        <f>(-Tabela1[[#This Row],[SALDO REEMBOLSAR]]*$O$4)</f>
        <v>0</v>
      </c>
      <c r="P329" s="122">
        <f>IF(Tabela1[[#This Row],[CARGA PARCIAL]]&lt;0,0,Tabela1[[#This Row],[CARGA PARCIAL]])</f>
        <v>10</v>
      </c>
      <c r="Q329" s="91">
        <f>IF(Tabela1[[#This Row],[CARGA PARCIAL]]&lt;0,0,Tabela1[[#This Row],[CARGA PARCIAL]])+Tabela1[[#This Row],[REEMBOLSO]]</f>
        <v>10</v>
      </c>
      <c r="R329" s="66" t="s">
        <v>21</v>
      </c>
      <c r="S329" s="70"/>
    </row>
    <row r="330" spans="2:19" x14ac:dyDescent="0.25">
      <c r="B330" s="83" t="s">
        <v>1143</v>
      </c>
      <c r="C330" s="64" t="s">
        <v>1819</v>
      </c>
      <c r="D330" s="64" t="s">
        <v>17</v>
      </c>
      <c r="E330" s="64" t="s">
        <v>531</v>
      </c>
      <c r="F330" s="64">
        <v>11030570001</v>
      </c>
      <c r="G330" s="82" t="s">
        <v>236</v>
      </c>
      <c r="H330" s="64" t="s">
        <v>33</v>
      </c>
      <c r="I330" s="65">
        <v>-8.9</v>
      </c>
      <c r="J330" s="65">
        <v>0</v>
      </c>
      <c r="K330" s="65">
        <v>0</v>
      </c>
      <c r="L330" s="65">
        <v>8.9</v>
      </c>
      <c r="M330" s="84">
        <v>0</v>
      </c>
      <c r="N330" s="112">
        <f>Tabela1[[#This Row],[1QZ DE DEZ 26]]-Tabela1[[#This Row],[SALDO FINAL]]-Tabela1[[#This Row],[SALDO CARTAO]]-Tabela1[[#This Row],[ADIANTAMENTO]]</f>
        <v>-8.9</v>
      </c>
      <c r="O330" s="67">
        <f>-Tabela1[[#This Row],[SALDO REEMBOLSAR]]</f>
        <v>8.9</v>
      </c>
      <c r="P330" s="90">
        <f>IF(Tabela1[[#This Row],[CARGA PARCIAL]]&lt;0,0,Tabela1[[#This Row],[CARGA PARCIAL]])</f>
        <v>0</v>
      </c>
      <c r="Q330" s="91">
        <f>IF(Tabela1[[#This Row],[CARGA PARCIAL]]&lt;0,0,Tabela1[[#This Row],[CARGA PARCIAL]])+Tabela1[[#This Row],[REEMBOLSO]]</f>
        <v>8.9</v>
      </c>
      <c r="R330" s="66" t="s">
        <v>21</v>
      </c>
      <c r="S330" s="70"/>
    </row>
    <row r="331" spans="2:19" x14ac:dyDescent="0.25">
      <c r="B331" s="103" t="s">
        <v>1389</v>
      </c>
      <c r="C331" s="102" t="s">
        <v>1902</v>
      </c>
      <c r="D331" s="64" t="s">
        <v>17</v>
      </c>
      <c r="E331" s="64" t="s">
        <v>479</v>
      </c>
      <c r="F331" s="64">
        <v>11061430001</v>
      </c>
      <c r="G331" s="82" t="s">
        <v>1989</v>
      </c>
      <c r="H331" s="64" t="s">
        <v>20</v>
      </c>
      <c r="I331" s="65">
        <v>-8.75</v>
      </c>
      <c r="J331" s="65">
        <v>0</v>
      </c>
      <c r="K331" s="69">
        <v>0</v>
      </c>
      <c r="L331" s="69">
        <v>0</v>
      </c>
      <c r="M331" s="70">
        <v>0</v>
      </c>
      <c r="N331" s="111">
        <f>Tabela1[[#This Row],[1QZ DE DEZ 26]]-Tabela1[[#This Row],[SALDO FINAL]]-Tabela1[[#This Row],[SALDO CARTAO]]-Tabela1[[#This Row],[ADIANTAMENTO]]</f>
        <v>0</v>
      </c>
      <c r="O331" s="67">
        <f>-Tabela1[[#This Row],[SALDO REEMBOLSAR]]</f>
        <v>8.75</v>
      </c>
      <c r="P331" s="122">
        <f>IF(Tabela1[[#This Row],[CARGA PARCIAL]]&lt;0,0,Tabela1[[#This Row],[CARGA PARCIAL]])</f>
        <v>0</v>
      </c>
      <c r="Q331" s="100">
        <f>IF(Tabela1[[#This Row],[CARGA PARCIAL]]&lt;0,0,Tabela1[[#This Row],[CARGA PARCIAL]])+Tabela1[[#This Row],[REEMBOLSO]]</f>
        <v>8.75</v>
      </c>
      <c r="R331" s="70" t="s">
        <v>21</v>
      </c>
      <c r="S331" s="70"/>
    </row>
    <row r="332" spans="2:19" x14ac:dyDescent="0.25">
      <c r="B332" s="83" t="s">
        <v>848</v>
      </c>
      <c r="C332" s="64" t="s">
        <v>1755</v>
      </c>
      <c r="D332" s="64" t="s">
        <v>17</v>
      </c>
      <c r="E332" s="64" t="s">
        <v>1757</v>
      </c>
      <c r="F332" s="64">
        <v>11060800001</v>
      </c>
      <c r="G332" s="82" t="s">
        <v>244</v>
      </c>
      <c r="H332" s="64" t="s">
        <v>33</v>
      </c>
      <c r="I332" s="65">
        <v>-8</v>
      </c>
      <c r="J332" s="65">
        <v>0</v>
      </c>
      <c r="K332" s="65">
        <v>0</v>
      </c>
      <c r="L332" s="65">
        <v>8</v>
      </c>
      <c r="M332" s="66">
        <v>0</v>
      </c>
      <c r="N332" s="88">
        <f>Tabela1[[#This Row],[1QZ DE DEZ 26]]-Tabela1[[#This Row],[SALDO FINAL]]-Tabela1[[#This Row],[SALDO CARTAO]]-Tabela1[[#This Row],[ADIANTAMENTO]]</f>
        <v>-8</v>
      </c>
      <c r="O332" s="67">
        <f>-Tabela1[[#This Row],[SALDO REEMBOLSAR]]</f>
        <v>8</v>
      </c>
      <c r="P332" s="123">
        <f>IF(Tabela1[[#This Row],[CARGA PARCIAL]]&lt;0,0,Tabela1[[#This Row],[CARGA PARCIAL]])</f>
        <v>0</v>
      </c>
      <c r="Q332" s="91">
        <f>IF(Tabela1[[#This Row],[CARGA PARCIAL]]&lt;0,0,Tabela1[[#This Row],[CARGA PARCIAL]])+Tabela1[[#This Row],[REEMBOLSO]]</f>
        <v>8</v>
      </c>
      <c r="R332" s="66" t="s">
        <v>21</v>
      </c>
      <c r="S332" s="70"/>
    </row>
    <row r="333" spans="2:19" x14ac:dyDescent="0.25">
      <c r="B333" s="83" t="s">
        <v>1161</v>
      </c>
      <c r="C333" s="64" t="s">
        <v>1834</v>
      </c>
      <c r="D333" s="64" t="s">
        <v>17</v>
      </c>
      <c r="E333" s="64" t="s">
        <v>1837</v>
      </c>
      <c r="F333" s="64">
        <v>11010310001</v>
      </c>
      <c r="G333" s="82" t="s">
        <v>25</v>
      </c>
      <c r="H333" s="64" t="s">
        <v>20</v>
      </c>
      <c r="I333" s="65">
        <v>-7.05</v>
      </c>
      <c r="J333" s="65">
        <v>0</v>
      </c>
      <c r="K333" s="65">
        <v>0</v>
      </c>
      <c r="L333" s="65">
        <v>7.05</v>
      </c>
      <c r="M333" s="66">
        <v>0</v>
      </c>
      <c r="N333" s="88">
        <f>Tabela1[[#This Row],[1QZ DE DEZ 26]]-Tabela1[[#This Row],[SALDO FINAL]]-Tabela1[[#This Row],[SALDO CARTAO]]-Tabela1[[#This Row],[ADIANTAMENTO]]</f>
        <v>-7.05</v>
      </c>
      <c r="O333" s="67">
        <f>-Tabela1[[#This Row],[SALDO REEMBOLSAR]]</f>
        <v>7.05</v>
      </c>
      <c r="P333" s="123">
        <f>IF(Tabela1[[#This Row],[CARGA PARCIAL]]&lt;0,0,Tabela1[[#This Row],[CARGA PARCIAL]])</f>
        <v>0</v>
      </c>
      <c r="Q333" s="91">
        <f>IF(Tabela1[[#This Row],[CARGA PARCIAL]]&lt;0,0,Tabela1[[#This Row],[CARGA PARCIAL]])+Tabela1[[#This Row],[REEMBOLSO]]</f>
        <v>7.05</v>
      </c>
      <c r="R333" s="66" t="s">
        <v>21</v>
      </c>
      <c r="S333" s="70"/>
    </row>
    <row r="334" spans="2:19" x14ac:dyDescent="0.25">
      <c r="B334" s="83" t="s">
        <v>101</v>
      </c>
      <c r="C334" s="64" t="s">
        <v>102</v>
      </c>
      <c r="D334" s="64" t="s">
        <v>17</v>
      </c>
      <c r="E334" s="64" t="s">
        <v>103</v>
      </c>
      <c r="F334" s="64">
        <v>11010360001</v>
      </c>
      <c r="G334" s="82" t="s">
        <v>19</v>
      </c>
      <c r="H334" s="64" t="s">
        <v>20</v>
      </c>
      <c r="I334" s="65">
        <v>0</v>
      </c>
      <c r="J334" s="65">
        <v>84.520000000000238</v>
      </c>
      <c r="K334" s="65">
        <v>250</v>
      </c>
      <c r="L334" s="65">
        <v>158.47999999999999</v>
      </c>
      <c r="M334" s="66">
        <v>0</v>
      </c>
      <c r="N334" s="88">
        <f>Tabela1[[#This Row],[1QZ DE DEZ 26]]-Tabela1[[#This Row],[SALDO FINAL]]-Tabela1[[#This Row],[SALDO CARTAO]]-Tabela1[[#This Row],[ADIANTAMENTO]]</f>
        <v>6.9999999999997726</v>
      </c>
      <c r="O334" s="67">
        <f>(-Tabela1[[#This Row],[SALDO REEMBOLSAR]]*$O$4)</f>
        <v>0</v>
      </c>
      <c r="P334" s="123">
        <f>IF(Tabela1[[#This Row],[CARGA PARCIAL]]&lt;0,0,Tabela1[[#This Row],[CARGA PARCIAL]])</f>
        <v>6.9999999999997726</v>
      </c>
      <c r="Q334" s="91">
        <f>IF(Tabela1[[#This Row],[CARGA PARCIAL]]&lt;0,0,Tabela1[[#This Row],[CARGA PARCIAL]])+Tabela1[[#This Row],[REEMBOLSO]]</f>
        <v>6.9999999999997726</v>
      </c>
      <c r="R334" s="66" t="s">
        <v>21</v>
      </c>
      <c r="S334" s="70"/>
    </row>
    <row r="335" spans="2:19" x14ac:dyDescent="0.25">
      <c r="B335" s="83" t="s">
        <v>409</v>
      </c>
      <c r="C335" s="64" t="s">
        <v>410</v>
      </c>
      <c r="D335" s="64" t="s">
        <v>17</v>
      </c>
      <c r="E335" s="64" t="s">
        <v>24</v>
      </c>
      <c r="F335" s="64">
        <v>11040160001</v>
      </c>
      <c r="G335" s="82" t="s">
        <v>25</v>
      </c>
      <c r="H335" s="64" t="s">
        <v>20</v>
      </c>
      <c r="I335" s="65">
        <v>0</v>
      </c>
      <c r="J335" s="65">
        <v>636.45000000000095</v>
      </c>
      <c r="K335" s="65">
        <v>1400</v>
      </c>
      <c r="L335" s="65">
        <v>756.55</v>
      </c>
      <c r="M335" s="66">
        <v>0</v>
      </c>
      <c r="N335" s="88">
        <f>Tabela1[[#This Row],[1QZ DE DEZ 26]]-Tabela1[[#This Row],[SALDO FINAL]]-Tabela1[[#This Row],[SALDO CARTAO]]-Tabela1[[#This Row],[ADIANTAMENTO]]</f>
        <v>6.9999999999990905</v>
      </c>
      <c r="O335" s="67">
        <f>(-Tabela1[[#This Row],[SALDO REEMBOLSAR]]*$O$4)</f>
        <v>0</v>
      </c>
      <c r="P335" s="123">
        <f>IF(Tabela1[[#This Row],[CARGA PARCIAL]]&lt;0,0,Tabela1[[#This Row],[CARGA PARCIAL]])</f>
        <v>6.9999999999990905</v>
      </c>
      <c r="Q335" s="91">
        <f>IF(Tabela1[[#This Row],[CARGA PARCIAL]]&lt;0,0,Tabela1[[#This Row],[CARGA PARCIAL]])+Tabela1[[#This Row],[REEMBOLSO]]</f>
        <v>6.9999999999990905</v>
      </c>
      <c r="R335" s="66" t="s">
        <v>21</v>
      </c>
      <c r="S335" s="70"/>
    </row>
    <row r="336" spans="2:19" x14ac:dyDescent="0.25">
      <c r="B336" s="83" t="s">
        <v>1311</v>
      </c>
      <c r="C336" s="64" t="s">
        <v>1878</v>
      </c>
      <c r="D336" s="64" t="s">
        <v>17</v>
      </c>
      <c r="E336" s="64" t="s">
        <v>468</v>
      </c>
      <c r="F336" s="64">
        <v>1104150001</v>
      </c>
      <c r="G336" s="82" t="s">
        <v>240</v>
      </c>
      <c r="H336" s="64" t="s">
        <v>33</v>
      </c>
      <c r="I336" s="65">
        <v>-6.73</v>
      </c>
      <c r="J336" s="65">
        <v>0</v>
      </c>
      <c r="K336" s="65">
        <v>0</v>
      </c>
      <c r="L336" s="65">
        <v>6.73</v>
      </c>
      <c r="M336" s="66">
        <v>0</v>
      </c>
      <c r="N336" s="88">
        <f>Tabela1[[#This Row],[1QZ DE DEZ 26]]-Tabela1[[#This Row],[SALDO FINAL]]-Tabela1[[#This Row],[SALDO CARTAO]]-Tabela1[[#This Row],[ADIANTAMENTO]]</f>
        <v>-6.73</v>
      </c>
      <c r="O336" s="67">
        <f>-Tabela1[[#This Row],[SALDO REEMBOLSAR]]</f>
        <v>6.73</v>
      </c>
      <c r="P336" s="123">
        <f>IF(Tabela1[[#This Row],[CARGA PARCIAL]]&lt;0,0,Tabela1[[#This Row],[CARGA PARCIAL]])</f>
        <v>0</v>
      </c>
      <c r="Q336" s="91">
        <f>IF(Tabela1[[#This Row],[CARGA PARCIAL]]&lt;0,0,Tabela1[[#This Row],[CARGA PARCIAL]])+Tabela1[[#This Row],[REEMBOLSO]]</f>
        <v>6.73</v>
      </c>
      <c r="R336" s="66" t="s">
        <v>21</v>
      </c>
      <c r="S336" s="70"/>
    </row>
    <row r="337" spans="2:19" x14ac:dyDescent="0.25">
      <c r="B337" s="83" t="s">
        <v>872</v>
      </c>
      <c r="C337" s="64" t="s">
        <v>1762</v>
      </c>
      <c r="D337" s="64" t="s">
        <v>17</v>
      </c>
      <c r="E337" s="64" t="s">
        <v>270</v>
      </c>
      <c r="F337" s="64">
        <v>11040140001</v>
      </c>
      <c r="G337" s="82" t="s">
        <v>240</v>
      </c>
      <c r="H337" s="64" t="s">
        <v>33</v>
      </c>
      <c r="I337" s="65">
        <v>-5.95</v>
      </c>
      <c r="J337" s="65">
        <v>0</v>
      </c>
      <c r="K337" s="65">
        <v>0</v>
      </c>
      <c r="L337" s="65">
        <v>5.95</v>
      </c>
      <c r="M337" s="66">
        <v>0</v>
      </c>
      <c r="N337" s="88">
        <f>Tabela1[[#This Row],[1QZ DE DEZ 26]]-Tabela1[[#This Row],[SALDO FINAL]]-Tabela1[[#This Row],[SALDO CARTAO]]-Tabela1[[#This Row],[ADIANTAMENTO]]</f>
        <v>-5.95</v>
      </c>
      <c r="O337" s="67">
        <f>-Tabela1[[#This Row],[SALDO REEMBOLSAR]]</f>
        <v>5.95</v>
      </c>
      <c r="P337" s="123">
        <f>IF(Tabela1[[#This Row],[CARGA PARCIAL]]&lt;0,0,Tabela1[[#This Row],[CARGA PARCIAL]])</f>
        <v>0</v>
      </c>
      <c r="Q337" s="91">
        <f>IF(Tabela1[[#This Row],[CARGA PARCIAL]]&lt;0,0,Tabela1[[#This Row],[CARGA PARCIAL]])+Tabela1[[#This Row],[REEMBOLSO]]</f>
        <v>5.95</v>
      </c>
      <c r="R337" s="66" t="s">
        <v>21</v>
      </c>
      <c r="S337" s="70"/>
    </row>
    <row r="338" spans="2:19" x14ac:dyDescent="0.25">
      <c r="B338" s="83" t="s">
        <v>1269</v>
      </c>
      <c r="C338" s="64" t="s">
        <v>1864</v>
      </c>
      <c r="D338" s="64" t="s">
        <v>17</v>
      </c>
      <c r="E338" s="64" t="s">
        <v>468</v>
      </c>
      <c r="F338" s="64">
        <v>1104150001</v>
      </c>
      <c r="G338" s="82" t="s">
        <v>240</v>
      </c>
      <c r="H338" s="64" t="s">
        <v>33</v>
      </c>
      <c r="I338" s="65">
        <v>-5.4</v>
      </c>
      <c r="J338" s="65">
        <v>0</v>
      </c>
      <c r="K338" s="65">
        <v>0</v>
      </c>
      <c r="L338" s="65">
        <v>5.4</v>
      </c>
      <c r="M338" s="66">
        <v>0</v>
      </c>
      <c r="N338" s="88">
        <f>Tabela1[[#This Row],[1QZ DE DEZ 26]]-Tabela1[[#This Row],[SALDO FINAL]]-Tabela1[[#This Row],[SALDO CARTAO]]-Tabela1[[#This Row],[ADIANTAMENTO]]</f>
        <v>-5.4</v>
      </c>
      <c r="O338" s="67">
        <f>-Tabela1[[#This Row],[SALDO REEMBOLSAR]]</f>
        <v>5.4</v>
      </c>
      <c r="P338" s="123">
        <f>IF(Tabela1[[#This Row],[CARGA PARCIAL]]&lt;0,0,Tabela1[[#This Row],[CARGA PARCIAL]])</f>
        <v>0</v>
      </c>
      <c r="Q338" s="91">
        <f>IF(Tabela1[[#This Row],[CARGA PARCIAL]]&lt;0,0,Tabela1[[#This Row],[CARGA PARCIAL]])+Tabela1[[#This Row],[REEMBOLSO]]</f>
        <v>5.4</v>
      </c>
      <c r="R338" s="66" t="s">
        <v>21</v>
      </c>
      <c r="S338" s="70"/>
    </row>
    <row r="339" spans="2:19" x14ac:dyDescent="0.25">
      <c r="B339" s="83" t="s">
        <v>1086</v>
      </c>
      <c r="C339" s="64" t="s">
        <v>1807</v>
      </c>
      <c r="D339" s="64" t="s">
        <v>17</v>
      </c>
      <c r="E339" s="64" t="s">
        <v>1811</v>
      </c>
      <c r="F339" s="64">
        <v>11030670001</v>
      </c>
      <c r="G339" s="82" t="s">
        <v>284</v>
      </c>
      <c r="H339" s="64" t="s">
        <v>20</v>
      </c>
      <c r="I339" s="65">
        <v>-4.33</v>
      </c>
      <c r="J339" s="65">
        <v>0</v>
      </c>
      <c r="K339" s="65">
        <v>0</v>
      </c>
      <c r="L339" s="65">
        <v>4.33</v>
      </c>
      <c r="M339" s="66">
        <v>0</v>
      </c>
      <c r="N339" s="88">
        <f>Tabela1[[#This Row],[1QZ DE DEZ 26]]-Tabela1[[#This Row],[SALDO FINAL]]-Tabela1[[#This Row],[SALDO CARTAO]]-Tabela1[[#This Row],[ADIANTAMENTO]]</f>
        <v>-4.33</v>
      </c>
      <c r="O339" s="67">
        <f>-Tabela1[[#This Row],[SALDO REEMBOLSAR]]</f>
        <v>4.33</v>
      </c>
      <c r="P339" s="123">
        <f>IF(Tabela1[[#This Row],[CARGA PARCIAL]]&lt;0,0,Tabela1[[#This Row],[CARGA PARCIAL]])</f>
        <v>0</v>
      </c>
      <c r="Q339" s="91">
        <f>IF(Tabela1[[#This Row],[CARGA PARCIAL]]&lt;0,0,Tabela1[[#This Row],[CARGA PARCIAL]])+Tabela1[[#This Row],[REEMBOLSO]]</f>
        <v>4.33</v>
      </c>
      <c r="R339" s="66" t="s">
        <v>21</v>
      </c>
      <c r="S339" s="70"/>
    </row>
    <row r="340" spans="2:19" x14ac:dyDescent="0.25">
      <c r="B340" s="83" t="s">
        <v>865</v>
      </c>
      <c r="C340" s="64" t="s">
        <v>1760</v>
      </c>
      <c r="D340" s="64" t="s">
        <v>17</v>
      </c>
      <c r="E340" s="64" t="s">
        <v>18</v>
      </c>
      <c r="F340" s="64">
        <v>11040170001</v>
      </c>
      <c r="G340" s="82" t="s">
        <v>19</v>
      </c>
      <c r="H340" s="64" t="s">
        <v>20</v>
      </c>
      <c r="I340" s="65">
        <v>-3</v>
      </c>
      <c r="J340" s="65">
        <v>0</v>
      </c>
      <c r="K340" s="65">
        <v>0</v>
      </c>
      <c r="L340" s="65">
        <v>3</v>
      </c>
      <c r="M340" s="66">
        <v>0</v>
      </c>
      <c r="N340" s="88">
        <f>Tabela1[[#This Row],[1QZ DE DEZ 26]]-Tabela1[[#This Row],[SALDO FINAL]]-Tabela1[[#This Row],[SALDO CARTAO]]-Tabela1[[#This Row],[ADIANTAMENTO]]</f>
        <v>-3</v>
      </c>
      <c r="O340" s="67">
        <f>-Tabela1[[#This Row],[SALDO REEMBOLSAR]]</f>
        <v>3</v>
      </c>
      <c r="P340" s="123">
        <f>IF(Tabela1[[#This Row],[CARGA PARCIAL]]&lt;0,0,Tabela1[[#This Row],[CARGA PARCIAL]])</f>
        <v>0</v>
      </c>
      <c r="Q340" s="91">
        <f>IF(Tabela1[[#This Row],[CARGA PARCIAL]]&lt;0,0,Tabela1[[#This Row],[CARGA PARCIAL]])+Tabela1[[#This Row],[REEMBOLSO]]</f>
        <v>3</v>
      </c>
      <c r="R340" s="66" t="s">
        <v>21</v>
      </c>
      <c r="S340" s="70"/>
    </row>
    <row r="341" spans="2:19" x14ac:dyDescent="0.25">
      <c r="B341" s="121" t="s">
        <v>1280</v>
      </c>
      <c r="C341" s="106" t="s">
        <v>1871</v>
      </c>
      <c r="D341" s="106" t="s">
        <v>17</v>
      </c>
      <c r="E341" s="119" t="s">
        <v>2001</v>
      </c>
      <c r="F341" s="64">
        <v>11062820001</v>
      </c>
      <c r="G341" s="107" t="s">
        <v>1993</v>
      </c>
      <c r="H341" s="106" t="s">
        <v>75</v>
      </c>
      <c r="I341" s="65">
        <v>-3</v>
      </c>
      <c r="J341" s="65">
        <v>0</v>
      </c>
      <c r="K341" s="65">
        <v>0</v>
      </c>
      <c r="L341" s="69">
        <v>3</v>
      </c>
      <c r="M341" s="70">
        <v>0</v>
      </c>
      <c r="N341" s="111">
        <f>Tabela1[[#This Row],[1QZ DE DEZ 26]]-Tabela1[[#This Row],[SALDO FINAL]]-Tabela1[[#This Row],[SALDO CARTAO]]-Tabela1[[#This Row],[ADIANTAMENTO]]</f>
        <v>-3</v>
      </c>
      <c r="O341" s="67">
        <f>-Tabela1[[#This Row],[SALDO REEMBOLSAR]]</f>
        <v>3</v>
      </c>
      <c r="P341" s="124">
        <f>IF(Tabela1[[#This Row],[CARGA PARCIAL]]&lt;0,0,Tabela1[[#This Row],[CARGA PARCIAL]])</f>
        <v>0</v>
      </c>
      <c r="Q341" s="92">
        <f>IF(Tabela1[[#This Row],[CARGA PARCIAL]]&lt;0,0,Tabela1[[#This Row],[CARGA PARCIAL]])+Tabela1[[#This Row],[REEMBOLSO]]</f>
        <v>3</v>
      </c>
      <c r="R341" s="66" t="s">
        <v>21</v>
      </c>
      <c r="S341" s="70"/>
    </row>
    <row r="342" spans="2:19" x14ac:dyDescent="0.25">
      <c r="B342" s="83" t="s">
        <v>1221</v>
      </c>
      <c r="C342" s="64" t="s">
        <v>1673</v>
      </c>
      <c r="D342" s="64" t="s">
        <v>17</v>
      </c>
      <c r="E342" s="64" t="s">
        <v>24</v>
      </c>
      <c r="F342" s="64">
        <v>11040160001</v>
      </c>
      <c r="G342" s="82" t="s">
        <v>25</v>
      </c>
      <c r="H342" s="64" t="s">
        <v>20</v>
      </c>
      <c r="I342" s="65">
        <v>-2.99</v>
      </c>
      <c r="J342" s="65">
        <v>0</v>
      </c>
      <c r="K342" s="65">
        <v>0</v>
      </c>
      <c r="L342" s="65">
        <v>2.99</v>
      </c>
      <c r="M342" s="66">
        <v>0</v>
      </c>
      <c r="N342" s="88">
        <f>Tabela1[[#This Row],[1QZ DE DEZ 26]]-Tabela1[[#This Row],[SALDO FINAL]]-Tabela1[[#This Row],[SALDO CARTAO]]-Tabela1[[#This Row],[ADIANTAMENTO]]</f>
        <v>-2.99</v>
      </c>
      <c r="O342" s="67">
        <f>-Tabela1[[#This Row],[SALDO REEMBOLSAR]]</f>
        <v>2.99</v>
      </c>
      <c r="P342" s="123">
        <f>IF(Tabela1[[#This Row],[CARGA PARCIAL]]&lt;0,0,Tabela1[[#This Row],[CARGA PARCIAL]])</f>
        <v>0</v>
      </c>
      <c r="Q342" s="91">
        <f>IF(Tabela1[[#This Row],[CARGA PARCIAL]]&lt;0,0,Tabela1[[#This Row],[CARGA PARCIAL]])+Tabela1[[#This Row],[REEMBOLSO]]</f>
        <v>2.99</v>
      </c>
      <c r="R342" s="66" t="s">
        <v>21</v>
      </c>
      <c r="S342" s="70"/>
    </row>
    <row r="343" spans="2:19" x14ac:dyDescent="0.25">
      <c r="B343" s="83" t="s">
        <v>1753</v>
      </c>
      <c r="C343" s="64" t="s">
        <v>1754</v>
      </c>
      <c r="D343" s="64" t="s">
        <v>17</v>
      </c>
      <c r="E343" s="64" t="s">
        <v>42</v>
      </c>
      <c r="F343" s="64">
        <v>11061490001</v>
      </c>
      <c r="G343" s="82" t="s">
        <v>19</v>
      </c>
      <c r="H343" s="64" t="s">
        <v>20</v>
      </c>
      <c r="I343" s="65">
        <v>-2.75</v>
      </c>
      <c r="J343" s="65">
        <v>0</v>
      </c>
      <c r="K343" s="65">
        <v>0</v>
      </c>
      <c r="L343" s="65">
        <v>2.75</v>
      </c>
      <c r="M343" s="66">
        <v>0</v>
      </c>
      <c r="N343" s="88">
        <f>Tabela1[[#This Row],[1QZ DE DEZ 26]]-Tabela1[[#This Row],[SALDO FINAL]]-Tabela1[[#This Row],[SALDO CARTAO]]-Tabela1[[#This Row],[ADIANTAMENTO]]</f>
        <v>-2.75</v>
      </c>
      <c r="O343" s="67">
        <f>-Tabela1[[#This Row],[SALDO REEMBOLSAR]]</f>
        <v>2.75</v>
      </c>
      <c r="P343" s="123">
        <f>IF(Tabela1[[#This Row],[CARGA PARCIAL]]&lt;0,0,Tabela1[[#This Row],[CARGA PARCIAL]])</f>
        <v>0</v>
      </c>
      <c r="Q343" s="91">
        <f>IF(Tabela1[[#This Row],[CARGA PARCIAL]]&lt;0,0,Tabela1[[#This Row],[CARGA PARCIAL]])+Tabela1[[#This Row],[REEMBOLSO]]</f>
        <v>2.75</v>
      </c>
      <c r="R343" s="66" t="s">
        <v>21</v>
      </c>
      <c r="S343" s="70"/>
    </row>
    <row r="344" spans="2:19" x14ac:dyDescent="0.25">
      <c r="B344" s="103" t="s">
        <v>715</v>
      </c>
      <c r="C344" s="102" t="s">
        <v>716</v>
      </c>
      <c r="D344" s="64" t="s">
        <v>17</v>
      </c>
      <c r="E344" s="64" t="s">
        <v>717</v>
      </c>
      <c r="F344" s="64">
        <v>11060720001</v>
      </c>
      <c r="G344" s="82" t="s">
        <v>244</v>
      </c>
      <c r="H344" s="64" t="s">
        <v>33</v>
      </c>
      <c r="I344" s="65">
        <v>-2.6000000000000227</v>
      </c>
      <c r="J344" s="65">
        <v>0</v>
      </c>
      <c r="K344" s="65">
        <v>500</v>
      </c>
      <c r="L344" s="65">
        <v>500</v>
      </c>
      <c r="M344" s="66">
        <v>0</v>
      </c>
      <c r="N344" s="88">
        <f>Tabela1[[#This Row],[1QZ DE DEZ 26]]-Tabela1[[#This Row],[SALDO FINAL]]-Tabela1[[#This Row],[SALDO CARTAO]]-Tabela1[[#This Row],[ADIANTAMENTO]]</f>
        <v>0</v>
      </c>
      <c r="O344" s="67">
        <f>-Tabela1[[#This Row],[SALDO REEMBOLSAR]]</f>
        <v>2.6000000000000227</v>
      </c>
      <c r="P344" s="115">
        <f>IF(Tabela1[[#This Row],[CARGA PARCIAL]]&lt;0,0,Tabela1[[#This Row],[CARGA PARCIAL]])</f>
        <v>0</v>
      </c>
      <c r="Q344" s="91">
        <f>IF(Tabela1[[#This Row],[CARGA PARCIAL]]&lt;0,0,Tabela1[[#This Row],[CARGA PARCIAL]])+Tabela1[[#This Row],[REEMBOLSO]]</f>
        <v>2.6000000000000227</v>
      </c>
      <c r="R344" s="66" t="s">
        <v>21</v>
      </c>
      <c r="S344" s="70"/>
    </row>
    <row r="345" spans="2:19" x14ac:dyDescent="0.25">
      <c r="B345" s="83" t="s">
        <v>925</v>
      </c>
      <c r="C345" s="64" t="s">
        <v>1774</v>
      </c>
      <c r="D345" s="64" t="s">
        <v>17</v>
      </c>
      <c r="E345" s="64" t="s">
        <v>18</v>
      </c>
      <c r="F345" s="64">
        <v>11040170001</v>
      </c>
      <c r="G345" s="82" t="s">
        <v>19</v>
      </c>
      <c r="H345" s="64" t="s">
        <v>20</v>
      </c>
      <c r="I345" s="65">
        <v>-2</v>
      </c>
      <c r="J345" s="65">
        <v>0</v>
      </c>
      <c r="K345" s="65">
        <v>0</v>
      </c>
      <c r="L345" s="65">
        <v>2</v>
      </c>
      <c r="M345" s="66">
        <v>0</v>
      </c>
      <c r="N345" s="88">
        <f>Tabela1[[#This Row],[1QZ DE DEZ 26]]-Tabela1[[#This Row],[SALDO FINAL]]-Tabela1[[#This Row],[SALDO CARTAO]]-Tabela1[[#This Row],[ADIANTAMENTO]]</f>
        <v>-2</v>
      </c>
      <c r="O345" s="67">
        <f>-Tabela1[[#This Row],[SALDO REEMBOLSAR]]</f>
        <v>2</v>
      </c>
      <c r="P345" s="123">
        <f>IF(Tabela1[[#This Row],[CARGA PARCIAL]]&lt;0,0,Tabela1[[#This Row],[CARGA PARCIAL]])</f>
        <v>0</v>
      </c>
      <c r="Q345" s="91">
        <f>IF(Tabela1[[#This Row],[CARGA PARCIAL]]&lt;0,0,Tabela1[[#This Row],[CARGA PARCIAL]])+Tabela1[[#This Row],[REEMBOLSO]]</f>
        <v>2</v>
      </c>
      <c r="R345" s="66" t="s">
        <v>21</v>
      </c>
      <c r="S345" s="70"/>
    </row>
    <row r="346" spans="2:19" x14ac:dyDescent="0.25">
      <c r="B346" s="83" t="s">
        <v>1247</v>
      </c>
      <c r="C346" s="64" t="s">
        <v>1860</v>
      </c>
      <c r="D346" s="64" t="s">
        <v>17</v>
      </c>
      <c r="E346" s="64" t="s">
        <v>468</v>
      </c>
      <c r="F346" s="64">
        <v>1104150001</v>
      </c>
      <c r="G346" s="82" t="s">
        <v>240</v>
      </c>
      <c r="H346" s="64" t="s">
        <v>33</v>
      </c>
      <c r="I346" s="65">
        <v>-1.4299999999998363</v>
      </c>
      <c r="J346" s="65">
        <v>0</v>
      </c>
      <c r="K346" s="65">
        <v>0</v>
      </c>
      <c r="L346" s="65">
        <v>0</v>
      </c>
      <c r="M346" s="66">
        <v>0</v>
      </c>
      <c r="N346" s="88">
        <f>Tabela1[[#This Row],[1QZ DE DEZ 26]]-Tabela1[[#This Row],[SALDO FINAL]]-Tabela1[[#This Row],[SALDO CARTAO]]-Tabela1[[#This Row],[ADIANTAMENTO]]</f>
        <v>0</v>
      </c>
      <c r="O346" s="67">
        <f>-Tabela1[[#This Row],[SALDO REEMBOLSAR]]</f>
        <v>1.4299999999998363</v>
      </c>
      <c r="P346" s="123">
        <f>IF(Tabela1[[#This Row],[CARGA PARCIAL]]&lt;0,0,Tabela1[[#This Row],[CARGA PARCIAL]])</f>
        <v>0</v>
      </c>
      <c r="Q346" s="91">
        <f>IF(Tabela1[[#This Row],[CARGA PARCIAL]]&lt;0,0,Tabela1[[#This Row],[CARGA PARCIAL]])+Tabela1[[#This Row],[REEMBOLSO]]</f>
        <v>1.4299999999998363</v>
      </c>
      <c r="R346" s="66" t="s">
        <v>21</v>
      </c>
      <c r="S346" s="70"/>
    </row>
    <row r="347" spans="2:19" x14ac:dyDescent="0.25">
      <c r="B347" s="83" t="s">
        <v>1064</v>
      </c>
      <c r="C347" s="64" t="s">
        <v>1803</v>
      </c>
      <c r="D347" s="64" t="s">
        <v>17</v>
      </c>
      <c r="E347" s="64" t="s">
        <v>468</v>
      </c>
      <c r="F347" s="64">
        <v>1104150001</v>
      </c>
      <c r="G347" s="82" t="s">
        <v>240</v>
      </c>
      <c r="H347" s="64" t="s">
        <v>33</v>
      </c>
      <c r="I347" s="65">
        <v>-0.85</v>
      </c>
      <c r="J347" s="65">
        <v>0</v>
      </c>
      <c r="K347" s="65">
        <v>0</v>
      </c>
      <c r="L347" s="65">
        <v>0</v>
      </c>
      <c r="M347" s="66">
        <v>0</v>
      </c>
      <c r="N347" s="88">
        <f>Tabela1[[#This Row],[1QZ DE DEZ 26]]-Tabela1[[#This Row],[SALDO FINAL]]-Tabela1[[#This Row],[SALDO CARTAO]]-Tabela1[[#This Row],[ADIANTAMENTO]]</f>
        <v>0</v>
      </c>
      <c r="O347" s="67">
        <f>-Tabela1[[#This Row],[SALDO REEMBOLSAR]]</f>
        <v>0.85</v>
      </c>
      <c r="P347" s="123">
        <f>IF(Tabela1[[#This Row],[CARGA PARCIAL]]&lt;0,0,Tabela1[[#This Row],[CARGA PARCIAL]])</f>
        <v>0</v>
      </c>
      <c r="Q347" s="91">
        <f>IF(Tabela1[[#This Row],[CARGA PARCIAL]]&lt;0,0,Tabela1[[#This Row],[CARGA PARCIAL]])+Tabela1[[#This Row],[REEMBOLSO]]</f>
        <v>0.85</v>
      </c>
      <c r="R347" s="66" t="s">
        <v>21</v>
      </c>
      <c r="S347" s="70"/>
    </row>
    <row r="348" spans="2:19" x14ac:dyDescent="0.25">
      <c r="B348" s="83" t="s">
        <v>1342</v>
      </c>
      <c r="C348" s="64" t="s">
        <v>1888</v>
      </c>
      <c r="D348" s="64" t="s">
        <v>17</v>
      </c>
      <c r="E348" s="64" t="s">
        <v>24</v>
      </c>
      <c r="F348" s="64">
        <v>11040160001</v>
      </c>
      <c r="G348" s="82" t="s">
        <v>25</v>
      </c>
      <c r="H348" s="64" t="s">
        <v>20</v>
      </c>
      <c r="I348" s="65">
        <v>-0.85</v>
      </c>
      <c r="J348" s="65">
        <v>0</v>
      </c>
      <c r="K348" s="65">
        <v>0</v>
      </c>
      <c r="L348" s="65">
        <v>0.85</v>
      </c>
      <c r="M348" s="66">
        <v>0</v>
      </c>
      <c r="N348" s="88">
        <f>Tabela1[[#This Row],[1QZ DE DEZ 26]]-Tabela1[[#This Row],[SALDO FINAL]]-Tabela1[[#This Row],[SALDO CARTAO]]-Tabela1[[#This Row],[ADIANTAMENTO]]</f>
        <v>-0.85</v>
      </c>
      <c r="O348" s="67">
        <f>-Tabela1[[#This Row],[SALDO REEMBOLSAR]]</f>
        <v>0.85</v>
      </c>
      <c r="P348" s="123">
        <f>IF(Tabela1[[#This Row],[CARGA PARCIAL]]&lt;0,0,Tabela1[[#This Row],[CARGA PARCIAL]])</f>
        <v>0</v>
      </c>
      <c r="Q348" s="91">
        <f>IF(Tabela1[[#This Row],[CARGA PARCIAL]]&lt;0,0,Tabela1[[#This Row],[CARGA PARCIAL]])+Tabela1[[#This Row],[REEMBOLSO]]</f>
        <v>0.85</v>
      </c>
      <c r="R348" s="66" t="s">
        <v>21</v>
      </c>
      <c r="S348" s="70"/>
    </row>
    <row r="349" spans="2:19" x14ac:dyDescent="0.25">
      <c r="B349" s="103" t="s">
        <v>1355</v>
      </c>
      <c r="C349" s="102" t="s">
        <v>1891</v>
      </c>
      <c r="D349" s="64" t="s">
        <v>17</v>
      </c>
      <c r="E349" s="64" t="s">
        <v>299</v>
      </c>
      <c r="F349" s="64">
        <v>11062050001</v>
      </c>
      <c r="G349" s="82" t="s">
        <v>240</v>
      </c>
      <c r="H349" s="64" t="s">
        <v>33</v>
      </c>
      <c r="I349" s="65">
        <v>-0.85</v>
      </c>
      <c r="J349" s="65">
        <v>0</v>
      </c>
      <c r="K349" s="65">
        <v>0</v>
      </c>
      <c r="L349" s="65">
        <v>0.85</v>
      </c>
      <c r="M349" s="66">
        <v>0</v>
      </c>
      <c r="N349" s="88">
        <f>Tabela1[[#This Row],[1QZ DE DEZ 26]]-Tabela1[[#This Row],[SALDO FINAL]]-Tabela1[[#This Row],[SALDO CARTAO]]-Tabela1[[#This Row],[ADIANTAMENTO]]</f>
        <v>-0.85</v>
      </c>
      <c r="O349" s="67">
        <f>-Tabela1[[#This Row],[SALDO REEMBOLSAR]]</f>
        <v>0.85</v>
      </c>
      <c r="P349" s="115">
        <f>IF(Tabela1[[#This Row],[CARGA PARCIAL]]&lt;0,0,Tabela1[[#This Row],[CARGA PARCIAL]])</f>
        <v>0</v>
      </c>
      <c r="Q349" s="91">
        <f>IF(Tabela1[[#This Row],[CARGA PARCIAL]]&lt;0,0,Tabela1[[#This Row],[CARGA PARCIAL]])+Tabela1[[#This Row],[REEMBOLSO]]</f>
        <v>0.85</v>
      </c>
      <c r="R349" s="66" t="s">
        <v>21</v>
      </c>
      <c r="S349" s="70"/>
    </row>
    <row r="350" spans="2:19" x14ac:dyDescent="0.25">
      <c r="B350" s="83" t="s">
        <v>950</v>
      </c>
      <c r="C350" s="64" t="s">
        <v>1779</v>
      </c>
      <c r="D350" s="64" t="s">
        <v>17</v>
      </c>
      <c r="E350" s="64" t="s">
        <v>488</v>
      </c>
      <c r="F350" s="64">
        <v>11061820001</v>
      </c>
      <c r="G350" s="82" t="s">
        <v>236</v>
      </c>
      <c r="H350" s="64" t="s">
        <v>33</v>
      </c>
      <c r="I350" s="65">
        <v>-0.42</v>
      </c>
      <c r="J350" s="65">
        <v>0</v>
      </c>
      <c r="K350" s="65">
        <v>0</v>
      </c>
      <c r="L350" s="65">
        <v>0.42</v>
      </c>
      <c r="M350" s="66">
        <v>0</v>
      </c>
      <c r="N350" s="88">
        <f>Tabela1[[#This Row],[1QZ DE DEZ 26]]-Tabela1[[#This Row],[SALDO FINAL]]-Tabela1[[#This Row],[SALDO CARTAO]]-Tabela1[[#This Row],[ADIANTAMENTO]]</f>
        <v>-0.42</v>
      </c>
      <c r="O350" s="67">
        <f>-Tabela1[[#This Row],[SALDO REEMBOLSAR]]</f>
        <v>0.42</v>
      </c>
      <c r="P350" s="123">
        <f>IF(Tabela1[[#This Row],[CARGA PARCIAL]]&lt;0,0,Tabela1[[#This Row],[CARGA PARCIAL]])</f>
        <v>0</v>
      </c>
      <c r="Q350" s="91">
        <f>IF(Tabela1[[#This Row],[CARGA PARCIAL]]&lt;0,0,Tabela1[[#This Row],[CARGA PARCIAL]])+Tabela1[[#This Row],[REEMBOLSO]]</f>
        <v>0.42</v>
      </c>
      <c r="R350" s="66" t="s">
        <v>21</v>
      </c>
      <c r="S350" s="70"/>
    </row>
    <row r="351" spans="2:19" x14ac:dyDescent="0.25">
      <c r="B351" s="83" t="s">
        <v>445</v>
      </c>
      <c r="C351" s="64" t="s">
        <v>446</v>
      </c>
      <c r="D351" s="64" t="s">
        <v>17</v>
      </c>
      <c r="E351" s="64" t="s">
        <v>290</v>
      </c>
      <c r="F351" s="64">
        <v>11010370001</v>
      </c>
      <c r="G351" s="82" t="s">
        <v>244</v>
      </c>
      <c r="H351" s="64" t="s">
        <v>33</v>
      </c>
      <c r="I351" s="65">
        <v>0</v>
      </c>
      <c r="J351" s="65">
        <v>699.71999999999957</v>
      </c>
      <c r="K351" s="65">
        <v>700</v>
      </c>
      <c r="L351" s="65">
        <v>0.28000000000000003</v>
      </c>
      <c r="M351" s="66">
        <v>0</v>
      </c>
      <c r="N351" s="88">
        <f>Tabela1[[#This Row],[1QZ DE DEZ 26]]-Tabela1[[#This Row],[SALDO FINAL]]-Tabela1[[#This Row],[SALDO CARTAO]]-Tabela1[[#This Row],[ADIANTAMENTO]]</f>
        <v>4.2743586448068527E-13</v>
      </c>
      <c r="O351" s="67">
        <f>(-Tabela1[[#This Row],[SALDO REEMBOLSAR]]*$O$4)</f>
        <v>0</v>
      </c>
      <c r="P351" s="123">
        <f>IF(Tabela1[[#This Row],[CARGA PARCIAL]]&lt;0,0,Tabela1[[#This Row],[CARGA PARCIAL]])</f>
        <v>4.2743586448068527E-13</v>
      </c>
      <c r="Q351" s="91">
        <f>IF(Tabela1[[#This Row],[CARGA PARCIAL]]&lt;0,0,Tabela1[[#This Row],[CARGA PARCIAL]])+Tabela1[[#This Row],[REEMBOLSO]]</f>
        <v>4.2743586448068527E-13</v>
      </c>
      <c r="R351" s="66" t="s">
        <v>21</v>
      </c>
      <c r="S351" s="70"/>
    </row>
    <row r="352" spans="2:19" x14ac:dyDescent="0.25">
      <c r="B352" s="83" t="s">
        <v>493</v>
      </c>
      <c r="C352" s="64" t="s">
        <v>494</v>
      </c>
      <c r="D352" s="64" t="s">
        <v>17</v>
      </c>
      <c r="E352" s="64" t="s">
        <v>495</v>
      </c>
      <c r="F352" s="64">
        <v>11010190001</v>
      </c>
      <c r="G352" s="82" t="s">
        <v>25</v>
      </c>
      <c r="H352" s="64" t="s">
        <v>20</v>
      </c>
      <c r="I352" s="65">
        <v>0</v>
      </c>
      <c r="J352" s="65">
        <v>426.4</v>
      </c>
      <c r="K352" s="65">
        <v>500</v>
      </c>
      <c r="L352" s="65">
        <v>73.599999999999994</v>
      </c>
      <c r="M352" s="66">
        <v>0</v>
      </c>
      <c r="N352" s="88">
        <f>Tabela1[[#This Row],[1QZ DE DEZ 26]]-Tabela1[[#This Row],[SALDO FINAL]]-Tabela1[[#This Row],[SALDO CARTAO]]-Tabela1[[#This Row],[ADIANTAMENTO]]</f>
        <v>2.8421709430404007E-14</v>
      </c>
      <c r="O352" s="67">
        <f>(-Tabela1[[#This Row],[SALDO REEMBOLSAR]]*$O$4)</f>
        <v>0</v>
      </c>
      <c r="P352" s="123">
        <f>IF(Tabela1[[#This Row],[CARGA PARCIAL]]&lt;0,0,Tabela1[[#This Row],[CARGA PARCIAL]])</f>
        <v>2.8421709430404007E-14</v>
      </c>
      <c r="Q352" s="91">
        <f>IF(Tabela1[[#This Row],[CARGA PARCIAL]]&lt;0,0,Tabela1[[#This Row],[CARGA PARCIAL]])+Tabela1[[#This Row],[REEMBOLSO]]</f>
        <v>2.8421709430404007E-14</v>
      </c>
      <c r="R352" s="66" t="s">
        <v>21</v>
      </c>
      <c r="S352" s="70"/>
    </row>
    <row r="353" spans="2:19" x14ac:dyDescent="0.25">
      <c r="B353" s="83" t="s">
        <v>1835</v>
      </c>
      <c r="C353" s="64" t="s">
        <v>1836</v>
      </c>
      <c r="D353" s="64" t="s">
        <v>17</v>
      </c>
      <c r="E353" s="64" t="s">
        <v>213</v>
      </c>
      <c r="F353" s="64">
        <v>1201044</v>
      </c>
      <c r="G353" s="82" t="s">
        <v>19</v>
      </c>
      <c r="H353" s="64" t="s">
        <v>20</v>
      </c>
      <c r="I353" s="65">
        <v>-4016</v>
      </c>
      <c r="J353" s="65">
        <v>0</v>
      </c>
      <c r="K353" s="65">
        <v>500</v>
      </c>
      <c r="L353" s="65">
        <v>4016</v>
      </c>
      <c r="M353" s="66">
        <v>0</v>
      </c>
      <c r="N353" s="88">
        <f>Tabela1[[#This Row],[1QZ DE DEZ 26]]-Tabela1[[#This Row],[SALDO FINAL]]-Tabela1[[#This Row],[SALDO CARTAO]]-Tabela1[[#This Row],[ADIANTAMENTO]]</f>
        <v>-3516</v>
      </c>
      <c r="O353" s="67">
        <v>0</v>
      </c>
      <c r="P353" s="123">
        <f>IF(Tabela1[[#This Row],[CARGA PARCIAL]]&lt;0,0,Tabela1[[#This Row],[CARGA PARCIAL]])</f>
        <v>0</v>
      </c>
      <c r="Q353" s="91">
        <f>IF(Tabela1[[#This Row],[CARGA PARCIAL]]&lt;0,0,Tabela1[[#This Row],[CARGA PARCIAL]])+Tabela1[[#This Row],[REEMBOLSO]]</f>
        <v>0</v>
      </c>
      <c r="R353" s="66" t="s">
        <v>21</v>
      </c>
      <c r="S353" s="70"/>
    </row>
    <row r="354" spans="2:19" x14ac:dyDescent="0.25">
      <c r="B354" s="83" t="s">
        <v>404</v>
      </c>
      <c r="C354" s="64" t="s">
        <v>405</v>
      </c>
      <c r="D354" s="64" t="s">
        <v>17</v>
      </c>
      <c r="E354" s="64" t="s">
        <v>406</v>
      </c>
      <c r="F354" s="64">
        <v>11080460001</v>
      </c>
      <c r="G354" s="82" t="s">
        <v>19</v>
      </c>
      <c r="H354" s="64" t="s">
        <v>20</v>
      </c>
      <c r="I354" s="65">
        <v>-3787.380000000001</v>
      </c>
      <c r="J354" s="65">
        <v>0</v>
      </c>
      <c r="K354" s="65">
        <v>500</v>
      </c>
      <c r="L354" s="65">
        <v>4000</v>
      </c>
      <c r="M354" s="66">
        <v>0</v>
      </c>
      <c r="N354" s="88">
        <f>Tabela1[[#This Row],[1QZ DE DEZ 26]]-Tabela1[[#This Row],[SALDO FINAL]]-Tabela1[[#This Row],[SALDO CARTAO]]-Tabela1[[#This Row],[ADIANTAMENTO]]</f>
        <v>-3500</v>
      </c>
      <c r="O354" s="67">
        <v>0</v>
      </c>
      <c r="P354" s="123">
        <f>IF(Tabela1[[#This Row],[CARGA PARCIAL]]&lt;0,0,Tabela1[[#This Row],[CARGA PARCIAL]])</f>
        <v>0</v>
      </c>
      <c r="Q354" s="91">
        <f>IF(Tabela1[[#This Row],[CARGA PARCIAL]]&lt;0,0,Tabela1[[#This Row],[CARGA PARCIAL]])+Tabela1[[#This Row],[REEMBOLSO]]</f>
        <v>0</v>
      </c>
      <c r="R354" s="66" t="s">
        <v>21</v>
      </c>
      <c r="S354" s="70"/>
    </row>
    <row r="355" spans="2:19" x14ac:dyDescent="0.25">
      <c r="B355" s="103" t="s">
        <v>747</v>
      </c>
      <c r="C355" s="102" t="s">
        <v>748</v>
      </c>
      <c r="D355" s="64" t="s">
        <v>17</v>
      </c>
      <c r="E355" s="64" t="s">
        <v>680</v>
      </c>
      <c r="F355" s="64">
        <v>11030700001</v>
      </c>
      <c r="G355" s="82" t="s">
        <v>244</v>
      </c>
      <c r="H355" s="64" t="s">
        <v>33</v>
      </c>
      <c r="I355" s="65">
        <v>0</v>
      </c>
      <c r="J355" s="65">
        <v>0</v>
      </c>
      <c r="K355" s="65">
        <v>1200</v>
      </c>
      <c r="L355" s="65">
        <v>1200</v>
      </c>
      <c r="M355" s="66">
        <v>0</v>
      </c>
      <c r="N355" s="88">
        <f>Tabela1[[#This Row],[1QZ DE DEZ 26]]-Tabela1[[#This Row],[SALDO FINAL]]-Tabela1[[#This Row],[SALDO CARTAO]]-Tabela1[[#This Row],[ADIANTAMENTO]]</f>
        <v>0</v>
      </c>
      <c r="O355" s="67">
        <f>(-Tabela1[[#This Row],[SALDO REEMBOLSAR]]*$O$4)</f>
        <v>0</v>
      </c>
      <c r="P355" s="115">
        <f>IF(Tabela1[[#This Row],[CARGA PARCIAL]]&lt;0,0,Tabela1[[#This Row],[CARGA PARCIAL]])</f>
        <v>0</v>
      </c>
      <c r="Q355" s="91">
        <f>IF(Tabela1[[#This Row],[CARGA PARCIAL]]&lt;0,0,Tabela1[[#This Row],[CARGA PARCIAL]])+Tabela1[[#This Row],[REEMBOLSO]]</f>
        <v>0</v>
      </c>
      <c r="R355" s="66" t="s">
        <v>21</v>
      </c>
      <c r="S355" s="70"/>
    </row>
    <row r="356" spans="2:19" x14ac:dyDescent="0.25">
      <c r="B356" s="83" t="s">
        <v>82</v>
      </c>
      <c r="C356" s="64" t="s">
        <v>83</v>
      </c>
      <c r="D356" s="64" t="s">
        <v>17</v>
      </c>
      <c r="E356" s="64" t="s">
        <v>84</v>
      </c>
      <c r="F356" s="64">
        <v>11062760001</v>
      </c>
      <c r="G356" s="82" t="s">
        <v>25</v>
      </c>
      <c r="H356" s="64" t="s">
        <v>20</v>
      </c>
      <c r="I356" s="65">
        <v>0</v>
      </c>
      <c r="J356" s="65">
        <v>750</v>
      </c>
      <c r="K356" s="65">
        <v>750</v>
      </c>
      <c r="L356" s="65">
        <v>0</v>
      </c>
      <c r="M356" s="66">
        <v>0</v>
      </c>
      <c r="N356" s="88">
        <f>Tabela1[[#This Row],[1QZ DE DEZ 26]]-Tabela1[[#This Row],[SALDO FINAL]]-Tabela1[[#This Row],[SALDO CARTAO]]-Tabela1[[#This Row],[ADIANTAMENTO]]</f>
        <v>0</v>
      </c>
      <c r="O356" s="67">
        <f>(-Tabela1[[#This Row],[SALDO REEMBOLSAR]]*$O$4)</f>
        <v>0</v>
      </c>
      <c r="P356" s="123">
        <f>IF(Tabela1[[#This Row],[CARGA PARCIAL]]&lt;0,0,Tabela1[[#This Row],[CARGA PARCIAL]])</f>
        <v>0</v>
      </c>
      <c r="Q356" s="91">
        <f>IF(Tabela1[[#This Row],[CARGA PARCIAL]]&lt;0,0,Tabela1[[#This Row],[CARGA PARCIAL]])+Tabela1[[#This Row],[REEMBOLSO]]</f>
        <v>0</v>
      </c>
      <c r="R356" s="66" t="s">
        <v>21</v>
      </c>
      <c r="S356" s="70"/>
    </row>
    <row r="357" spans="2:19" x14ac:dyDescent="0.25">
      <c r="B357" s="103" t="s">
        <v>686</v>
      </c>
      <c r="C357" s="102" t="s">
        <v>687</v>
      </c>
      <c r="D357" s="64" t="s">
        <v>17</v>
      </c>
      <c r="E357" s="64" t="s">
        <v>688</v>
      </c>
      <c r="F357" s="64">
        <v>11010380001</v>
      </c>
      <c r="G357" s="82" t="s">
        <v>32</v>
      </c>
      <c r="H357" s="64" t="s">
        <v>33</v>
      </c>
      <c r="I357" s="65">
        <v>0</v>
      </c>
      <c r="J357" s="65">
        <v>150</v>
      </c>
      <c r="K357" s="65">
        <v>150</v>
      </c>
      <c r="L357" s="65">
        <v>0</v>
      </c>
      <c r="M357" s="66">
        <v>0</v>
      </c>
      <c r="N357" s="88">
        <f>Tabela1[[#This Row],[1QZ DE DEZ 26]]-Tabela1[[#This Row],[SALDO FINAL]]-Tabela1[[#This Row],[SALDO CARTAO]]-Tabela1[[#This Row],[ADIANTAMENTO]]</f>
        <v>0</v>
      </c>
      <c r="O357" s="67">
        <f>(-Tabela1[[#This Row],[SALDO REEMBOLSAR]]*$O$4)</f>
        <v>0</v>
      </c>
      <c r="P357" s="115">
        <f>IF(Tabela1[[#This Row],[CARGA PARCIAL]]&lt;0,0,Tabela1[[#This Row],[CARGA PARCIAL]])</f>
        <v>0</v>
      </c>
      <c r="Q357" s="91">
        <f>IF(Tabela1[[#This Row],[CARGA PARCIAL]]&lt;0,0,Tabela1[[#This Row],[CARGA PARCIAL]])+Tabela1[[#This Row],[REEMBOLSO]]</f>
        <v>0</v>
      </c>
      <c r="R357" s="66" t="s">
        <v>21</v>
      </c>
      <c r="S357" s="70"/>
    </row>
    <row r="358" spans="2:19" x14ac:dyDescent="0.25">
      <c r="B358" s="83" t="s">
        <v>266</v>
      </c>
      <c r="C358" s="64" t="s">
        <v>267</v>
      </c>
      <c r="D358" s="64" t="s">
        <v>17</v>
      </c>
      <c r="E358" s="64" t="s">
        <v>239</v>
      </c>
      <c r="F358" s="64">
        <v>11040130001</v>
      </c>
      <c r="G358" s="82" t="s">
        <v>240</v>
      </c>
      <c r="H358" s="64" t="s">
        <v>33</v>
      </c>
      <c r="I358" s="65">
        <v>0</v>
      </c>
      <c r="J358" s="65">
        <v>80</v>
      </c>
      <c r="K358" s="65">
        <v>80</v>
      </c>
      <c r="L358" s="65">
        <v>0</v>
      </c>
      <c r="M358" s="66">
        <v>0</v>
      </c>
      <c r="N358" s="88">
        <f>Tabela1[[#This Row],[1QZ DE DEZ 26]]-Tabela1[[#This Row],[SALDO FINAL]]-Tabela1[[#This Row],[SALDO CARTAO]]-Tabela1[[#This Row],[ADIANTAMENTO]]</f>
        <v>0</v>
      </c>
      <c r="O358" s="67">
        <f>(-Tabela1[[#This Row],[SALDO REEMBOLSAR]]*$O$4)</f>
        <v>0</v>
      </c>
      <c r="P358" s="123">
        <f>IF(Tabela1[[#This Row],[CARGA PARCIAL]]&lt;0,0,Tabela1[[#This Row],[CARGA PARCIAL]])</f>
        <v>0</v>
      </c>
      <c r="Q358" s="91">
        <f>IF(Tabela1[[#This Row],[CARGA PARCIAL]]&lt;0,0,Tabela1[[#This Row],[CARGA PARCIAL]])+Tabela1[[#This Row],[REEMBOLSO]]</f>
        <v>0</v>
      </c>
      <c r="R358" s="66" t="s">
        <v>21</v>
      </c>
      <c r="S358" s="70"/>
    </row>
    <row r="359" spans="2:19" x14ac:dyDescent="0.25">
      <c r="B359" s="83" t="s">
        <v>613</v>
      </c>
      <c r="C359" s="64" t="s">
        <v>614</v>
      </c>
      <c r="D359" s="64" t="s">
        <v>17</v>
      </c>
      <c r="E359" s="64" t="s">
        <v>270</v>
      </c>
      <c r="F359" s="64">
        <v>11040140001</v>
      </c>
      <c r="G359" s="82" t="s">
        <v>240</v>
      </c>
      <c r="H359" s="64" t="s">
        <v>33</v>
      </c>
      <c r="I359" s="65">
        <v>0</v>
      </c>
      <c r="J359" s="65">
        <v>33.78</v>
      </c>
      <c r="K359" s="65">
        <v>50</v>
      </c>
      <c r="L359" s="65">
        <v>16.22</v>
      </c>
      <c r="M359" s="66">
        <v>0</v>
      </c>
      <c r="N359" s="88">
        <f>Tabela1[[#This Row],[1QZ DE DEZ 26]]-Tabela1[[#This Row],[SALDO FINAL]]-Tabela1[[#This Row],[SALDO CARTAO]]-Tabela1[[#This Row],[ADIANTAMENTO]]</f>
        <v>0</v>
      </c>
      <c r="O359" s="67">
        <f>(-Tabela1[[#This Row],[SALDO REEMBOLSAR]]*$O$4)</f>
        <v>0</v>
      </c>
      <c r="P359" s="123">
        <f>IF(Tabela1[[#This Row],[CARGA PARCIAL]]&lt;0,0,Tabela1[[#This Row],[CARGA PARCIAL]])</f>
        <v>0</v>
      </c>
      <c r="Q359" s="91">
        <f>IF(Tabela1[[#This Row],[CARGA PARCIAL]]&lt;0,0,Tabela1[[#This Row],[CARGA PARCIAL]])+Tabela1[[#This Row],[REEMBOLSO]]</f>
        <v>0</v>
      </c>
      <c r="R359" s="66" t="s">
        <v>21</v>
      </c>
      <c r="S359" s="70"/>
    </row>
    <row r="360" spans="2:19" x14ac:dyDescent="0.25">
      <c r="B360" s="83" t="s">
        <v>1317</v>
      </c>
      <c r="C360" s="64" t="s">
        <v>1880</v>
      </c>
      <c r="D360" s="64" t="s">
        <v>17</v>
      </c>
      <c r="E360" s="64" t="s">
        <v>488</v>
      </c>
      <c r="F360" s="64">
        <v>11061820001</v>
      </c>
      <c r="G360" s="82" t="s">
        <v>236</v>
      </c>
      <c r="H360" s="64" t="s">
        <v>33</v>
      </c>
      <c r="I360" s="65">
        <v>0</v>
      </c>
      <c r="J360" s="65">
        <v>0</v>
      </c>
      <c r="K360" s="65">
        <v>0</v>
      </c>
      <c r="L360" s="65">
        <v>0</v>
      </c>
      <c r="M360" s="66">
        <v>0</v>
      </c>
      <c r="N360" s="88">
        <f>Tabela1[[#This Row],[1QZ DE DEZ 26]]-Tabela1[[#This Row],[SALDO FINAL]]-Tabela1[[#This Row],[SALDO CARTAO]]-Tabela1[[#This Row],[ADIANTAMENTO]]</f>
        <v>0</v>
      </c>
      <c r="O360" s="67">
        <f>(-Tabela1[[#This Row],[SALDO REEMBOLSAR]]*$O$4)</f>
        <v>0</v>
      </c>
      <c r="P360" s="123">
        <f>IF(Tabela1[[#This Row],[CARGA PARCIAL]]&lt;0,0,Tabela1[[#This Row],[CARGA PARCIAL]])</f>
        <v>0</v>
      </c>
      <c r="Q360" s="91">
        <f>IF(Tabela1[[#This Row],[CARGA PARCIAL]]&lt;0,0,Tabela1[[#This Row],[CARGA PARCIAL]])+Tabela1[[#This Row],[REEMBOLSO]]</f>
        <v>0</v>
      </c>
      <c r="R360" s="66" t="s">
        <v>21</v>
      </c>
      <c r="S360" s="70"/>
    </row>
    <row r="361" spans="2:19" x14ac:dyDescent="0.25">
      <c r="B361" s="121" t="s">
        <v>1202</v>
      </c>
      <c r="C361" s="106" t="s">
        <v>1850</v>
      </c>
      <c r="D361" s="106" t="s">
        <v>17</v>
      </c>
      <c r="E361" s="106" t="s">
        <v>468</v>
      </c>
      <c r="F361" s="64">
        <v>1104150001</v>
      </c>
      <c r="G361" s="107" t="s">
        <v>240</v>
      </c>
      <c r="H361" s="106" t="s">
        <v>33</v>
      </c>
      <c r="I361" s="65">
        <v>0</v>
      </c>
      <c r="J361" s="65">
        <v>0</v>
      </c>
      <c r="K361" s="65">
        <v>0</v>
      </c>
      <c r="L361" s="69">
        <v>0</v>
      </c>
      <c r="M361" s="70">
        <v>0</v>
      </c>
      <c r="N361" s="111">
        <f>Tabela1[[#This Row],[1QZ DE DEZ 26]]-Tabela1[[#This Row],[SALDO FINAL]]-Tabela1[[#This Row],[SALDO CARTAO]]-Tabela1[[#This Row],[ADIANTAMENTO]]</f>
        <v>0</v>
      </c>
      <c r="O361" s="67">
        <f>(-Tabela1[[#This Row],[SALDO REEMBOLSAR]]*$O$4)</f>
        <v>0</v>
      </c>
      <c r="P361" s="124">
        <f>IF(Tabela1[[#This Row],[CARGA PARCIAL]]&lt;0,0,Tabela1[[#This Row],[CARGA PARCIAL]])</f>
        <v>0</v>
      </c>
      <c r="Q361" s="92">
        <f>IF(Tabela1[[#This Row],[CARGA PARCIAL]]&lt;0,0,Tabela1[[#This Row],[CARGA PARCIAL]])+Tabela1[[#This Row],[REEMBOLSO]]</f>
        <v>0</v>
      </c>
      <c r="R361" s="66" t="s">
        <v>21</v>
      </c>
      <c r="S361" s="70"/>
    </row>
    <row r="362" spans="2:19" x14ac:dyDescent="0.25">
      <c r="B362" s="103" t="s">
        <v>1378</v>
      </c>
      <c r="C362" s="102" t="s">
        <v>1899</v>
      </c>
      <c r="D362" s="64" t="s">
        <v>17</v>
      </c>
      <c r="E362" s="64" t="s">
        <v>18</v>
      </c>
      <c r="F362" s="64">
        <v>11040170001</v>
      </c>
      <c r="G362" s="82" t="s">
        <v>19</v>
      </c>
      <c r="H362" s="64" t="s">
        <v>20</v>
      </c>
      <c r="I362" s="65">
        <v>0</v>
      </c>
      <c r="J362" s="65">
        <v>0</v>
      </c>
      <c r="K362" s="65">
        <v>0</v>
      </c>
      <c r="L362" s="65">
        <v>0</v>
      </c>
      <c r="M362" s="66">
        <v>0</v>
      </c>
      <c r="N362" s="88">
        <f>Tabela1[[#This Row],[1QZ DE DEZ 26]]-Tabela1[[#This Row],[SALDO FINAL]]-Tabela1[[#This Row],[SALDO CARTAO]]-Tabela1[[#This Row],[ADIANTAMENTO]]</f>
        <v>0</v>
      </c>
      <c r="O362" s="67">
        <f>(-Tabela1[[#This Row],[SALDO REEMBOLSAR]]*$O$4)</f>
        <v>0</v>
      </c>
      <c r="P362" s="115">
        <f>IF(Tabela1[[#This Row],[CARGA PARCIAL]]&lt;0,0,Tabela1[[#This Row],[CARGA PARCIAL]])</f>
        <v>0</v>
      </c>
      <c r="Q362" s="91">
        <f>IF(Tabela1[[#This Row],[CARGA PARCIAL]]&lt;0,0,Tabela1[[#This Row],[CARGA PARCIAL]])+Tabela1[[#This Row],[REEMBOLSO]]</f>
        <v>0</v>
      </c>
      <c r="R362" s="66" t="s">
        <v>21</v>
      </c>
      <c r="S362" s="70"/>
    </row>
    <row r="363" spans="2:19" x14ac:dyDescent="0.25">
      <c r="B363" s="103" t="s">
        <v>1734</v>
      </c>
      <c r="C363" s="102" t="s">
        <v>1735</v>
      </c>
      <c r="D363" s="64" t="s">
        <v>17</v>
      </c>
      <c r="E363" s="64" t="s">
        <v>277</v>
      </c>
      <c r="F363" s="64">
        <v>11062110001</v>
      </c>
      <c r="G363" s="82" t="s">
        <v>244</v>
      </c>
      <c r="H363" s="64" t="s">
        <v>33</v>
      </c>
      <c r="I363" s="65">
        <v>0</v>
      </c>
      <c r="J363" s="65">
        <v>0</v>
      </c>
      <c r="K363" s="65">
        <v>0</v>
      </c>
      <c r="L363" s="65">
        <v>0</v>
      </c>
      <c r="M363" s="66">
        <v>0</v>
      </c>
      <c r="N363" s="88">
        <f>Tabela1[[#This Row],[1QZ DE DEZ 26]]-Tabela1[[#This Row],[SALDO FINAL]]-Tabela1[[#This Row],[SALDO CARTAO]]-Tabela1[[#This Row],[ADIANTAMENTO]]</f>
        <v>0</v>
      </c>
      <c r="O363" s="67">
        <f>(-Tabela1[[#This Row],[SALDO REEMBOLSAR]]*$O$4)</f>
        <v>0</v>
      </c>
      <c r="P363" s="115">
        <f>IF(Tabela1[[#This Row],[CARGA PARCIAL]]&lt;0,0,Tabela1[[#This Row],[CARGA PARCIAL]])</f>
        <v>0</v>
      </c>
      <c r="Q363" s="91">
        <f>IF(Tabela1[[#This Row],[CARGA PARCIAL]]&lt;0,0,Tabela1[[#This Row],[CARGA PARCIAL]])+Tabela1[[#This Row],[REEMBOLSO]]</f>
        <v>0</v>
      </c>
      <c r="R363" s="66" t="s">
        <v>21</v>
      </c>
      <c r="S363" s="70"/>
    </row>
    <row r="364" spans="2:19" x14ac:dyDescent="0.25">
      <c r="B364" s="103" t="s">
        <v>1908</v>
      </c>
      <c r="C364" s="102" t="s">
        <v>1909</v>
      </c>
      <c r="D364" s="64" t="s">
        <v>17</v>
      </c>
      <c r="E364" s="64" t="s">
        <v>1915</v>
      </c>
      <c r="F364" s="64">
        <v>11010200001</v>
      </c>
      <c r="G364" s="82" t="s">
        <v>236</v>
      </c>
      <c r="H364" s="64" t="s">
        <v>33</v>
      </c>
      <c r="I364" s="65">
        <v>0</v>
      </c>
      <c r="J364" s="65">
        <v>0</v>
      </c>
      <c r="K364" s="65">
        <v>0</v>
      </c>
      <c r="L364" s="65">
        <v>0</v>
      </c>
      <c r="M364" s="66">
        <v>0</v>
      </c>
      <c r="N364" s="88">
        <f>Tabela1[[#This Row],[1QZ DE DEZ 26]]-Tabela1[[#This Row],[SALDO FINAL]]-Tabela1[[#This Row],[SALDO CARTAO]]-Tabela1[[#This Row],[ADIANTAMENTO]]</f>
        <v>0</v>
      </c>
      <c r="O364" s="67">
        <f>(-Tabela1[[#This Row],[SALDO REEMBOLSAR]]*$O$4)</f>
        <v>0</v>
      </c>
      <c r="P364" s="115">
        <f>IF(Tabela1[[#This Row],[CARGA PARCIAL]]&lt;0,0,Tabela1[[#This Row],[CARGA PARCIAL]])</f>
        <v>0</v>
      </c>
      <c r="Q364" s="91">
        <f>IF(Tabela1[[#This Row],[CARGA PARCIAL]]&lt;0,0,Tabela1[[#This Row],[CARGA PARCIAL]])+Tabela1[[#This Row],[REEMBOLSO]]</f>
        <v>0</v>
      </c>
      <c r="R364" s="66" t="s">
        <v>21</v>
      </c>
      <c r="S364" s="70"/>
    </row>
    <row r="365" spans="2:19" x14ac:dyDescent="0.25">
      <c r="B365" s="103" t="s">
        <v>1404</v>
      </c>
      <c r="C365" s="102" t="s">
        <v>1910</v>
      </c>
      <c r="D365" s="64" t="s">
        <v>17</v>
      </c>
      <c r="E365" s="64" t="s">
        <v>24</v>
      </c>
      <c r="F365" s="64">
        <v>11040160001</v>
      </c>
      <c r="G365" s="82" t="s">
        <v>25</v>
      </c>
      <c r="H365" s="64" t="s">
        <v>20</v>
      </c>
      <c r="I365" s="65">
        <v>0</v>
      </c>
      <c r="J365" s="65">
        <v>0</v>
      </c>
      <c r="K365" s="65">
        <v>0</v>
      </c>
      <c r="L365" s="65">
        <v>0</v>
      </c>
      <c r="M365" s="66">
        <v>0</v>
      </c>
      <c r="N365" s="88">
        <f>Tabela1[[#This Row],[1QZ DE DEZ 26]]-Tabela1[[#This Row],[SALDO FINAL]]-Tabela1[[#This Row],[SALDO CARTAO]]-Tabela1[[#This Row],[ADIANTAMENTO]]</f>
        <v>0</v>
      </c>
      <c r="O365" s="67">
        <f>(-Tabela1[[#This Row],[SALDO REEMBOLSAR]]*$O$4)</f>
        <v>0</v>
      </c>
      <c r="P365" s="115">
        <f>IF(Tabela1[[#This Row],[CARGA PARCIAL]]&lt;0,0,Tabela1[[#This Row],[CARGA PARCIAL]])</f>
        <v>0</v>
      </c>
      <c r="Q365" s="91">
        <f>IF(Tabela1[[#This Row],[CARGA PARCIAL]]&lt;0,0,Tabela1[[#This Row],[CARGA PARCIAL]])+Tabela1[[#This Row],[REEMBOLSO]]</f>
        <v>0</v>
      </c>
      <c r="R365" s="66" t="s">
        <v>21</v>
      </c>
      <c r="S365" s="70"/>
    </row>
    <row r="366" spans="2:19" x14ac:dyDescent="0.25">
      <c r="B366" s="103" t="s">
        <v>1911</v>
      </c>
      <c r="C366" s="102" t="s">
        <v>1912</v>
      </c>
      <c r="D366" s="64" t="s">
        <v>17</v>
      </c>
      <c r="E366" s="64" t="s">
        <v>476</v>
      </c>
      <c r="F366" s="64">
        <v>11060710001</v>
      </c>
      <c r="G366" s="82" t="s">
        <v>284</v>
      </c>
      <c r="H366" s="64" t="s">
        <v>20</v>
      </c>
      <c r="I366" s="65">
        <v>0</v>
      </c>
      <c r="J366" s="65">
        <v>0</v>
      </c>
      <c r="K366" s="65">
        <v>0</v>
      </c>
      <c r="L366" s="65">
        <v>0</v>
      </c>
      <c r="M366" s="66">
        <v>0</v>
      </c>
      <c r="N366" s="88">
        <f>Tabela1[[#This Row],[1QZ DE DEZ 26]]-Tabela1[[#This Row],[SALDO FINAL]]-Tabela1[[#This Row],[SALDO CARTAO]]-Tabela1[[#This Row],[ADIANTAMENTO]]</f>
        <v>0</v>
      </c>
      <c r="O366" s="67">
        <f>(-Tabela1[[#This Row],[SALDO REEMBOLSAR]]*$O$4)</f>
        <v>0</v>
      </c>
      <c r="P366" s="115">
        <f>IF(Tabela1[[#This Row],[CARGA PARCIAL]]&lt;0,0,Tabela1[[#This Row],[CARGA PARCIAL]])</f>
        <v>0</v>
      </c>
      <c r="Q366" s="91">
        <f>IF(Tabela1[[#This Row],[CARGA PARCIAL]]&lt;0,0,Tabela1[[#This Row],[CARGA PARCIAL]])+Tabela1[[#This Row],[REEMBOLSO]]</f>
        <v>0</v>
      </c>
      <c r="R366" s="66" t="s">
        <v>21</v>
      </c>
      <c r="S366" s="70"/>
    </row>
    <row r="367" spans="2:19" x14ac:dyDescent="0.25">
      <c r="B367" s="103" t="s">
        <v>1430</v>
      </c>
      <c r="C367" s="102" t="s">
        <v>1922</v>
      </c>
      <c r="D367" s="64" t="s">
        <v>17</v>
      </c>
      <c r="E367" s="64" t="s">
        <v>239</v>
      </c>
      <c r="F367" s="64">
        <v>11040130001</v>
      </c>
      <c r="G367" s="82" t="s">
        <v>240</v>
      </c>
      <c r="H367" s="64" t="s">
        <v>33</v>
      </c>
      <c r="I367" s="65">
        <v>0</v>
      </c>
      <c r="J367" s="65">
        <v>0</v>
      </c>
      <c r="K367" s="65">
        <v>0</v>
      </c>
      <c r="L367" s="65">
        <v>0</v>
      </c>
      <c r="M367" s="66">
        <v>0</v>
      </c>
      <c r="N367" s="88">
        <f>Tabela1[[#This Row],[1QZ DE DEZ 26]]-Tabela1[[#This Row],[SALDO FINAL]]-Tabela1[[#This Row],[SALDO CARTAO]]-Tabela1[[#This Row],[ADIANTAMENTO]]</f>
        <v>0</v>
      </c>
      <c r="O367" s="67">
        <f>(-Tabela1[[#This Row],[SALDO REEMBOLSAR]]*$O$4)</f>
        <v>0</v>
      </c>
      <c r="P367" s="115">
        <f>IF(Tabela1[[#This Row],[CARGA PARCIAL]]&lt;0,0,Tabela1[[#This Row],[CARGA PARCIAL]])</f>
        <v>0</v>
      </c>
      <c r="Q367" s="91">
        <f>IF(Tabela1[[#This Row],[CARGA PARCIAL]]&lt;0,0,Tabela1[[#This Row],[CARGA PARCIAL]])+Tabela1[[#This Row],[REEMBOLSO]]</f>
        <v>0</v>
      </c>
      <c r="R367" s="66" t="s">
        <v>21</v>
      </c>
      <c r="S367" s="70"/>
    </row>
    <row r="368" spans="2:19" x14ac:dyDescent="0.25">
      <c r="B368" s="103" t="s">
        <v>1463</v>
      </c>
      <c r="C368" s="102" t="s">
        <v>1931</v>
      </c>
      <c r="D368" s="64" t="s">
        <v>17</v>
      </c>
      <c r="E368" s="64" t="s">
        <v>1940</v>
      </c>
      <c r="F368" s="64">
        <v>11061310001</v>
      </c>
      <c r="G368" s="82" t="s">
        <v>244</v>
      </c>
      <c r="H368" s="64" t="s">
        <v>33</v>
      </c>
      <c r="I368" s="65">
        <v>0</v>
      </c>
      <c r="J368" s="65">
        <v>0</v>
      </c>
      <c r="K368" s="65">
        <v>0</v>
      </c>
      <c r="L368" s="65">
        <v>0</v>
      </c>
      <c r="M368" s="66">
        <v>0</v>
      </c>
      <c r="N368" s="88">
        <f>Tabela1[[#This Row],[1QZ DE DEZ 26]]-Tabela1[[#This Row],[SALDO FINAL]]-Tabela1[[#This Row],[SALDO CARTAO]]-Tabela1[[#This Row],[ADIANTAMENTO]]</f>
        <v>0</v>
      </c>
      <c r="O368" s="67">
        <f>(-Tabela1[[#This Row],[SALDO REEMBOLSAR]]*$O$4)</f>
        <v>0</v>
      </c>
      <c r="P368" s="115">
        <f>IF(Tabela1[[#This Row],[CARGA PARCIAL]]&lt;0,0,Tabela1[[#This Row],[CARGA PARCIAL]])</f>
        <v>0</v>
      </c>
      <c r="Q368" s="91">
        <f>IF(Tabela1[[#This Row],[CARGA PARCIAL]]&lt;0,0,Tabela1[[#This Row],[CARGA PARCIAL]])+Tabela1[[#This Row],[REEMBOLSO]]</f>
        <v>0</v>
      </c>
      <c r="R368" s="66" t="s">
        <v>21</v>
      </c>
      <c r="S368" s="70"/>
    </row>
    <row r="369" spans="2:19" x14ac:dyDescent="0.25">
      <c r="B369" s="104" t="s">
        <v>1472</v>
      </c>
      <c r="C369" s="105" t="s">
        <v>1933</v>
      </c>
      <c r="D369" s="106" t="s">
        <v>17</v>
      </c>
      <c r="E369" s="119" t="s">
        <v>569</v>
      </c>
      <c r="F369" s="64">
        <v>11080200001</v>
      </c>
      <c r="G369" s="107" t="s">
        <v>19</v>
      </c>
      <c r="H369" s="106" t="s">
        <v>20</v>
      </c>
      <c r="I369" s="65">
        <v>0</v>
      </c>
      <c r="J369" s="65">
        <v>0</v>
      </c>
      <c r="K369" s="65">
        <v>0</v>
      </c>
      <c r="L369" s="69">
        <v>0</v>
      </c>
      <c r="M369" s="70">
        <v>0</v>
      </c>
      <c r="N369" s="111">
        <f>Tabela1[[#This Row],[1QZ DE DEZ 26]]-Tabela1[[#This Row],[SALDO FINAL]]-Tabela1[[#This Row],[SALDO CARTAO]]-Tabela1[[#This Row],[ADIANTAMENTO]]</f>
        <v>0</v>
      </c>
      <c r="O369" s="67">
        <f>(-Tabela1[[#This Row],[SALDO REEMBOLSAR]]*$O$4)</f>
        <v>0</v>
      </c>
      <c r="P369" s="116">
        <f>IF(Tabela1[[#This Row],[CARGA PARCIAL]]&lt;0,0,Tabela1[[#This Row],[CARGA PARCIAL]])</f>
        <v>0</v>
      </c>
      <c r="Q369" s="92">
        <f>IF(Tabela1[[#This Row],[CARGA PARCIAL]]&lt;0,0,Tabela1[[#This Row],[CARGA PARCIAL]])+Tabela1[[#This Row],[REEMBOLSO]]</f>
        <v>0</v>
      </c>
      <c r="R369" s="66" t="s">
        <v>21</v>
      </c>
      <c r="S369" s="70"/>
    </row>
    <row r="370" spans="2:19" x14ac:dyDescent="0.25">
      <c r="B370" s="103" t="s">
        <v>1474</v>
      </c>
      <c r="C370" s="102" t="s">
        <v>1934</v>
      </c>
      <c r="D370" s="64" t="s">
        <v>17</v>
      </c>
      <c r="E370" s="64" t="s">
        <v>126</v>
      </c>
      <c r="F370" s="64">
        <v>11080150001</v>
      </c>
      <c r="G370" s="82" t="s">
        <v>19</v>
      </c>
      <c r="H370" s="64" t="s">
        <v>20</v>
      </c>
      <c r="I370" s="65">
        <v>0</v>
      </c>
      <c r="J370" s="65">
        <v>0</v>
      </c>
      <c r="K370" s="65">
        <v>0</v>
      </c>
      <c r="L370" s="65">
        <v>0</v>
      </c>
      <c r="M370" s="66">
        <v>0</v>
      </c>
      <c r="N370" s="88">
        <f>Tabela1[[#This Row],[1QZ DE DEZ 26]]-Tabela1[[#This Row],[SALDO FINAL]]-Tabela1[[#This Row],[SALDO CARTAO]]-Tabela1[[#This Row],[ADIANTAMENTO]]</f>
        <v>0</v>
      </c>
      <c r="O370" s="67">
        <f>(-Tabela1[[#This Row],[SALDO REEMBOLSAR]]*$O$4)</f>
        <v>0</v>
      </c>
      <c r="P370" s="115">
        <f>IF(Tabela1[[#This Row],[CARGA PARCIAL]]&lt;0,0,Tabela1[[#This Row],[CARGA PARCIAL]])</f>
        <v>0</v>
      </c>
      <c r="Q370" s="91">
        <f>IF(Tabela1[[#This Row],[CARGA PARCIAL]]&lt;0,0,Tabela1[[#This Row],[CARGA PARCIAL]])+Tabela1[[#This Row],[REEMBOLSO]]</f>
        <v>0</v>
      </c>
      <c r="R370" s="66" t="s">
        <v>21</v>
      </c>
      <c r="S370" s="70"/>
    </row>
    <row r="371" spans="2:19" x14ac:dyDescent="0.25">
      <c r="B371" s="104" t="s">
        <v>1485</v>
      </c>
      <c r="C371" s="105" t="s">
        <v>1942</v>
      </c>
      <c r="D371" s="106" t="s">
        <v>17</v>
      </c>
      <c r="E371" s="106" t="s">
        <v>54</v>
      </c>
      <c r="F371" s="64">
        <v>11080220001</v>
      </c>
      <c r="G371" s="107" t="s">
        <v>284</v>
      </c>
      <c r="H371" s="106" t="s">
        <v>20</v>
      </c>
      <c r="I371" s="65">
        <v>0</v>
      </c>
      <c r="J371" s="65">
        <v>0</v>
      </c>
      <c r="K371" s="65">
        <v>0</v>
      </c>
      <c r="L371" s="69">
        <v>0</v>
      </c>
      <c r="M371" s="70">
        <v>0</v>
      </c>
      <c r="N371" s="111">
        <f>Tabela1[[#This Row],[1QZ DE DEZ 26]]-Tabela1[[#This Row],[SALDO FINAL]]-Tabela1[[#This Row],[SALDO CARTAO]]-Tabela1[[#This Row],[ADIANTAMENTO]]</f>
        <v>0</v>
      </c>
      <c r="O371" s="67">
        <f>(-Tabela1[[#This Row],[SALDO REEMBOLSAR]]*$O$4)</f>
        <v>0</v>
      </c>
      <c r="P371" s="116">
        <f>IF(Tabela1[[#This Row],[CARGA PARCIAL]]&lt;0,0,Tabela1[[#This Row],[CARGA PARCIAL]])</f>
        <v>0</v>
      </c>
      <c r="Q371" s="92">
        <f>IF(Tabela1[[#This Row],[CARGA PARCIAL]]&lt;0,0,Tabela1[[#This Row],[CARGA PARCIAL]])+Tabela1[[#This Row],[REEMBOLSO]]</f>
        <v>0</v>
      </c>
      <c r="R371" s="66" t="s">
        <v>21</v>
      </c>
      <c r="S371" s="70"/>
    </row>
    <row r="372" spans="2:19" x14ac:dyDescent="0.25">
      <c r="B372" s="103" t="s">
        <v>1507</v>
      </c>
      <c r="C372" s="102" t="s">
        <v>1949</v>
      </c>
      <c r="D372" s="64" t="s">
        <v>17</v>
      </c>
      <c r="E372" s="64" t="s">
        <v>1954</v>
      </c>
      <c r="F372" s="64">
        <v>11080240001</v>
      </c>
      <c r="G372" s="82" t="s">
        <v>19</v>
      </c>
      <c r="H372" s="64" t="s">
        <v>20</v>
      </c>
      <c r="I372" s="65">
        <v>0</v>
      </c>
      <c r="J372" s="65">
        <v>0</v>
      </c>
      <c r="K372" s="65">
        <v>0</v>
      </c>
      <c r="L372" s="65">
        <v>0</v>
      </c>
      <c r="M372" s="66">
        <v>0</v>
      </c>
      <c r="N372" s="88">
        <f>Tabela1[[#This Row],[1QZ DE DEZ 26]]-Tabela1[[#This Row],[SALDO FINAL]]-Tabela1[[#This Row],[SALDO CARTAO]]-Tabela1[[#This Row],[ADIANTAMENTO]]</f>
        <v>0</v>
      </c>
      <c r="O372" s="67">
        <f>(-Tabela1[[#This Row],[SALDO REEMBOLSAR]]*$O$4)</f>
        <v>0</v>
      </c>
      <c r="P372" s="115">
        <f>IF(Tabela1[[#This Row],[CARGA PARCIAL]]&lt;0,0,Tabela1[[#This Row],[CARGA PARCIAL]])</f>
        <v>0</v>
      </c>
      <c r="Q372" s="91">
        <f>IF(Tabela1[[#This Row],[CARGA PARCIAL]]&lt;0,0,Tabela1[[#This Row],[CARGA PARCIAL]])+Tabela1[[#This Row],[REEMBOLSO]]</f>
        <v>0</v>
      </c>
      <c r="R372" s="66" t="s">
        <v>21</v>
      </c>
      <c r="S372" s="70"/>
    </row>
    <row r="373" spans="2:19" x14ac:dyDescent="0.25">
      <c r="B373" s="103" t="s">
        <v>20</v>
      </c>
      <c r="C373" s="102" t="s">
        <v>1952</v>
      </c>
      <c r="D373" s="64" t="s">
        <v>17</v>
      </c>
      <c r="E373" s="64" t="s">
        <v>1812</v>
      </c>
      <c r="F373" s="64">
        <v>1001003</v>
      </c>
      <c r="G373" s="82" t="s">
        <v>1992</v>
      </c>
      <c r="H373" s="64" t="s">
        <v>1991</v>
      </c>
      <c r="I373" s="65">
        <v>0</v>
      </c>
      <c r="J373" s="65">
        <v>0</v>
      </c>
      <c r="K373" s="65">
        <v>0</v>
      </c>
      <c r="L373" s="65">
        <v>0</v>
      </c>
      <c r="M373" s="66">
        <v>0</v>
      </c>
      <c r="N373" s="88">
        <f>Tabela1[[#This Row],[1QZ DE DEZ 26]]-Tabela1[[#This Row],[SALDO FINAL]]-Tabela1[[#This Row],[SALDO CARTAO]]-Tabela1[[#This Row],[ADIANTAMENTO]]</f>
        <v>0</v>
      </c>
      <c r="O373" s="67">
        <f>(-Tabela1[[#This Row],[SALDO REEMBOLSAR]]*$O$4)</f>
        <v>0</v>
      </c>
      <c r="P373" s="115">
        <f>IF(Tabela1[[#This Row],[CARGA PARCIAL]]&lt;0,0,Tabela1[[#This Row],[CARGA PARCIAL]])</f>
        <v>0</v>
      </c>
      <c r="Q373" s="91">
        <f>IF(Tabela1[[#This Row],[CARGA PARCIAL]]&lt;0,0,Tabela1[[#This Row],[CARGA PARCIAL]])+Tabela1[[#This Row],[REEMBOLSO]]</f>
        <v>0</v>
      </c>
      <c r="R373" s="66" t="s">
        <v>21</v>
      </c>
      <c r="S373" s="70"/>
    </row>
    <row r="374" spans="2:19" x14ac:dyDescent="0.25">
      <c r="B374" s="103" t="s">
        <v>1521</v>
      </c>
      <c r="C374" s="102" t="s">
        <v>1955</v>
      </c>
      <c r="D374" s="64" t="s">
        <v>17</v>
      </c>
      <c r="E374" s="64" t="s">
        <v>24</v>
      </c>
      <c r="F374" s="64">
        <v>11040160001</v>
      </c>
      <c r="G374" s="82" t="s">
        <v>25</v>
      </c>
      <c r="H374" s="64" t="s">
        <v>20</v>
      </c>
      <c r="I374" s="65">
        <v>0</v>
      </c>
      <c r="J374" s="65">
        <v>0</v>
      </c>
      <c r="K374" s="65">
        <v>0</v>
      </c>
      <c r="L374" s="65">
        <v>0</v>
      </c>
      <c r="M374" s="66">
        <v>0</v>
      </c>
      <c r="N374" s="88">
        <f>Tabela1[[#This Row],[1QZ DE DEZ 26]]-Tabela1[[#This Row],[SALDO FINAL]]-Tabela1[[#This Row],[SALDO CARTAO]]-Tabela1[[#This Row],[ADIANTAMENTO]]</f>
        <v>0</v>
      </c>
      <c r="O374" s="67">
        <f>(-Tabela1[[#This Row],[SALDO REEMBOLSAR]]*$O$4)</f>
        <v>0</v>
      </c>
      <c r="P374" s="115">
        <f>IF(Tabela1[[#This Row],[CARGA PARCIAL]]&lt;0,0,Tabela1[[#This Row],[CARGA PARCIAL]])</f>
        <v>0</v>
      </c>
      <c r="Q374" s="91">
        <f>IF(Tabela1[[#This Row],[CARGA PARCIAL]]&lt;0,0,Tabela1[[#This Row],[CARGA PARCIAL]])+Tabela1[[#This Row],[REEMBOLSO]]</f>
        <v>0</v>
      </c>
      <c r="R374" s="66" t="s">
        <v>21</v>
      </c>
      <c r="S374" s="70"/>
    </row>
    <row r="375" spans="2:19" x14ac:dyDescent="0.25">
      <c r="B375" s="103" t="s">
        <v>1956</v>
      </c>
      <c r="C375" s="102" t="s">
        <v>1957</v>
      </c>
      <c r="D375" s="64" t="s">
        <v>17</v>
      </c>
      <c r="E375" s="64" t="s">
        <v>468</v>
      </c>
      <c r="F375" s="64">
        <v>1104150001</v>
      </c>
      <c r="G375" s="82" t="s">
        <v>240</v>
      </c>
      <c r="H375" s="64" t="s">
        <v>33</v>
      </c>
      <c r="I375" s="65">
        <v>0</v>
      </c>
      <c r="J375" s="65">
        <v>0</v>
      </c>
      <c r="K375" s="65">
        <v>0</v>
      </c>
      <c r="L375" s="65">
        <v>0</v>
      </c>
      <c r="M375" s="66">
        <v>0</v>
      </c>
      <c r="N375" s="88">
        <f>Tabela1[[#This Row],[1QZ DE DEZ 26]]-Tabela1[[#This Row],[SALDO FINAL]]-Tabela1[[#This Row],[SALDO CARTAO]]-Tabela1[[#This Row],[ADIANTAMENTO]]</f>
        <v>0</v>
      </c>
      <c r="O375" s="67">
        <f>(-Tabela1[[#This Row],[SALDO REEMBOLSAR]]*$O$4)</f>
        <v>0</v>
      </c>
      <c r="P375" s="115">
        <f>IF(Tabela1[[#This Row],[CARGA PARCIAL]]&lt;0,0,Tabela1[[#This Row],[CARGA PARCIAL]])</f>
        <v>0</v>
      </c>
      <c r="Q375" s="91">
        <f>IF(Tabela1[[#This Row],[CARGA PARCIAL]]&lt;0,0,Tabela1[[#This Row],[CARGA PARCIAL]])+Tabela1[[#This Row],[REEMBOLSO]]</f>
        <v>0</v>
      </c>
      <c r="R375" s="66" t="s">
        <v>21</v>
      </c>
      <c r="S375" s="70"/>
    </row>
    <row r="376" spans="2:19" x14ac:dyDescent="0.25">
      <c r="B376" s="104" t="s">
        <v>1547</v>
      </c>
      <c r="C376" s="105" t="s">
        <v>1959</v>
      </c>
      <c r="D376" s="106" t="s">
        <v>17</v>
      </c>
      <c r="E376" s="106" t="s">
        <v>1757</v>
      </c>
      <c r="F376" s="64">
        <v>11060800001</v>
      </c>
      <c r="G376" s="107" t="s">
        <v>244</v>
      </c>
      <c r="H376" s="106" t="s">
        <v>33</v>
      </c>
      <c r="I376" s="65">
        <v>0</v>
      </c>
      <c r="J376" s="65">
        <v>0</v>
      </c>
      <c r="K376" s="65">
        <v>0</v>
      </c>
      <c r="L376" s="69">
        <v>0</v>
      </c>
      <c r="M376" s="70">
        <v>0</v>
      </c>
      <c r="N376" s="111">
        <f>Tabela1[[#This Row],[1QZ DE DEZ 26]]-Tabela1[[#This Row],[SALDO FINAL]]-Tabela1[[#This Row],[SALDO CARTAO]]-Tabela1[[#This Row],[ADIANTAMENTO]]</f>
        <v>0</v>
      </c>
      <c r="O376" s="67">
        <f>(-Tabela1[[#This Row],[SALDO REEMBOLSAR]]*$O$4)</f>
        <v>0</v>
      </c>
      <c r="P376" s="116">
        <f>IF(Tabela1[[#This Row],[CARGA PARCIAL]]&lt;0,0,Tabela1[[#This Row],[CARGA PARCIAL]])</f>
        <v>0</v>
      </c>
      <c r="Q376" s="92">
        <f>IF(Tabela1[[#This Row],[CARGA PARCIAL]]&lt;0,0,Tabela1[[#This Row],[CARGA PARCIAL]])+Tabela1[[#This Row],[REEMBOLSO]]</f>
        <v>0</v>
      </c>
      <c r="R376" s="66" t="s">
        <v>21</v>
      </c>
      <c r="S376" s="70"/>
    </row>
    <row r="377" spans="2:19" x14ac:dyDescent="0.25">
      <c r="B377" s="103" t="s">
        <v>1969</v>
      </c>
      <c r="C377" s="102" t="s">
        <v>1970</v>
      </c>
      <c r="D377" s="64" t="s">
        <v>17</v>
      </c>
      <c r="E377" s="64" t="s">
        <v>24</v>
      </c>
      <c r="F377" s="64">
        <v>11040160001</v>
      </c>
      <c r="G377" s="82" t="s">
        <v>25</v>
      </c>
      <c r="H377" s="64" t="s">
        <v>20</v>
      </c>
      <c r="I377" s="65">
        <v>0</v>
      </c>
      <c r="J377" s="65">
        <v>0</v>
      </c>
      <c r="K377" s="65">
        <v>0</v>
      </c>
      <c r="L377" s="65">
        <v>0</v>
      </c>
      <c r="M377" s="66">
        <v>0</v>
      </c>
      <c r="N377" s="88">
        <f>Tabela1[[#This Row],[1QZ DE DEZ 26]]-Tabela1[[#This Row],[SALDO FINAL]]-Tabela1[[#This Row],[SALDO CARTAO]]-Tabela1[[#This Row],[ADIANTAMENTO]]</f>
        <v>0</v>
      </c>
      <c r="O377" s="67">
        <f>(-Tabela1[[#This Row],[SALDO REEMBOLSAR]]*$O$4)</f>
        <v>0</v>
      </c>
      <c r="P377" s="115">
        <f>IF(Tabela1[[#This Row],[CARGA PARCIAL]]&lt;0,0,Tabela1[[#This Row],[CARGA PARCIAL]])</f>
        <v>0</v>
      </c>
      <c r="Q377" s="91">
        <f>IF(Tabela1[[#This Row],[CARGA PARCIAL]]&lt;0,0,Tabela1[[#This Row],[CARGA PARCIAL]])+Tabela1[[#This Row],[REEMBOLSO]]</f>
        <v>0</v>
      </c>
      <c r="R377" s="66" t="s">
        <v>21</v>
      </c>
      <c r="S377" s="70"/>
    </row>
    <row r="378" spans="2:19" x14ac:dyDescent="0.25">
      <c r="B378" s="104" t="s">
        <v>1572</v>
      </c>
      <c r="C378" s="105" t="s">
        <v>1971</v>
      </c>
      <c r="D378" s="106" t="s">
        <v>17</v>
      </c>
      <c r="E378" s="106" t="s">
        <v>1797</v>
      </c>
      <c r="F378" s="64">
        <v>11061600001</v>
      </c>
      <c r="G378" s="107" t="s">
        <v>244</v>
      </c>
      <c r="H378" s="106" t="s">
        <v>33</v>
      </c>
      <c r="I378" s="65">
        <v>0</v>
      </c>
      <c r="J378" s="65">
        <v>0</v>
      </c>
      <c r="K378" s="65">
        <v>0</v>
      </c>
      <c r="L378" s="69">
        <v>0</v>
      </c>
      <c r="M378" s="70">
        <v>0</v>
      </c>
      <c r="N378" s="111">
        <f>Tabela1[[#This Row],[1QZ DE DEZ 26]]-Tabela1[[#This Row],[SALDO FINAL]]-Tabela1[[#This Row],[SALDO CARTAO]]-Tabela1[[#This Row],[ADIANTAMENTO]]</f>
        <v>0</v>
      </c>
      <c r="O378" s="67">
        <f>(-Tabela1[[#This Row],[SALDO REEMBOLSAR]]*$O$4)</f>
        <v>0</v>
      </c>
      <c r="P378" s="116">
        <f>IF(Tabela1[[#This Row],[CARGA PARCIAL]]&lt;0,0,Tabela1[[#This Row],[CARGA PARCIAL]])</f>
        <v>0</v>
      </c>
      <c r="Q378" s="92">
        <f>IF(Tabela1[[#This Row],[CARGA PARCIAL]]&lt;0,0,Tabela1[[#This Row],[CARGA PARCIAL]])+Tabela1[[#This Row],[REEMBOLSO]]</f>
        <v>0</v>
      </c>
      <c r="R378" s="66" t="s">
        <v>21</v>
      </c>
      <c r="S378" s="70"/>
    </row>
    <row r="379" spans="2:19" x14ac:dyDescent="0.25">
      <c r="B379" s="103" t="s">
        <v>1576</v>
      </c>
      <c r="C379" s="102" t="s">
        <v>1973</v>
      </c>
      <c r="D379" s="64" t="s">
        <v>17</v>
      </c>
      <c r="E379" s="64" t="s">
        <v>479</v>
      </c>
      <c r="F379" s="64">
        <v>11061430001</v>
      </c>
      <c r="G379" s="82" t="s">
        <v>1989</v>
      </c>
      <c r="H379" s="64" t="s">
        <v>20</v>
      </c>
      <c r="I379" s="65">
        <v>0</v>
      </c>
      <c r="J379" s="65">
        <v>0</v>
      </c>
      <c r="K379" s="65">
        <v>0</v>
      </c>
      <c r="L379" s="65">
        <v>0</v>
      </c>
      <c r="M379" s="66">
        <v>0</v>
      </c>
      <c r="N379" s="88">
        <f>Tabela1[[#This Row],[1QZ DE DEZ 26]]-Tabela1[[#This Row],[SALDO FINAL]]-Tabela1[[#This Row],[SALDO CARTAO]]-Tabela1[[#This Row],[ADIANTAMENTO]]</f>
        <v>0</v>
      </c>
      <c r="O379" s="67">
        <f>(-Tabela1[[#This Row],[SALDO REEMBOLSAR]]*$O$4)</f>
        <v>0</v>
      </c>
      <c r="P379" s="115">
        <f>IF(Tabela1[[#This Row],[CARGA PARCIAL]]&lt;0,0,Tabela1[[#This Row],[CARGA PARCIAL]])</f>
        <v>0</v>
      </c>
      <c r="Q379" s="91">
        <f>IF(Tabela1[[#This Row],[CARGA PARCIAL]]&lt;0,0,Tabela1[[#This Row],[CARGA PARCIAL]])+Tabela1[[#This Row],[REEMBOLSO]]</f>
        <v>0</v>
      </c>
      <c r="R379" s="66" t="s">
        <v>21</v>
      </c>
      <c r="S379" s="70"/>
    </row>
    <row r="380" spans="2:19" x14ac:dyDescent="0.25">
      <c r="B380" s="104" t="s">
        <v>1747</v>
      </c>
      <c r="C380" s="105" t="s">
        <v>1974</v>
      </c>
      <c r="D380" s="106" t="s">
        <v>17</v>
      </c>
      <c r="E380" s="106" t="s">
        <v>18</v>
      </c>
      <c r="F380" s="64">
        <v>11040170001</v>
      </c>
      <c r="G380" s="107" t="s">
        <v>19</v>
      </c>
      <c r="H380" s="106" t="s">
        <v>20</v>
      </c>
      <c r="I380" s="65">
        <v>0</v>
      </c>
      <c r="J380" s="65">
        <v>0</v>
      </c>
      <c r="K380" s="65">
        <v>0</v>
      </c>
      <c r="L380" s="69">
        <v>0</v>
      </c>
      <c r="M380" s="70">
        <v>0</v>
      </c>
      <c r="N380" s="111">
        <f>Tabela1[[#This Row],[1QZ DE DEZ 26]]-Tabela1[[#This Row],[SALDO FINAL]]-Tabela1[[#This Row],[SALDO CARTAO]]-Tabela1[[#This Row],[ADIANTAMENTO]]</f>
        <v>0</v>
      </c>
      <c r="O380" s="67">
        <f>(-Tabela1[[#This Row],[SALDO REEMBOLSAR]]*$O$4)</f>
        <v>0</v>
      </c>
      <c r="P380" s="116">
        <f>IF(Tabela1[[#This Row],[CARGA PARCIAL]]&lt;0,0,Tabela1[[#This Row],[CARGA PARCIAL]])</f>
        <v>0</v>
      </c>
      <c r="Q380" s="92">
        <f>IF(Tabela1[[#This Row],[CARGA PARCIAL]]&lt;0,0,Tabela1[[#This Row],[CARGA PARCIAL]])+Tabela1[[#This Row],[REEMBOLSO]]</f>
        <v>0</v>
      </c>
      <c r="R380" s="66" t="s">
        <v>21</v>
      </c>
      <c r="S380" s="70"/>
    </row>
    <row r="381" spans="2:19" x14ac:dyDescent="0.25">
      <c r="B381" s="103" t="s">
        <v>1580</v>
      </c>
      <c r="C381" s="102" t="s">
        <v>1975</v>
      </c>
      <c r="D381" s="64" t="s">
        <v>17</v>
      </c>
      <c r="E381" s="64" t="s">
        <v>488</v>
      </c>
      <c r="F381" s="64">
        <v>11061820001</v>
      </c>
      <c r="G381" s="82" t="s">
        <v>236</v>
      </c>
      <c r="H381" s="64" t="s">
        <v>33</v>
      </c>
      <c r="I381" s="65">
        <v>0</v>
      </c>
      <c r="J381" s="65">
        <v>0</v>
      </c>
      <c r="K381" s="65">
        <v>0</v>
      </c>
      <c r="L381" s="65">
        <v>0</v>
      </c>
      <c r="M381" s="66">
        <v>0</v>
      </c>
      <c r="N381" s="88">
        <f>Tabela1[[#This Row],[1QZ DE DEZ 26]]-Tabela1[[#This Row],[SALDO FINAL]]-Tabela1[[#This Row],[SALDO CARTAO]]-Tabela1[[#This Row],[ADIANTAMENTO]]</f>
        <v>0</v>
      </c>
      <c r="O381" s="67">
        <f>(-Tabela1[[#This Row],[SALDO REEMBOLSAR]]*$O$4)</f>
        <v>0</v>
      </c>
      <c r="P381" s="115">
        <f>IF(Tabela1[[#This Row],[CARGA PARCIAL]]&lt;0,0,Tabela1[[#This Row],[CARGA PARCIAL]])</f>
        <v>0</v>
      </c>
      <c r="Q381" s="91">
        <f>IF(Tabela1[[#This Row],[CARGA PARCIAL]]&lt;0,0,Tabela1[[#This Row],[CARGA PARCIAL]])+Tabela1[[#This Row],[REEMBOLSO]]</f>
        <v>0</v>
      </c>
      <c r="R381" s="66" t="s">
        <v>21</v>
      </c>
      <c r="S381" s="70"/>
    </row>
    <row r="382" spans="2:19" x14ac:dyDescent="0.25">
      <c r="B382" s="103" t="s">
        <v>1748</v>
      </c>
      <c r="C382" s="102" t="s">
        <v>1976</v>
      </c>
      <c r="D382" s="64" t="s">
        <v>17</v>
      </c>
      <c r="E382" s="64" t="s">
        <v>315</v>
      </c>
      <c r="F382" s="64">
        <v>11030880001</v>
      </c>
      <c r="G382" s="82" t="s">
        <v>1989</v>
      </c>
      <c r="H382" s="64" t="s">
        <v>20</v>
      </c>
      <c r="I382" s="65">
        <v>0</v>
      </c>
      <c r="J382" s="65">
        <v>0</v>
      </c>
      <c r="K382" s="65">
        <v>0</v>
      </c>
      <c r="L382" s="65">
        <v>0</v>
      </c>
      <c r="M382" s="66">
        <v>0</v>
      </c>
      <c r="N382" s="88">
        <f>Tabela1[[#This Row],[1QZ DE DEZ 26]]-Tabela1[[#This Row],[SALDO FINAL]]-Tabela1[[#This Row],[SALDO CARTAO]]-Tabela1[[#This Row],[ADIANTAMENTO]]</f>
        <v>0</v>
      </c>
      <c r="O382" s="67">
        <f>(-Tabela1[[#This Row],[SALDO REEMBOLSAR]]*$O$4)</f>
        <v>0</v>
      </c>
      <c r="P382" s="115">
        <f>IF(Tabela1[[#This Row],[CARGA PARCIAL]]&lt;0,0,Tabela1[[#This Row],[CARGA PARCIAL]])</f>
        <v>0</v>
      </c>
      <c r="Q382" s="91">
        <f>IF(Tabela1[[#This Row],[CARGA PARCIAL]]&lt;0,0,Tabela1[[#This Row],[CARGA PARCIAL]])+Tabela1[[#This Row],[REEMBOLSO]]</f>
        <v>0</v>
      </c>
      <c r="R382" s="66" t="s">
        <v>21</v>
      </c>
      <c r="S382" s="70"/>
    </row>
    <row r="383" spans="2:19" x14ac:dyDescent="0.25">
      <c r="B383" s="103" t="s">
        <v>1584</v>
      </c>
      <c r="C383" s="102" t="s">
        <v>1977</v>
      </c>
      <c r="D383" s="64" t="s">
        <v>17</v>
      </c>
      <c r="E383" s="64" t="s">
        <v>100</v>
      </c>
      <c r="F383" s="64">
        <v>11030820001</v>
      </c>
      <c r="G383" s="82" t="s">
        <v>55</v>
      </c>
      <c r="H383" s="64" t="s">
        <v>56</v>
      </c>
      <c r="I383" s="65">
        <v>0</v>
      </c>
      <c r="J383" s="65">
        <v>0</v>
      </c>
      <c r="K383" s="65">
        <v>0</v>
      </c>
      <c r="L383" s="65">
        <v>0</v>
      </c>
      <c r="M383" s="66">
        <v>0</v>
      </c>
      <c r="N383" s="88">
        <f>Tabela1[[#This Row],[1QZ DE DEZ 26]]-Tabela1[[#This Row],[SALDO FINAL]]-Tabela1[[#This Row],[SALDO CARTAO]]-Tabela1[[#This Row],[ADIANTAMENTO]]</f>
        <v>0</v>
      </c>
      <c r="O383" s="67">
        <f>(-Tabela1[[#This Row],[SALDO REEMBOLSAR]]*$O$4)</f>
        <v>0</v>
      </c>
      <c r="P383" s="115">
        <f>IF(Tabela1[[#This Row],[CARGA PARCIAL]]&lt;0,0,Tabela1[[#This Row],[CARGA PARCIAL]])</f>
        <v>0</v>
      </c>
      <c r="Q383" s="91">
        <f>IF(Tabela1[[#This Row],[CARGA PARCIAL]]&lt;0,0,Tabela1[[#This Row],[CARGA PARCIAL]])+Tabela1[[#This Row],[REEMBOLSO]]</f>
        <v>0</v>
      </c>
      <c r="R383" s="66" t="s">
        <v>21</v>
      </c>
      <c r="S383" s="70"/>
    </row>
    <row r="384" spans="2:19" x14ac:dyDescent="0.25">
      <c r="B384" s="103" t="s">
        <v>1594</v>
      </c>
      <c r="C384" s="102" t="s">
        <v>1978</v>
      </c>
      <c r="D384" s="64" t="s">
        <v>17</v>
      </c>
      <c r="E384" s="64" t="s">
        <v>18</v>
      </c>
      <c r="F384" s="64">
        <v>11040170001</v>
      </c>
      <c r="G384" s="82" t="s">
        <v>19</v>
      </c>
      <c r="H384" s="64" t="s">
        <v>20</v>
      </c>
      <c r="I384" s="65">
        <v>0</v>
      </c>
      <c r="J384" s="65">
        <v>0</v>
      </c>
      <c r="K384" s="65">
        <v>0</v>
      </c>
      <c r="L384" s="65">
        <v>0</v>
      </c>
      <c r="M384" s="66">
        <v>0</v>
      </c>
      <c r="N384" s="88">
        <f>Tabela1[[#This Row],[1QZ DE DEZ 26]]-Tabela1[[#This Row],[SALDO FINAL]]-Tabela1[[#This Row],[SALDO CARTAO]]-Tabela1[[#This Row],[ADIANTAMENTO]]</f>
        <v>0</v>
      </c>
      <c r="O384" s="67">
        <f>(-Tabela1[[#This Row],[SALDO REEMBOLSAR]]*$O$4)</f>
        <v>0</v>
      </c>
      <c r="P384" s="115">
        <f>IF(Tabela1[[#This Row],[CARGA PARCIAL]]&lt;0,0,Tabela1[[#This Row],[CARGA PARCIAL]])</f>
        <v>0</v>
      </c>
      <c r="Q384" s="91">
        <f>IF(Tabela1[[#This Row],[CARGA PARCIAL]]&lt;0,0,Tabela1[[#This Row],[CARGA PARCIAL]])+Tabela1[[#This Row],[REEMBOLSO]]</f>
        <v>0</v>
      </c>
      <c r="R384" s="66" t="s">
        <v>21</v>
      </c>
      <c r="S384" s="70"/>
    </row>
    <row r="385" spans="2:19" x14ac:dyDescent="0.25">
      <c r="B385" s="103" t="s">
        <v>1614</v>
      </c>
      <c r="C385" s="102" t="s">
        <v>1984</v>
      </c>
      <c r="D385" s="64" t="s">
        <v>17</v>
      </c>
      <c r="E385" s="64" t="s">
        <v>1988</v>
      </c>
      <c r="F385" s="64">
        <v>11010220001</v>
      </c>
      <c r="G385" s="82" t="s">
        <v>1989</v>
      </c>
      <c r="H385" s="64" t="s">
        <v>20</v>
      </c>
      <c r="I385" s="65">
        <v>0</v>
      </c>
      <c r="J385" s="65">
        <v>0</v>
      </c>
      <c r="K385" s="65">
        <v>0</v>
      </c>
      <c r="L385" s="65">
        <v>0</v>
      </c>
      <c r="M385" s="66">
        <v>0</v>
      </c>
      <c r="N385" s="88">
        <f>Tabela1[[#This Row],[1QZ DE DEZ 26]]-Tabela1[[#This Row],[SALDO FINAL]]-Tabela1[[#This Row],[SALDO CARTAO]]-Tabela1[[#This Row],[ADIANTAMENTO]]</f>
        <v>0</v>
      </c>
      <c r="O385" s="67">
        <f>(-Tabela1[[#This Row],[SALDO REEMBOLSAR]]*$O$4)</f>
        <v>0</v>
      </c>
      <c r="P385" s="115">
        <f>IF(Tabela1[[#This Row],[CARGA PARCIAL]]&lt;0,0,Tabela1[[#This Row],[CARGA PARCIAL]])</f>
        <v>0</v>
      </c>
      <c r="Q385" s="91">
        <f>IF(Tabela1[[#This Row],[CARGA PARCIAL]]&lt;0,0,Tabela1[[#This Row],[CARGA PARCIAL]])+Tabela1[[#This Row],[REEMBOLSO]]</f>
        <v>0</v>
      </c>
      <c r="R385" s="66" t="s">
        <v>21</v>
      </c>
      <c r="S385" s="70"/>
    </row>
    <row r="386" spans="2:19" x14ac:dyDescent="0.25">
      <c r="B386" s="103" t="s">
        <v>1371</v>
      </c>
      <c r="C386" s="102" t="s">
        <v>1663</v>
      </c>
      <c r="D386" s="64" t="s">
        <v>17</v>
      </c>
      <c r="E386" s="64" t="s">
        <v>1907</v>
      </c>
      <c r="F386" s="64">
        <v>1201021</v>
      </c>
      <c r="G386" s="82" t="s">
        <v>1998</v>
      </c>
      <c r="H386" s="64" t="s">
        <v>75</v>
      </c>
      <c r="I386" s="65">
        <v>0</v>
      </c>
      <c r="J386" s="65">
        <v>0</v>
      </c>
      <c r="K386" s="65">
        <v>0</v>
      </c>
      <c r="L386" s="65">
        <v>0</v>
      </c>
      <c r="M386" s="66">
        <v>0</v>
      </c>
      <c r="N386" s="88">
        <f>Tabela1[[#This Row],[1QZ DE DEZ 26]]-Tabela1[[#This Row],[SALDO FINAL]]-Tabela1[[#This Row],[SALDO CARTAO]]-Tabela1[[#This Row],[ADIANTAMENTO]]</f>
        <v>0</v>
      </c>
      <c r="O386" s="67">
        <f>(-Tabela1[[#This Row],[SALDO REEMBOLSAR]]*$O$4)</f>
        <v>0</v>
      </c>
      <c r="P386" s="115">
        <f>IF(Tabela1[[#This Row],[CARGA PARCIAL]]&lt;0,0,Tabela1[[#This Row],[CARGA PARCIAL]])</f>
        <v>0</v>
      </c>
      <c r="Q386" s="91">
        <f>IF(Tabela1[[#This Row],[CARGA PARCIAL]]&lt;0,0,Tabela1[[#This Row],[CARGA PARCIAL]])+Tabela1[[#This Row],[REEMBOLSO]]</f>
        <v>0</v>
      </c>
      <c r="R386" s="66" t="s">
        <v>21</v>
      </c>
      <c r="S386" s="70"/>
    </row>
    <row r="387" spans="2:19" x14ac:dyDescent="0.25">
      <c r="B387" s="103" t="s">
        <v>1917</v>
      </c>
      <c r="C387" s="102" t="s">
        <v>1918</v>
      </c>
      <c r="D387" s="64" t="s">
        <v>17</v>
      </c>
      <c r="E387" s="64" t="s">
        <v>508</v>
      </c>
      <c r="F387" s="64">
        <v>11062830001</v>
      </c>
      <c r="G387" s="82" t="s">
        <v>19</v>
      </c>
      <c r="H387" s="64" t="s">
        <v>20</v>
      </c>
      <c r="I387" s="65">
        <v>0</v>
      </c>
      <c r="J387" s="65">
        <v>0</v>
      </c>
      <c r="K387" s="65">
        <v>0</v>
      </c>
      <c r="L387" s="65">
        <v>0</v>
      </c>
      <c r="M387" s="66">
        <v>0</v>
      </c>
      <c r="N387" s="88">
        <f>Tabela1[[#This Row],[1QZ DE DEZ 26]]-Tabela1[[#This Row],[SALDO FINAL]]-Tabela1[[#This Row],[SALDO CARTAO]]-Tabela1[[#This Row],[ADIANTAMENTO]]</f>
        <v>0</v>
      </c>
      <c r="O387" s="67">
        <f>(-Tabela1[[#This Row],[SALDO REEMBOLSAR]]*$O$4)</f>
        <v>0</v>
      </c>
      <c r="P387" s="115">
        <f>IF(Tabela1[[#This Row],[CARGA PARCIAL]]&lt;0,0,Tabela1[[#This Row],[CARGA PARCIAL]])</f>
        <v>0</v>
      </c>
      <c r="Q387" s="91">
        <f>IF(Tabela1[[#This Row],[CARGA PARCIAL]]&lt;0,0,Tabela1[[#This Row],[CARGA PARCIAL]])+Tabela1[[#This Row],[REEMBOLSO]]</f>
        <v>0</v>
      </c>
      <c r="R387" s="66" t="s">
        <v>21</v>
      </c>
      <c r="S387" s="70"/>
    </row>
    <row r="388" spans="2:19" x14ac:dyDescent="0.25">
      <c r="B388" s="104" t="s">
        <v>1439</v>
      </c>
      <c r="C388" s="105" t="s">
        <v>1924</v>
      </c>
      <c r="D388" s="106" t="s">
        <v>17</v>
      </c>
      <c r="E388" s="106" t="s">
        <v>1925</v>
      </c>
      <c r="F388" s="64">
        <v>12010570001</v>
      </c>
      <c r="G388" s="107" t="s">
        <v>112</v>
      </c>
      <c r="H388" s="106" t="s">
        <v>75</v>
      </c>
      <c r="I388" s="65">
        <v>0</v>
      </c>
      <c r="J388" s="65">
        <v>0</v>
      </c>
      <c r="K388" s="65">
        <v>0</v>
      </c>
      <c r="L388" s="69">
        <v>0</v>
      </c>
      <c r="M388" s="70">
        <v>0</v>
      </c>
      <c r="N388" s="111">
        <f>Tabela1[[#This Row],[1QZ DE DEZ 26]]-Tabela1[[#This Row],[SALDO FINAL]]-Tabela1[[#This Row],[SALDO CARTAO]]-Tabela1[[#This Row],[ADIANTAMENTO]]</f>
        <v>0</v>
      </c>
      <c r="O388" s="67">
        <f>(-Tabela1[[#This Row],[SALDO REEMBOLSAR]]*$O$4)</f>
        <v>0</v>
      </c>
      <c r="P388" s="116">
        <f>IF(Tabela1[[#This Row],[CARGA PARCIAL]]&lt;0,0,Tabela1[[#This Row],[CARGA PARCIAL]])</f>
        <v>0</v>
      </c>
      <c r="Q388" s="92">
        <f>IF(Tabela1[[#This Row],[CARGA PARCIAL]]&lt;0,0,Tabela1[[#This Row],[CARGA PARCIAL]])+Tabela1[[#This Row],[REEMBOLSO]]</f>
        <v>0</v>
      </c>
      <c r="R388" s="66" t="s">
        <v>21</v>
      </c>
      <c r="S388" s="70"/>
    </row>
    <row r="389" spans="2:19" x14ac:dyDescent="0.25">
      <c r="B389" s="103" t="s">
        <v>1935</v>
      </c>
      <c r="C389" s="102" t="s">
        <v>1936</v>
      </c>
      <c r="D389" s="64" t="s">
        <v>17</v>
      </c>
      <c r="E389" s="64" t="s">
        <v>126</v>
      </c>
      <c r="F389" s="64">
        <v>11080150001</v>
      </c>
      <c r="G389" s="82" t="s">
        <v>19</v>
      </c>
      <c r="H389" s="64" t="s">
        <v>20</v>
      </c>
      <c r="I389" s="65">
        <v>0</v>
      </c>
      <c r="J389" s="65">
        <v>0</v>
      </c>
      <c r="K389" s="65">
        <v>0</v>
      </c>
      <c r="L389" s="65">
        <v>0</v>
      </c>
      <c r="M389" s="66">
        <v>0</v>
      </c>
      <c r="N389" s="88">
        <f>Tabela1[[#This Row],[1QZ DE DEZ 26]]-Tabela1[[#This Row],[SALDO FINAL]]-Tabela1[[#This Row],[SALDO CARTAO]]-Tabela1[[#This Row],[ADIANTAMENTO]]</f>
        <v>0</v>
      </c>
      <c r="O389" s="67">
        <f>(-Tabela1[[#This Row],[SALDO REEMBOLSAR]]*$O$4)</f>
        <v>0</v>
      </c>
      <c r="P389" s="115">
        <f>IF(Tabela1[[#This Row],[CARGA PARCIAL]]&lt;0,0,Tabela1[[#This Row],[CARGA PARCIAL]])</f>
        <v>0</v>
      </c>
      <c r="Q389" s="91">
        <f>IF(Tabela1[[#This Row],[CARGA PARCIAL]]&lt;0,0,Tabela1[[#This Row],[CARGA PARCIAL]])+Tabela1[[#This Row],[REEMBOLSO]]</f>
        <v>0</v>
      </c>
      <c r="R389" s="66" t="s">
        <v>21</v>
      </c>
      <c r="S389" s="70"/>
    </row>
    <row r="390" spans="2:19" x14ac:dyDescent="0.25">
      <c r="B390" s="103" t="s">
        <v>1550</v>
      </c>
      <c r="C390" s="102" t="s">
        <v>1960</v>
      </c>
      <c r="D390" s="64" t="s">
        <v>17</v>
      </c>
      <c r="E390" s="64" t="s">
        <v>1965</v>
      </c>
      <c r="F390" s="64">
        <v>1001001</v>
      </c>
      <c r="G390" s="82" t="s">
        <v>1990</v>
      </c>
      <c r="H390" s="64" t="s">
        <v>1991</v>
      </c>
      <c r="I390" s="65">
        <v>0</v>
      </c>
      <c r="J390" s="65">
        <v>0</v>
      </c>
      <c r="K390" s="65">
        <v>0</v>
      </c>
      <c r="L390" s="65">
        <v>0</v>
      </c>
      <c r="M390" s="66">
        <v>0</v>
      </c>
      <c r="N390" s="88">
        <f>Tabela1[[#This Row],[1QZ DE DEZ 26]]-Tabela1[[#This Row],[SALDO FINAL]]-Tabela1[[#This Row],[SALDO CARTAO]]-Tabela1[[#This Row],[ADIANTAMENTO]]</f>
        <v>0</v>
      </c>
      <c r="O390" s="67">
        <f>(-Tabela1[[#This Row],[SALDO REEMBOLSAR]]*$O$4)</f>
        <v>0</v>
      </c>
      <c r="P390" s="115">
        <f>IF(Tabela1[[#This Row],[CARGA PARCIAL]]&lt;0,0,Tabela1[[#This Row],[CARGA PARCIAL]])</f>
        <v>0</v>
      </c>
      <c r="Q390" s="91">
        <f>IF(Tabela1[[#This Row],[CARGA PARCIAL]]&lt;0,0,Tabela1[[#This Row],[CARGA PARCIAL]])+Tabela1[[#This Row],[REEMBOLSO]]</f>
        <v>0</v>
      </c>
      <c r="R390" s="66" t="s">
        <v>21</v>
      </c>
      <c r="S390" s="70"/>
    </row>
    <row r="391" spans="2:19" x14ac:dyDescent="0.25">
      <c r="B391" s="121" t="s">
        <v>565</v>
      </c>
      <c r="C391" s="106" t="s">
        <v>566</v>
      </c>
      <c r="D391" s="106" t="s">
        <v>17</v>
      </c>
      <c r="E391" s="106" t="s">
        <v>42</v>
      </c>
      <c r="F391" s="64">
        <v>11061490001</v>
      </c>
      <c r="G391" s="107" t="s">
        <v>19</v>
      </c>
      <c r="H391" s="106" t="s">
        <v>20</v>
      </c>
      <c r="I391" s="65">
        <v>0</v>
      </c>
      <c r="J391" s="65">
        <v>974.37</v>
      </c>
      <c r="K391" s="65">
        <v>1000</v>
      </c>
      <c r="L391" s="69">
        <v>25.63</v>
      </c>
      <c r="M391" s="70">
        <v>0</v>
      </c>
      <c r="N391" s="111">
        <f>Tabela1[[#This Row],[1QZ DE DEZ 26]]-Tabela1[[#This Row],[SALDO FINAL]]-Tabela1[[#This Row],[SALDO CARTAO]]-Tabela1[[#This Row],[ADIANTAMENTO]]</f>
        <v>-3.5527136788005009E-15</v>
      </c>
      <c r="O391" s="67">
        <f>(-Tabela1[[#This Row],[SALDO REEMBOLSAR]]*$O$4)</f>
        <v>0</v>
      </c>
      <c r="P391" s="124">
        <f>IF(Tabela1[[#This Row],[CARGA PARCIAL]]&lt;0,0,Tabela1[[#This Row],[CARGA PARCIAL]])</f>
        <v>0</v>
      </c>
      <c r="Q391" s="92">
        <f>IF(Tabela1[[#This Row],[CARGA PARCIAL]]&lt;0,0,Tabela1[[#This Row],[CARGA PARCIAL]])+Tabela1[[#This Row],[REEMBOLSO]]</f>
        <v>0</v>
      </c>
      <c r="R391" s="66" t="s">
        <v>21</v>
      </c>
      <c r="S391" s="70"/>
    </row>
    <row r="392" spans="2:19" x14ac:dyDescent="0.25">
      <c r="B392" s="83" t="s">
        <v>519</v>
      </c>
      <c r="C392" s="64" t="s">
        <v>1848</v>
      </c>
      <c r="D392" s="64" t="s">
        <v>17</v>
      </c>
      <c r="E392" s="64" t="s">
        <v>1851</v>
      </c>
      <c r="F392" s="64">
        <v>12010510001</v>
      </c>
      <c r="G392" s="82" t="s">
        <v>19</v>
      </c>
      <c r="H392" s="64" t="s">
        <v>20</v>
      </c>
      <c r="I392" s="65">
        <v>0</v>
      </c>
      <c r="J392" s="65">
        <v>490.07000000000022</v>
      </c>
      <c r="K392" s="65">
        <v>500</v>
      </c>
      <c r="L392" s="65">
        <v>9.93</v>
      </c>
      <c r="M392" s="66">
        <v>0</v>
      </c>
      <c r="N392" s="88">
        <f>Tabela1[[#This Row],[1QZ DE DEZ 26]]-Tabela1[[#This Row],[SALDO FINAL]]-Tabela1[[#This Row],[SALDO CARTAO]]-Tabela1[[#This Row],[ADIANTAMENTO]]</f>
        <v>-2.2026824808563106E-13</v>
      </c>
      <c r="O392" s="67">
        <f>(-Tabela1[[#This Row],[SALDO REEMBOLSAR]]*$O$4)</f>
        <v>0</v>
      </c>
      <c r="P392" s="123">
        <f>IF(Tabela1[[#This Row],[CARGA PARCIAL]]&lt;0,0,Tabela1[[#This Row],[CARGA PARCIAL]])</f>
        <v>0</v>
      </c>
      <c r="Q392" s="91">
        <f>IF(Tabela1[[#This Row],[CARGA PARCIAL]]&lt;0,0,Tabela1[[#This Row],[CARGA PARCIAL]])+Tabela1[[#This Row],[REEMBOLSO]]</f>
        <v>0</v>
      </c>
      <c r="R392" s="66" t="s">
        <v>21</v>
      </c>
      <c r="S392" s="70"/>
    </row>
    <row r="393" spans="2:19" x14ac:dyDescent="0.25">
      <c r="B393" s="103" t="s">
        <v>1432</v>
      </c>
      <c r="C393" s="102" t="s">
        <v>1923</v>
      </c>
      <c r="D393" s="64" t="s">
        <v>17</v>
      </c>
      <c r="E393" s="64" t="s">
        <v>468</v>
      </c>
      <c r="F393" s="64">
        <v>1104150001</v>
      </c>
      <c r="G393" s="82" t="s">
        <v>240</v>
      </c>
      <c r="H393" s="64" t="s">
        <v>33</v>
      </c>
      <c r="I393" s="65">
        <v>0</v>
      </c>
      <c r="J393" s="65">
        <v>0</v>
      </c>
      <c r="K393" s="65">
        <v>0</v>
      </c>
      <c r="L393" s="65">
        <v>2.99</v>
      </c>
      <c r="M393" s="66">
        <v>0</v>
      </c>
      <c r="N393" s="88">
        <f>Tabela1[[#This Row],[1QZ DE DEZ 26]]-Tabela1[[#This Row],[SALDO FINAL]]-Tabela1[[#This Row],[SALDO CARTAO]]-Tabela1[[#This Row],[ADIANTAMENTO]]</f>
        <v>-2.99</v>
      </c>
      <c r="O393" s="67">
        <f>(-Tabela1[[#This Row],[SALDO REEMBOLSAR]]*$O$4)</f>
        <v>0</v>
      </c>
      <c r="P393" s="115">
        <f>IF(Tabela1[[#This Row],[CARGA PARCIAL]]&lt;0,0,Tabela1[[#This Row],[CARGA PARCIAL]])</f>
        <v>0</v>
      </c>
      <c r="Q393" s="91">
        <f>IF(Tabela1[[#This Row],[CARGA PARCIAL]]&lt;0,0,Tabela1[[#This Row],[CARGA PARCIAL]])+Tabela1[[#This Row],[REEMBOLSO]]</f>
        <v>0</v>
      </c>
      <c r="R393" s="66" t="s">
        <v>21</v>
      </c>
      <c r="S393" s="70"/>
    </row>
    <row r="394" spans="2:19" x14ac:dyDescent="0.25">
      <c r="B394" s="103" t="s">
        <v>794</v>
      </c>
      <c r="C394" s="102" t="s">
        <v>795</v>
      </c>
      <c r="D394" s="64" t="s">
        <v>17</v>
      </c>
      <c r="E394" s="64" t="s">
        <v>299</v>
      </c>
      <c r="F394" s="64">
        <v>11062050001</v>
      </c>
      <c r="G394" s="82" t="s">
        <v>240</v>
      </c>
      <c r="H394" s="64" t="s">
        <v>33</v>
      </c>
      <c r="I394" s="65">
        <v>0</v>
      </c>
      <c r="J394" s="65">
        <v>184.01</v>
      </c>
      <c r="K394" s="65">
        <v>180</v>
      </c>
      <c r="L394" s="65">
        <v>0</v>
      </c>
      <c r="M394" s="66">
        <v>0</v>
      </c>
      <c r="N394" s="88">
        <f>Tabela1[[#This Row],[1QZ DE DEZ 26]]-Tabela1[[#This Row],[SALDO FINAL]]-Tabela1[[#This Row],[SALDO CARTAO]]-Tabela1[[#This Row],[ADIANTAMENTO]]</f>
        <v>-4.0099999999999909</v>
      </c>
      <c r="O394" s="67">
        <f>(-Tabela1[[#This Row],[SALDO REEMBOLSAR]]*$O$4)</f>
        <v>0</v>
      </c>
      <c r="P394" s="115">
        <f>IF(Tabela1[[#This Row],[CARGA PARCIAL]]&lt;0,0,Tabela1[[#This Row],[CARGA PARCIAL]])</f>
        <v>0</v>
      </c>
      <c r="Q394" s="91">
        <f>IF(Tabela1[[#This Row],[CARGA PARCIAL]]&lt;0,0,Tabela1[[#This Row],[CARGA PARCIAL]])+Tabela1[[#This Row],[REEMBOLSO]]</f>
        <v>0</v>
      </c>
      <c r="R394" s="66" t="s">
        <v>21</v>
      </c>
      <c r="S394" s="70"/>
    </row>
    <row r="395" spans="2:19" x14ac:dyDescent="0.25">
      <c r="B395" s="103" t="s">
        <v>1417</v>
      </c>
      <c r="C395" s="102" t="s">
        <v>1919</v>
      </c>
      <c r="D395" s="64" t="s">
        <v>17</v>
      </c>
      <c r="E395" s="64" t="s">
        <v>1920</v>
      </c>
      <c r="F395" s="64">
        <v>11062580001</v>
      </c>
      <c r="G395" s="82" t="s">
        <v>236</v>
      </c>
      <c r="H395" s="64" t="s">
        <v>33</v>
      </c>
      <c r="I395" s="65">
        <v>0</v>
      </c>
      <c r="J395" s="65">
        <v>7.35</v>
      </c>
      <c r="K395" s="65">
        <v>0</v>
      </c>
      <c r="L395" s="65">
        <v>0</v>
      </c>
      <c r="M395" s="66">
        <v>0</v>
      </c>
      <c r="N395" s="88">
        <f>Tabela1[[#This Row],[1QZ DE DEZ 26]]-Tabela1[[#This Row],[SALDO FINAL]]-Tabela1[[#This Row],[SALDO CARTAO]]-Tabela1[[#This Row],[ADIANTAMENTO]]</f>
        <v>-7.35</v>
      </c>
      <c r="O395" s="67">
        <f>(-Tabela1[[#This Row],[SALDO REEMBOLSAR]]*$O$4)</f>
        <v>0</v>
      </c>
      <c r="P395" s="115">
        <f>IF(Tabela1[[#This Row],[CARGA PARCIAL]]&lt;0,0,Tabela1[[#This Row],[CARGA PARCIAL]])</f>
        <v>0</v>
      </c>
      <c r="Q395" s="91">
        <f>IF(Tabela1[[#This Row],[CARGA PARCIAL]]&lt;0,0,Tabela1[[#This Row],[CARGA PARCIAL]])+Tabela1[[#This Row],[REEMBOLSO]]</f>
        <v>0</v>
      </c>
      <c r="R395" s="66" t="s">
        <v>21</v>
      </c>
      <c r="S395" s="70"/>
    </row>
    <row r="396" spans="2:19" x14ac:dyDescent="0.25">
      <c r="B396" s="83" t="s">
        <v>517</v>
      </c>
      <c r="C396" s="64" t="s">
        <v>518</v>
      </c>
      <c r="D396" s="64" t="s">
        <v>17</v>
      </c>
      <c r="E396" s="64" t="s">
        <v>270</v>
      </c>
      <c r="F396" s="64">
        <v>11040140001</v>
      </c>
      <c r="G396" s="82" t="s">
        <v>240</v>
      </c>
      <c r="H396" s="64" t="s">
        <v>33</v>
      </c>
      <c r="I396" s="65">
        <v>0</v>
      </c>
      <c r="J396" s="65">
        <v>1.8400000000000034</v>
      </c>
      <c r="K396" s="65">
        <v>150</v>
      </c>
      <c r="L396" s="65">
        <v>156.04</v>
      </c>
      <c r="M396" s="66">
        <v>0</v>
      </c>
      <c r="N396" s="88">
        <f>Tabela1[[#This Row],[1QZ DE DEZ 26]]-Tabela1[[#This Row],[SALDO FINAL]]-Tabela1[[#This Row],[SALDO CARTAO]]-Tabela1[[#This Row],[ADIANTAMENTO]]</f>
        <v>-7.8799999999999955</v>
      </c>
      <c r="O396" s="67">
        <f>(-Tabela1[[#This Row],[SALDO REEMBOLSAR]]*$O$4)</f>
        <v>0</v>
      </c>
      <c r="P396" s="123">
        <f>IF(Tabela1[[#This Row],[CARGA PARCIAL]]&lt;0,0,Tabela1[[#This Row],[CARGA PARCIAL]])</f>
        <v>0</v>
      </c>
      <c r="Q396" s="91">
        <f>IF(Tabela1[[#This Row],[CARGA PARCIAL]]&lt;0,0,Tabela1[[#This Row],[CARGA PARCIAL]])+Tabela1[[#This Row],[REEMBOLSO]]</f>
        <v>0</v>
      </c>
      <c r="R396" s="66" t="s">
        <v>21</v>
      </c>
      <c r="S396" s="70"/>
    </row>
    <row r="397" spans="2:19" x14ac:dyDescent="0.25">
      <c r="B397" s="104" t="s">
        <v>1415</v>
      </c>
      <c r="C397" s="105" t="s">
        <v>1916</v>
      </c>
      <c r="D397" s="106" t="s">
        <v>17</v>
      </c>
      <c r="E397" s="106" t="s">
        <v>468</v>
      </c>
      <c r="F397" s="64">
        <v>1104150001</v>
      </c>
      <c r="G397" s="107" t="s">
        <v>240</v>
      </c>
      <c r="H397" s="106" t="s">
        <v>33</v>
      </c>
      <c r="I397" s="65">
        <v>0</v>
      </c>
      <c r="J397" s="65">
        <v>7.8999999999998547</v>
      </c>
      <c r="K397" s="65">
        <v>0</v>
      </c>
      <c r="L397" s="69">
        <v>0.76</v>
      </c>
      <c r="M397" s="70">
        <v>0</v>
      </c>
      <c r="N397" s="111">
        <f>Tabela1[[#This Row],[1QZ DE DEZ 26]]-Tabela1[[#This Row],[SALDO FINAL]]-Tabela1[[#This Row],[SALDO CARTAO]]-Tabela1[[#This Row],[ADIANTAMENTO]]</f>
        <v>-8.6599999999998545</v>
      </c>
      <c r="O397" s="67">
        <f>(-Tabela1[[#This Row],[SALDO REEMBOLSAR]]*$O$4)</f>
        <v>0</v>
      </c>
      <c r="P397" s="116">
        <f>IF(Tabela1[[#This Row],[CARGA PARCIAL]]&lt;0,0,Tabela1[[#This Row],[CARGA PARCIAL]])</f>
        <v>0</v>
      </c>
      <c r="Q397" s="92">
        <f>IF(Tabela1[[#This Row],[CARGA PARCIAL]]&lt;0,0,Tabela1[[#This Row],[CARGA PARCIAL]])+Tabela1[[#This Row],[REEMBOLSO]]</f>
        <v>0</v>
      </c>
      <c r="R397" s="66" t="s">
        <v>21</v>
      </c>
      <c r="S397" s="70"/>
    </row>
    <row r="398" spans="2:19" x14ac:dyDescent="0.25">
      <c r="B398" s="83" t="s">
        <v>484</v>
      </c>
      <c r="C398" s="64" t="s">
        <v>485</v>
      </c>
      <c r="D398" s="64" t="s">
        <v>17</v>
      </c>
      <c r="E398" s="64" t="s">
        <v>270</v>
      </c>
      <c r="F398" s="64">
        <v>11040140001</v>
      </c>
      <c r="G398" s="82" t="s">
        <v>240</v>
      </c>
      <c r="H398" s="64" t="s">
        <v>33</v>
      </c>
      <c r="I398" s="65">
        <v>0</v>
      </c>
      <c r="J398" s="65">
        <v>108</v>
      </c>
      <c r="K398" s="65">
        <v>100</v>
      </c>
      <c r="L398" s="65">
        <v>2</v>
      </c>
      <c r="M398" s="66">
        <v>0</v>
      </c>
      <c r="N398" s="88">
        <f>Tabela1[[#This Row],[1QZ DE DEZ 26]]-Tabela1[[#This Row],[SALDO FINAL]]-Tabela1[[#This Row],[SALDO CARTAO]]-Tabela1[[#This Row],[ADIANTAMENTO]]</f>
        <v>-10</v>
      </c>
      <c r="O398" s="67">
        <f>(-Tabela1[[#This Row],[SALDO REEMBOLSAR]]*$O$4)</f>
        <v>0</v>
      </c>
      <c r="P398" s="123">
        <f>IF(Tabela1[[#This Row],[CARGA PARCIAL]]&lt;0,0,Tabela1[[#This Row],[CARGA PARCIAL]])</f>
        <v>0</v>
      </c>
      <c r="Q398" s="91">
        <f>IF(Tabela1[[#This Row],[CARGA PARCIAL]]&lt;0,0,Tabela1[[#This Row],[CARGA PARCIAL]])+Tabela1[[#This Row],[REEMBOLSO]]</f>
        <v>0</v>
      </c>
      <c r="R398" s="66" t="s">
        <v>21</v>
      </c>
      <c r="S398" s="70"/>
    </row>
    <row r="399" spans="2:19" x14ac:dyDescent="0.25">
      <c r="B399" s="83" t="s">
        <v>879</v>
      </c>
      <c r="C399" s="64" t="s">
        <v>1764</v>
      </c>
      <c r="D399" s="64" t="s">
        <v>17</v>
      </c>
      <c r="E399" s="64" t="s">
        <v>488</v>
      </c>
      <c r="F399" s="64">
        <v>11061820001</v>
      </c>
      <c r="G399" s="82" t="s">
        <v>236</v>
      </c>
      <c r="H399" s="64" t="s">
        <v>33</v>
      </c>
      <c r="I399" s="65">
        <v>0</v>
      </c>
      <c r="J399" s="65">
        <v>13</v>
      </c>
      <c r="K399" s="65">
        <v>0</v>
      </c>
      <c r="L399" s="65">
        <v>0</v>
      </c>
      <c r="M399" s="66">
        <v>0</v>
      </c>
      <c r="N399" s="88">
        <f>Tabela1[[#This Row],[1QZ DE DEZ 26]]-Tabela1[[#This Row],[SALDO FINAL]]-Tabela1[[#This Row],[SALDO CARTAO]]-Tabela1[[#This Row],[ADIANTAMENTO]]</f>
        <v>-13</v>
      </c>
      <c r="O399" s="67">
        <f>(-Tabela1[[#This Row],[SALDO REEMBOLSAR]]*$O$4)</f>
        <v>0</v>
      </c>
      <c r="P399" s="123">
        <f>IF(Tabela1[[#This Row],[CARGA PARCIAL]]&lt;0,0,Tabela1[[#This Row],[CARGA PARCIAL]])</f>
        <v>0</v>
      </c>
      <c r="Q399" s="91">
        <f>IF(Tabela1[[#This Row],[CARGA PARCIAL]]&lt;0,0,Tabela1[[#This Row],[CARGA PARCIAL]])+Tabela1[[#This Row],[REEMBOLSO]]</f>
        <v>0</v>
      </c>
      <c r="R399" s="66" t="s">
        <v>21</v>
      </c>
      <c r="S399" s="70"/>
    </row>
    <row r="400" spans="2:19" x14ac:dyDescent="0.25">
      <c r="B400" s="103" t="s">
        <v>666</v>
      </c>
      <c r="C400" s="102" t="s">
        <v>667</v>
      </c>
      <c r="D400" s="64" t="s">
        <v>17</v>
      </c>
      <c r="E400" s="64" t="s">
        <v>239</v>
      </c>
      <c r="F400" s="64">
        <v>11040130001</v>
      </c>
      <c r="G400" s="82" t="s">
        <v>240</v>
      </c>
      <c r="H400" s="64" t="s">
        <v>33</v>
      </c>
      <c r="I400" s="65">
        <v>0</v>
      </c>
      <c r="J400" s="65">
        <v>113.49</v>
      </c>
      <c r="K400" s="65">
        <v>120</v>
      </c>
      <c r="L400" s="65">
        <v>20.010000000000002</v>
      </c>
      <c r="M400" s="66">
        <v>0</v>
      </c>
      <c r="N400" s="88">
        <f>Tabela1[[#This Row],[1QZ DE DEZ 26]]-Tabela1[[#This Row],[SALDO FINAL]]-Tabela1[[#This Row],[SALDO CARTAO]]-Tabela1[[#This Row],[ADIANTAMENTO]]</f>
        <v>-13.499999999999996</v>
      </c>
      <c r="O400" s="67">
        <f>(-Tabela1[[#This Row],[SALDO REEMBOLSAR]]*$O$4)</f>
        <v>0</v>
      </c>
      <c r="P400" s="115">
        <f>IF(Tabela1[[#This Row],[CARGA PARCIAL]]&lt;0,0,Tabela1[[#This Row],[CARGA PARCIAL]])</f>
        <v>0</v>
      </c>
      <c r="Q400" s="91">
        <f>IF(Tabela1[[#This Row],[CARGA PARCIAL]]&lt;0,0,Tabela1[[#This Row],[CARGA PARCIAL]])+Tabela1[[#This Row],[REEMBOLSO]]</f>
        <v>0</v>
      </c>
      <c r="R400" s="66" t="s">
        <v>21</v>
      </c>
      <c r="S400" s="70"/>
    </row>
    <row r="401" spans="2:19" x14ac:dyDescent="0.25">
      <c r="B401" s="83" t="s">
        <v>424</v>
      </c>
      <c r="C401" s="64" t="s">
        <v>425</v>
      </c>
      <c r="D401" s="64" t="s">
        <v>17</v>
      </c>
      <c r="E401" s="64" t="s">
        <v>360</v>
      </c>
      <c r="F401" s="64">
        <v>11061720001</v>
      </c>
      <c r="G401" s="82" t="s">
        <v>244</v>
      </c>
      <c r="H401" s="64" t="s">
        <v>33</v>
      </c>
      <c r="I401" s="65">
        <v>0</v>
      </c>
      <c r="J401" s="65">
        <v>814</v>
      </c>
      <c r="K401" s="65">
        <v>800</v>
      </c>
      <c r="L401" s="65">
        <v>0</v>
      </c>
      <c r="M401" s="66">
        <v>0</v>
      </c>
      <c r="N401" s="88">
        <f>Tabela1[[#This Row],[1QZ DE DEZ 26]]-Tabela1[[#This Row],[SALDO FINAL]]-Tabela1[[#This Row],[SALDO CARTAO]]-Tabela1[[#This Row],[ADIANTAMENTO]]</f>
        <v>-14</v>
      </c>
      <c r="O401" s="67">
        <f>(-Tabela1[[#This Row],[SALDO REEMBOLSAR]]*$O$4)</f>
        <v>0</v>
      </c>
      <c r="P401" s="123">
        <f>IF(Tabela1[[#This Row],[CARGA PARCIAL]]&lt;0,0,Tabela1[[#This Row],[CARGA PARCIAL]])</f>
        <v>0</v>
      </c>
      <c r="Q401" s="91">
        <f>IF(Tabela1[[#This Row],[CARGA PARCIAL]]&lt;0,0,Tabela1[[#This Row],[CARGA PARCIAL]])+Tabela1[[#This Row],[REEMBOLSO]]</f>
        <v>0</v>
      </c>
      <c r="R401" s="66" t="s">
        <v>21</v>
      </c>
      <c r="S401" s="70"/>
    </row>
    <row r="402" spans="2:19" x14ac:dyDescent="0.25">
      <c r="B402" s="83" t="s">
        <v>237</v>
      </c>
      <c r="C402" s="64" t="s">
        <v>238</v>
      </c>
      <c r="D402" s="64" t="s">
        <v>17</v>
      </c>
      <c r="E402" s="64" t="s">
        <v>239</v>
      </c>
      <c r="F402" s="64">
        <v>11040130001</v>
      </c>
      <c r="G402" s="82" t="s">
        <v>240</v>
      </c>
      <c r="H402" s="64" t="s">
        <v>33</v>
      </c>
      <c r="I402" s="65">
        <v>0</v>
      </c>
      <c r="J402" s="65">
        <v>164.8</v>
      </c>
      <c r="K402" s="65">
        <v>160</v>
      </c>
      <c r="L402" s="65">
        <v>10.199999999999999</v>
      </c>
      <c r="M402" s="66">
        <v>0</v>
      </c>
      <c r="N402" s="88">
        <f>Tabela1[[#This Row],[1QZ DE DEZ 26]]-Tabela1[[#This Row],[SALDO FINAL]]-Tabela1[[#This Row],[SALDO CARTAO]]-Tabela1[[#This Row],[ADIANTAMENTO]]</f>
        <v>-15.000000000000011</v>
      </c>
      <c r="O402" s="67">
        <f>(-Tabela1[[#This Row],[SALDO REEMBOLSAR]]*$O$4)</f>
        <v>0</v>
      </c>
      <c r="P402" s="123">
        <f>IF(Tabela1[[#This Row],[CARGA PARCIAL]]&lt;0,0,Tabela1[[#This Row],[CARGA PARCIAL]])</f>
        <v>0</v>
      </c>
      <c r="Q402" s="91">
        <f>IF(Tabela1[[#This Row],[CARGA PARCIAL]]&lt;0,0,Tabela1[[#This Row],[CARGA PARCIAL]])+Tabela1[[#This Row],[REEMBOLSO]]</f>
        <v>0</v>
      </c>
      <c r="R402" s="66" t="s">
        <v>21</v>
      </c>
      <c r="S402" s="70"/>
    </row>
    <row r="403" spans="2:19" x14ac:dyDescent="0.25">
      <c r="B403" s="83" t="s">
        <v>1206</v>
      </c>
      <c r="C403" s="64" t="s">
        <v>1852</v>
      </c>
      <c r="D403" s="64" t="s">
        <v>17</v>
      </c>
      <c r="E403" s="64" t="s">
        <v>1855</v>
      </c>
      <c r="F403" s="64">
        <v>11010340001</v>
      </c>
      <c r="G403" s="82" t="s">
        <v>25</v>
      </c>
      <c r="H403" s="64" t="s">
        <v>20</v>
      </c>
      <c r="I403" s="65">
        <v>0</v>
      </c>
      <c r="J403" s="65">
        <v>9.7699999999999818</v>
      </c>
      <c r="K403" s="65">
        <v>0</v>
      </c>
      <c r="L403" s="65">
        <v>8</v>
      </c>
      <c r="M403" s="66">
        <v>0</v>
      </c>
      <c r="N403" s="88">
        <f>Tabela1[[#This Row],[1QZ DE DEZ 26]]-Tabela1[[#This Row],[SALDO FINAL]]-Tabela1[[#This Row],[SALDO CARTAO]]-Tabela1[[#This Row],[ADIANTAMENTO]]</f>
        <v>-17.769999999999982</v>
      </c>
      <c r="O403" s="67">
        <f>(-Tabela1[[#This Row],[SALDO REEMBOLSAR]]*$O$4)</f>
        <v>0</v>
      </c>
      <c r="P403" s="123">
        <f>IF(Tabela1[[#This Row],[CARGA PARCIAL]]&lt;0,0,Tabela1[[#This Row],[CARGA PARCIAL]])</f>
        <v>0</v>
      </c>
      <c r="Q403" s="91">
        <f>IF(Tabela1[[#This Row],[CARGA PARCIAL]]&lt;0,0,Tabela1[[#This Row],[CARGA PARCIAL]])+Tabela1[[#This Row],[REEMBOLSO]]</f>
        <v>0</v>
      </c>
      <c r="R403" s="66" t="s">
        <v>21</v>
      </c>
      <c r="S403" s="70"/>
    </row>
    <row r="404" spans="2:19" x14ac:dyDescent="0.25">
      <c r="B404" s="103" t="s">
        <v>1603</v>
      </c>
      <c r="C404" s="102" t="s">
        <v>1980</v>
      </c>
      <c r="D404" s="64" t="s">
        <v>17</v>
      </c>
      <c r="E404" s="64" t="s">
        <v>123</v>
      </c>
      <c r="F404" s="64">
        <v>11060700001</v>
      </c>
      <c r="G404" s="82" t="s">
        <v>25</v>
      </c>
      <c r="H404" s="64" t="s">
        <v>20</v>
      </c>
      <c r="I404" s="65">
        <v>0</v>
      </c>
      <c r="J404" s="65">
        <v>19.3</v>
      </c>
      <c r="K404" s="65">
        <v>0</v>
      </c>
      <c r="L404" s="65">
        <v>0</v>
      </c>
      <c r="M404" s="66">
        <v>0</v>
      </c>
      <c r="N404" s="88">
        <f>Tabela1[[#This Row],[1QZ DE DEZ 26]]-Tabela1[[#This Row],[SALDO FINAL]]-Tabela1[[#This Row],[SALDO CARTAO]]-Tabela1[[#This Row],[ADIANTAMENTO]]</f>
        <v>-19.3</v>
      </c>
      <c r="O404" s="67">
        <f>(-Tabela1[[#This Row],[SALDO REEMBOLSAR]]*$O$4)</f>
        <v>0</v>
      </c>
      <c r="P404" s="115">
        <f>IF(Tabela1[[#This Row],[CARGA PARCIAL]]&lt;0,0,Tabela1[[#This Row],[CARGA PARCIAL]])</f>
        <v>0</v>
      </c>
      <c r="Q404" s="91">
        <f>IF(Tabela1[[#This Row],[CARGA PARCIAL]]&lt;0,0,Tabela1[[#This Row],[CARGA PARCIAL]])+Tabela1[[#This Row],[REEMBOLSO]]</f>
        <v>0</v>
      </c>
      <c r="R404" s="66" t="s">
        <v>21</v>
      </c>
      <c r="S404" s="70"/>
    </row>
    <row r="405" spans="2:19" x14ac:dyDescent="0.25">
      <c r="B405" s="83" t="s">
        <v>551</v>
      </c>
      <c r="C405" s="64" t="s">
        <v>552</v>
      </c>
      <c r="D405" s="64" t="s">
        <v>17</v>
      </c>
      <c r="E405" s="64" t="s">
        <v>270</v>
      </c>
      <c r="F405" s="64">
        <v>11040140001</v>
      </c>
      <c r="G405" s="82" t="s">
        <v>240</v>
      </c>
      <c r="H405" s="64" t="s">
        <v>33</v>
      </c>
      <c r="I405" s="65">
        <v>0</v>
      </c>
      <c r="J405" s="65">
        <v>120.16999999999997</v>
      </c>
      <c r="K405" s="65">
        <v>100</v>
      </c>
      <c r="L405" s="65">
        <v>4.2300000000000004</v>
      </c>
      <c r="M405" s="66">
        <v>0</v>
      </c>
      <c r="N405" s="88">
        <f>Tabela1[[#This Row],[1QZ DE DEZ 26]]-Tabela1[[#This Row],[SALDO FINAL]]-Tabela1[[#This Row],[SALDO CARTAO]]-Tabela1[[#This Row],[ADIANTAMENTO]]</f>
        <v>-24.399999999999974</v>
      </c>
      <c r="O405" s="67">
        <f>(-Tabela1[[#This Row],[SALDO REEMBOLSAR]]*$O$4)</f>
        <v>0</v>
      </c>
      <c r="P405" s="123">
        <f>IF(Tabela1[[#This Row],[CARGA PARCIAL]]&lt;0,0,Tabela1[[#This Row],[CARGA PARCIAL]])</f>
        <v>0</v>
      </c>
      <c r="Q405" s="91">
        <f>IF(Tabela1[[#This Row],[CARGA PARCIAL]]&lt;0,0,Tabela1[[#This Row],[CARGA PARCIAL]])+Tabela1[[#This Row],[REEMBOLSO]]</f>
        <v>0</v>
      </c>
      <c r="R405" s="66" t="s">
        <v>21</v>
      </c>
      <c r="S405" s="70"/>
    </row>
    <row r="406" spans="2:19" x14ac:dyDescent="0.25">
      <c r="B406" s="83" t="s">
        <v>611</v>
      </c>
      <c r="C406" s="64" t="s">
        <v>612</v>
      </c>
      <c r="D406" s="64" t="s">
        <v>17</v>
      </c>
      <c r="E406" s="64" t="s">
        <v>270</v>
      </c>
      <c r="F406" s="64">
        <v>11040140001</v>
      </c>
      <c r="G406" s="82" t="s">
        <v>240</v>
      </c>
      <c r="H406" s="64" t="s">
        <v>33</v>
      </c>
      <c r="I406" s="65">
        <v>0</v>
      </c>
      <c r="J406" s="65">
        <v>120.01000000000002</v>
      </c>
      <c r="K406" s="65">
        <v>100</v>
      </c>
      <c r="L406" s="65">
        <v>4.59</v>
      </c>
      <c r="M406" s="66">
        <v>0</v>
      </c>
      <c r="N406" s="88">
        <f>Tabela1[[#This Row],[1QZ DE DEZ 26]]-Tabela1[[#This Row],[SALDO FINAL]]-Tabela1[[#This Row],[SALDO CARTAO]]-Tabela1[[#This Row],[ADIANTAMENTO]]</f>
        <v>-24.600000000000019</v>
      </c>
      <c r="O406" s="67">
        <f>(-Tabela1[[#This Row],[SALDO REEMBOLSAR]]*$O$4)</f>
        <v>0</v>
      </c>
      <c r="P406" s="123">
        <f>IF(Tabela1[[#This Row],[CARGA PARCIAL]]&lt;0,0,Tabela1[[#This Row],[CARGA PARCIAL]])</f>
        <v>0</v>
      </c>
      <c r="Q406" s="91">
        <f>IF(Tabela1[[#This Row],[CARGA PARCIAL]]&lt;0,0,Tabela1[[#This Row],[CARGA PARCIAL]])+Tabela1[[#This Row],[REEMBOLSO]]</f>
        <v>0</v>
      </c>
      <c r="R406" s="66" t="s">
        <v>21</v>
      </c>
      <c r="S406" s="70"/>
    </row>
    <row r="407" spans="2:19" x14ac:dyDescent="0.25">
      <c r="B407" s="103" t="s">
        <v>1554</v>
      </c>
      <c r="C407" s="102" t="s">
        <v>1961</v>
      </c>
      <c r="D407" s="64" t="s">
        <v>17</v>
      </c>
      <c r="E407" s="64" t="s">
        <v>468</v>
      </c>
      <c r="F407" s="64">
        <v>1104150001</v>
      </c>
      <c r="G407" s="82" t="s">
        <v>240</v>
      </c>
      <c r="H407" s="64" t="s">
        <v>33</v>
      </c>
      <c r="I407" s="65">
        <v>0</v>
      </c>
      <c r="J407" s="65">
        <v>0</v>
      </c>
      <c r="K407" s="65">
        <v>0</v>
      </c>
      <c r="L407" s="65">
        <v>24.99</v>
      </c>
      <c r="M407" s="66">
        <v>0</v>
      </c>
      <c r="N407" s="88">
        <f>Tabela1[[#This Row],[1QZ DE DEZ 26]]-Tabela1[[#This Row],[SALDO FINAL]]-Tabela1[[#This Row],[SALDO CARTAO]]-Tabela1[[#This Row],[ADIANTAMENTO]]</f>
        <v>-24.99</v>
      </c>
      <c r="O407" s="67">
        <f>(-Tabela1[[#This Row],[SALDO REEMBOLSAR]]*$O$4)</f>
        <v>0</v>
      </c>
      <c r="P407" s="115">
        <f>IF(Tabela1[[#This Row],[CARGA PARCIAL]]&lt;0,0,Tabela1[[#This Row],[CARGA PARCIAL]])</f>
        <v>0</v>
      </c>
      <c r="Q407" s="91">
        <f>IF(Tabela1[[#This Row],[CARGA PARCIAL]]&lt;0,0,Tabela1[[#This Row],[CARGA PARCIAL]])+Tabela1[[#This Row],[REEMBOLSO]]</f>
        <v>0</v>
      </c>
      <c r="R407" s="66" t="s">
        <v>21</v>
      </c>
      <c r="S407" s="70"/>
    </row>
    <row r="408" spans="2:19" x14ac:dyDescent="0.25">
      <c r="B408" s="83" t="s">
        <v>1172</v>
      </c>
      <c r="C408" s="64" t="s">
        <v>1840</v>
      </c>
      <c r="D408" s="64" t="s">
        <v>17</v>
      </c>
      <c r="E408" s="64" t="s">
        <v>468</v>
      </c>
      <c r="F408" s="64">
        <v>1104150001</v>
      </c>
      <c r="G408" s="82" t="s">
        <v>240</v>
      </c>
      <c r="H408" s="64" t="s">
        <v>33</v>
      </c>
      <c r="I408" s="65">
        <v>0</v>
      </c>
      <c r="J408" s="65">
        <v>18.810000000000002</v>
      </c>
      <c r="K408" s="65">
        <v>0</v>
      </c>
      <c r="L408" s="65">
        <v>8</v>
      </c>
      <c r="M408" s="66">
        <v>0</v>
      </c>
      <c r="N408" s="88">
        <f>Tabela1[[#This Row],[1QZ DE DEZ 26]]-Tabela1[[#This Row],[SALDO FINAL]]-Tabela1[[#This Row],[SALDO CARTAO]]-Tabela1[[#This Row],[ADIANTAMENTO]]</f>
        <v>-26.810000000000002</v>
      </c>
      <c r="O408" s="67">
        <f>(-Tabela1[[#This Row],[SALDO REEMBOLSAR]]*$O$4)</f>
        <v>0</v>
      </c>
      <c r="P408" s="123">
        <f>IF(Tabela1[[#This Row],[CARGA PARCIAL]]&lt;0,0,Tabela1[[#This Row],[CARGA PARCIAL]])</f>
        <v>0</v>
      </c>
      <c r="Q408" s="91">
        <f>IF(Tabela1[[#This Row],[CARGA PARCIAL]]&lt;0,0,Tabela1[[#This Row],[CARGA PARCIAL]])+Tabela1[[#This Row],[REEMBOLSO]]</f>
        <v>0</v>
      </c>
      <c r="R408" s="66" t="s">
        <v>21</v>
      </c>
      <c r="S408" s="70"/>
    </row>
    <row r="409" spans="2:19" x14ac:dyDescent="0.25">
      <c r="B409" s="103" t="s">
        <v>1565</v>
      </c>
      <c r="C409" s="102" t="s">
        <v>1966</v>
      </c>
      <c r="D409" s="64" t="s">
        <v>17</v>
      </c>
      <c r="E409" s="64" t="s">
        <v>468</v>
      </c>
      <c r="F409" s="64">
        <v>1104150001</v>
      </c>
      <c r="G409" s="82" t="s">
        <v>240</v>
      </c>
      <c r="H409" s="64" t="s">
        <v>33</v>
      </c>
      <c r="I409" s="65">
        <v>0</v>
      </c>
      <c r="J409" s="65">
        <v>29.230000000000004</v>
      </c>
      <c r="K409" s="65">
        <v>0</v>
      </c>
      <c r="L409" s="65">
        <v>0</v>
      </c>
      <c r="M409" s="66">
        <v>0</v>
      </c>
      <c r="N409" s="88">
        <f>Tabela1[[#This Row],[1QZ DE DEZ 26]]-Tabela1[[#This Row],[SALDO FINAL]]-Tabela1[[#This Row],[SALDO CARTAO]]-Tabela1[[#This Row],[ADIANTAMENTO]]</f>
        <v>-29.230000000000004</v>
      </c>
      <c r="O409" s="67">
        <f>(-Tabela1[[#This Row],[SALDO REEMBOLSAR]]*$O$4)</f>
        <v>0</v>
      </c>
      <c r="P409" s="115">
        <f>IF(Tabela1[[#This Row],[CARGA PARCIAL]]&lt;0,0,Tabela1[[#This Row],[CARGA PARCIAL]])</f>
        <v>0</v>
      </c>
      <c r="Q409" s="91">
        <f>IF(Tabela1[[#This Row],[CARGA PARCIAL]]&lt;0,0,Tabela1[[#This Row],[CARGA PARCIAL]])+Tabela1[[#This Row],[REEMBOLSO]]</f>
        <v>0</v>
      </c>
      <c r="R409" s="66" t="s">
        <v>21</v>
      </c>
      <c r="S409" s="70"/>
    </row>
    <row r="410" spans="2:19" x14ac:dyDescent="0.25">
      <c r="B410" s="83" t="s">
        <v>539</v>
      </c>
      <c r="C410" s="64" t="s">
        <v>540</v>
      </c>
      <c r="D410" s="64" t="s">
        <v>17</v>
      </c>
      <c r="E410" s="64" t="s">
        <v>243</v>
      </c>
      <c r="F410" s="64">
        <v>11030690001</v>
      </c>
      <c r="G410" s="82" t="s">
        <v>244</v>
      </c>
      <c r="H410" s="64" t="s">
        <v>33</v>
      </c>
      <c r="I410" s="65">
        <v>0</v>
      </c>
      <c r="J410" s="65">
        <v>88.240000000000038</v>
      </c>
      <c r="K410" s="65">
        <v>240</v>
      </c>
      <c r="L410" s="65">
        <v>182.96</v>
      </c>
      <c r="M410" s="66">
        <v>0</v>
      </c>
      <c r="N410" s="88">
        <f>Tabela1[[#This Row],[1QZ DE DEZ 26]]-Tabela1[[#This Row],[SALDO FINAL]]-Tabela1[[#This Row],[SALDO CARTAO]]-Tabela1[[#This Row],[ADIANTAMENTO]]</f>
        <v>-31.200000000000045</v>
      </c>
      <c r="O410" s="67">
        <f>(-Tabela1[[#This Row],[SALDO REEMBOLSAR]]*$O$4)</f>
        <v>0</v>
      </c>
      <c r="P410" s="123">
        <f>IF(Tabela1[[#This Row],[CARGA PARCIAL]]&lt;0,0,Tabela1[[#This Row],[CARGA PARCIAL]])</f>
        <v>0</v>
      </c>
      <c r="Q410" s="91">
        <f>IF(Tabela1[[#This Row],[CARGA PARCIAL]]&lt;0,0,Tabela1[[#This Row],[CARGA PARCIAL]])+Tabela1[[#This Row],[REEMBOLSO]]</f>
        <v>0</v>
      </c>
      <c r="R410" s="66" t="s">
        <v>21</v>
      </c>
      <c r="S410" s="70"/>
    </row>
    <row r="411" spans="2:19" x14ac:dyDescent="0.25">
      <c r="B411" s="103" t="s">
        <v>668</v>
      </c>
      <c r="C411" s="102" t="s">
        <v>669</v>
      </c>
      <c r="D411" s="64" t="s">
        <v>17</v>
      </c>
      <c r="E411" s="64" t="s">
        <v>270</v>
      </c>
      <c r="F411" s="64">
        <v>11040140001</v>
      </c>
      <c r="G411" s="82" t="s">
        <v>240</v>
      </c>
      <c r="H411" s="64" t="s">
        <v>33</v>
      </c>
      <c r="I411" s="65">
        <v>0</v>
      </c>
      <c r="J411" s="65">
        <v>82.499999999999886</v>
      </c>
      <c r="K411" s="65">
        <v>50</v>
      </c>
      <c r="L411" s="65">
        <v>0</v>
      </c>
      <c r="M411" s="66">
        <v>0</v>
      </c>
      <c r="N411" s="88">
        <f>Tabela1[[#This Row],[1QZ DE DEZ 26]]-Tabela1[[#This Row],[SALDO FINAL]]-Tabela1[[#This Row],[SALDO CARTAO]]-Tabela1[[#This Row],[ADIANTAMENTO]]</f>
        <v>-32.499999999999886</v>
      </c>
      <c r="O411" s="67">
        <f>(-Tabela1[[#This Row],[SALDO REEMBOLSAR]]*$O$4)</f>
        <v>0</v>
      </c>
      <c r="P411" s="115">
        <f>IF(Tabela1[[#This Row],[CARGA PARCIAL]]&lt;0,0,Tabela1[[#This Row],[CARGA PARCIAL]])</f>
        <v>0</v>
      </c>
      <c r="Q411" s="91">
        <f>IF(Tabela1[[#This Row],[CARGA PARCIAL]]&lt;0,0,Tabela1[[#This Row],[CARGA PARCIAL]])+Tabela1[[#This Row],[REEMBOLSO]]</f>
        <v>0</v>
      </c>
      <c r="R411" s="66" t="s">
        <v>21</v>
      </c>
      <c r="S411" s="70"/>
    </row>
    <row r="412" spans="2:19" x14ac:dyDescent="0.25">
      <c r="B412" s="103" t="s">
        <v>1903</v>
      </c>
      <c r="C412" s="102" t="s">
        <v>1904</v>
      </c>
      <c r="D412" s="64" t="s">
        <v>17</v>
      </c>
      <c r="E412" s="64" t="s">
        <v>18</v>
      </c>
      <c r="F412" s="64">
        <v>11040170001</v>
      </c>
      <c r="G412" s="82" t="s">
        <v>19</v>
      </c>
      <c r="H412" s="64" t="s">
        <v>20</v>
      </c>
      <c r="I412" s="65">
        <v>0</v>
      </c>
      <c r="J412" s="65">
        <v>30.409999999999968</v>
      </c>
      <c r="K412" s="65">
        <v>0</v>
      </c>
      <c r="L412" s="65">
        <v>8</v>
      </c>
      <c r="M412" s="66">
        <v>0</v>
      </c>
      <c r="N412" s="88">
        <f>Tabela1[[#This Row],[1QZ DE DEZ 26]]-Tabela1[[#This Row],[SALDO FINAL]]-Tabela1[[#This Row],[SALDO CARTAO]]-Tabela1[[#This Row],[ADIANTAMENTO]]</f>
        <v>-38.409999999999968</v>
      </c>
      <c r="O412" s="67">
        <f>(-Tabela1[[#This Row],[SALDO REEMBOLSAR]]*$O$4)</f>
        <v>0</v>
      </c>
      <c r="P412" s="115">
        <f>IF(Tabela1[[#This Row],[CARGA PARCIAL]]&lt;0,0,Tabela1[[#This Row],[CARGA PARCIAL]])</f>
        <v>0</v>
      </c>
      <c r="Q412" s="91">
        <f>IF(Tabela1[[#This Row],[CARGA PARCIAL]]&lt;0,0,Tabela1[[#This Row],[CARGA PARCIAL]])+Tabela1[[#This Row],[REEMBOLSO]]</f>
        <v>0</v>
      </c>
      <c r="R412" s="66" t="s">
        <v>21</v>
      </c>
      <c r="S412" s="70"/>
    </row>
    <row r="413" spans="2:19" x14ac:dyDescent="0.25">
      <c r="B413" s="83" t="s">
        <v>1805</v>
      </c>
      <c r="C413" s="64" t="s">
        <v>1806</v>
      </c>
      <c r="D413" s="64" t="s">
        <v>17</v>
      </c>
      <c r="E413" s="64" t="s">
        <v>239</v>
      </c>
      <c r="F413" s="64">
        <v>11040130001</v>
      </c>
      <c r="G413" s="82" t="s">
        <v>244</v>
      </c>
      <c r="H413" s="64" t="s">
        <v>33</v>
      </c>
      <c r="I413" s="65">
        <v>0</v>
      </c>
      <c r="J413" s="65">
        <v>36.189999999999984</v>
      </c>
      <c r="K413" s="65">
        <v>0</v>
      </c>
      <c r="L413" s="65">
        <v>12.45</v>
      </c>
      <c r="M413" s="66">
        <v>0</v>
      </c>
      <c r="N413" s="88">
        <f>Tabela1[[#This Row],[1QZ DE DEZ 26]]-Tabela1[[#This Row],[SALDO FINAL]]-Tabela1[[#This Row],[SALDO CARTAO]]-Tabela1[[#This Row],[ADIANTAMENTO]]</f>
        <v>-48.639999999999986</v>
      </c>
      <c r="O413" s="67">
        <f>(-Tabela1[[#This Row],[SALDO REEMBOLSAR]]*$O$4)</f>
        <v>0</v>
      </c>
      <c r="P413" s="123">
        <f>IF(Tabela1[[#This Row],[CARGA PARCIAL]]&lt;0,0,Tabela1[[#This Row],[CARGA PARCIAL]])</f>
        <v>0</v>
      </c>
      <c r="Q413" s="91">
        <f>IF(Tabela1[[#This Row],[CARGA PARCIAL]]&lt;0,0,Tabela1[[#This Row],[CARGA PARCIAL]])+Tabela1[[#This Row],[REEMBOLSO]]</f>
        <v>0</v>
      </c>
      <c r="R413" s="66" t="s">
        <v>21</v>
      </c>
      <c r="S413" s="70"/>
    </row>
    <row r="414" spans="2:19" x14ac:dyDescent="0.25">
      <c r="B414" s="83" t="s">
        <v>559</v>
      </c>
      <c r="C414" s="64" t="s">
        <v>560</v>
      </c>
      <c r="D414" s="64" t="s">
        <v>17</v>
      </c>
      <c r="E414" s="64" t="s">
        <v>270</v>
      </c>
      <c r="F414" s="64">
        <v>11040140001</v>
      </c>
      <c r="G414" s="82" t="s">
        <v>240</v>
      </c>
      <c r="H414" s="64" t="s">
        <v>33</v>
      </c>
      <c r="I414" s="65">
        <v>0</v>
      </c>
      <c r="J414" s="65">
        <v>85.99</v>
      </c>
      <c r="K414" s="65">
        <v>50</v>
      </c>
      <c r="L414" s="65">
        <v>14.01</v>
      </c>
      <c r="M414" s="66">
        <v>0</v>
      </c>
      <c r="N414" s="88">
        <f>Tabela1[[#This Row],[1QZ DE DEZ 26]]-Tabela1[[#This Row],[SALDO FINAL]]-Tabela1[[#This Row],[SALDO CARTAO]]-Tabela1[[#This Row],[ADIANTAMENTO]]</f>
        <v>-49.999999999999993</v>
      </c>
      <c r="O414" s="67">
        <f>(-Tabela1[[#This Row],[SALDO REEMBOLSAR]]*$O$4)</f>
        <v>0</v>
      </c>
      <c r="P414" s="123">
        <f>IF(Tabela1[[#This Row],[CARGA PARCIAL]]&lt;0,0,Tabela1[[#This Row],[CARGA PARCIAL]])</f>
        <v>0</v>
      </c>
      <c r="Q414" s="91">
        <f>IF(Tabela1[[#This Row],[CARGA PARCIAL]]&lt;0,0,Tabela1[[#This Row],[CARGA PARCIAL]])+Tabela1[[#This Row],[REEMBOLSO]]</f>
        <v>0</v>
      </c>
      <c r="R414" s="66" t="s">
        <v>21</v>
      </c>
      <c r="S414" s="70"/>
    </row>
    <row r="415" spans="2:19" x14ac:dyDescent="0.25">
      <c r="B415" s="103" t="s">
        <v>1612</v>
      </c>
      <c r="C415" s="102" t="s">
        <v>1983</v>
      </c>
      <c r="D415" s="64" t="s">
        <v>17</v>
      </c>
      <c r="E415" s="64" t="s">
        <v>239</v>
      </c>
      <c r="F415" s="64">
        <v>11040130001</v>
      </c>
      <c r="G415" s="82" t="s">
        <v>240</v>
      </c>
      <c r="H415" s="64" t="s">
        <v>33</v>
      </c>
      <c r="I415" s="65">
        <v>0</v>
      </c>
      <c r="J415" s="65">
        <v>0</v>
      </c>
      <c r="K415" s="65">
        <v>0</v>
      </c>
      <c r="L415" s="65">
        <v>52.72</v>
      </c>
      <c r="M415" s="66">
        <v>0</v>
      </c>
      <c r="N415" s="88">
        <f>Tabela1[[#This Row],[1QZ DE DEZ 26]]-Tabela1[[#This Row],[SALDO FINAL]]-Tabela1[[#This Row],[SALDO CARTAO]]-Tabela1[[#This Row],[ADIANTAMENTO]]</f>
        <v>-52.72</v>
      </c>
      <c r="O415" s="67">
        <f>(-Tabela1[[#This Row],[SALDO REEMBOLSAR]]*$O$4)</f>
        <v>0</v>
      </c>
      <c r="P415" s="115">
        <f>IF(Tabela1[[#This Row],[CARGA PARCIAL]]&lt;0,0,Tabela1[[#This Row],[CARGA PARCIAL]])</f>
        <v>0</v>
      </c>
      <c r="Q415" s="91">
        <f>IF(Tabela1[[#This Row],[CARGA PARCIAL]]&lt;0,0,Tabela1[[#This Row],[CARGA PARCIAL]])+Tabela1[[#This Row],[REEMBOLSO]]</f>
        <v>0</v>
      </c>
      <c r="R415" s="66" t="s">
        <v>21</v>
      </c>
      <c r="S415" s="70"/>
    </row>
    <row r="416" spans="2:19" x14ac:dyDescent="0.25">
      <c r="B416" s="121" t="s">
        <v>1147</v>
      </c>
      <c r="C416" s="106" t="s">
        <v>1820</v>
      </c>
      <c r="D416" s="106" t="s">
        <v>17</v>
      </c>
      <c r="E416" s="106" t="s">
        <v>265</v>
      </c>
      <c r="F416" s="64">
        <v>1201005</v>
      </c>
      <c r="G416" s="107" t="s">
        <v>236</v>
      </c>
      <c r="H416" s="106" t="s">
        <v>33</v>
      </c>
      <c r="I416" s="65">
        <v>0</v>
      </c>
      <c r="J416" s="65">
        <v>15.419999999999945</v>
      </c>
      <c r="K416" s="65">
        <v>0</v>
      </c>
      <c r="L416" s="69">
        <v>40.64</v>
      </c>
      <c r="M416" s="70">
        <v>0</v>
      </c>
      <c r="N416" s="111">
        <f>Tabela1[[#This Row],[1QZ DE DEZ 26]]-Tabela1[[#This Row],[SALDO FINAL]]-Tabela1[[#This Row],[SALDO CARTAO]]-Tabela1[[#This Row],[ADIANTAMENTO]]</f>
        <v>-56.059999999999945</v>
      </c>
      <c r="O416" s="67">
        <f>(-Tabela1[[#This Row],[SALDO REEMBOLSAR]]*$O$4)</f>
        <v>0</v>
      </c>
      <c r="P416" s="124">
        <f>IF(Tabela1[[#This Row],[CARGA PARCIAL]]&lt;0,0,Tabela1[[#This Row],[CARGA PARCIAL]])</f>
        <v>0</v>
      </c>
      <c r="Q416" s="92">
        <f>IF(Tabela1[[#This Row],[CARGA PARCIAL]]&lt;0,0,Tabela1[[#This Row],[CARGA PARCIAL]])+Tabela1[[#This Row],[REEMBOLSO]]</f>
        <v>0</v>
      </c>
      <c r="R416" s="66" t="s">
        <v>423</v>
      </c>
      <c r="S416" s="70"/>
    </row>
    <row r="417" spans="2:19" x14ac:dyDescent="0.25">
      <c r="B417" s="121" t="s">
        <v>658</v>
      </c>
      <c r="C417" s="106" t="s">
        <v>659</v>
      </c>
      <c r="D417" s="106" t="s">
        <v>17</v>
      </c>
      <c r="E417" s="106" t="s">
        <v>660</v>
      </c>
      <c r="F417" s="64">
        <v>11030600001</v>
      </c>
      <c r="G417" s="107" t="s">
        <v>236</v>
      </c>
      <c r="H417" s="106" t="s">
        <v>33</v>
      </c>
      <c r="I417" s="65">
        <v>0</v>
      </c>
      <c r="J417" s="65">
        <v>2838.7799999999806</v>
      </c>
      <c r="K417" s="65">
        <v>2800</v>
      </c>
      <c r="L417" s="69">
        <v>18</v>
      </c>
      <c r="M417" s="70">
        <v>0</v>
      </c>
      <c r="N417" s="111">
        <f>Tabela1[[#This Row],[1QZ DE DEZ 26]]-Tabela1[[#This Row],[SALDO FINAL]]-Tabela1[[#This Row],[SALDO CARTAO]]-Tabela1[[#This Row],[ADIANTAMENTO]]</f>
        <v>-56.779999999980646</v>
      </c>
      <c r="O417" s="67">
        <f>(-Tabela1[[#This Row],[SALDO REEMBOLSAR]]*$O$4)</f>
        <v>0</v>
      </c>
      <c r="P417" s="124">
        <f>IF(Tabela1[[#This Row],[CARGA PARCIAL]]&lt;0,0,Tabela1[[#This Row],[CARGA PARCIAL]])</f>
        <v>0</v>
      </c>
      <c r="Q417" s="92">
        <f>IF(Tabela1[[#This Row],[CARGA PARCIAL]]&lt;0,0,Tabela1[[#This Row],[CARGA PARCIAL]])+Tabela1[[#This Row],[REEMBOLSO]]</f>
        <v>0</v>
      </c>
      <c r="R417" s="66" t="s">
        <v>21</v>
      </c>
      <c r="S417" s="70"/>
    </row>
    <row r="418" spans="2:19" x14ac:dyDescent="0.25">
      <c r="B418" s="83" t="s">
        <v>254</v>
      </c>
      <c r="C418" s="64" t="s">
        <v>255</v>
      </c>
      <c r="D418" s="64" t="s">
        <v>17</v>
      </c>
      <c r="E418" s="64" t="s">
        <v>256</v>
      </c>
      <c r="F418" s="64">
        <v>11080440001</v>
      </c>
      <c r="G418" s="82" t="s">
        <v>244</v>
      </c>
      <c r="H418" s="64" t="s">
        <v>33</v>
      </c>
      <c r="I418" s="65">
        <v>0</v>
      </c>
      <c r="J418" s="65">
        <v>407.10999999999967</v>
      </c>
      <c r="K418" s="65">
        <v>350</v>
      </c>
      <c r="L418" s="65">
        <v>0</v>
      </c>
      <c r="M418" s="66">
        <v>0</v>
      </c>
      <c r="N418" s="88">
        <f>Tabela1[[#This Row],[1QZ DE DEZ 26]]-Tabela1[[#This Row],[SALDO FINAL]]-Tabela1[[#This Row],[SALDO CARTAO]]-Tabela1[[#This Row],[ADIANTAMENTO]]</f>
        <v>-57.109999999999673</v>
      </c>
      <c r="O418" s="67">
        <f>(-Tabela1[[#This Row],[SALDO REEMBOLSAR]]*$O$4)</f>
        <v>0</v>
      </c>
      <c r="P418" s="123">
        <f>IF(Tabela1[[#This Row],[CARGA PARCIAL]]&lt;0,0,Tabela1[[#This Row],[CARGA PARCIAL]])</f>
        <v>0</v>
      </c>
      <c r="Q418" s="91">
        <f>IF(Tabela1[[#This Row],[CARGA PARCIAL]]&lt;0,0,Tabela1[[#This Row],[CARGA PARCIAL]])+Tabela1[[#This Row],[REEMBOLSO]]</f>
        <v>0</v>
      </c>
      <c r="R418" s="66" t="s">
        <v>21</v>
      </c>
      <c r="S418" s="70"/>
    </row>
    <row r="419" spans="2:19" x14ac:dyDescent="0.25">
      <c r="B419" s="103" t="s">
        <v>762</v>
      </c>
      <c r="C419" s="102" t="s">
        <v>763</v>
      </c>
      <c r="D419" s="64" t="s">
        <v>17</v>
      </c>
      <c r="E419" s="64" t="s">
        <v>239</v>
      </c>
      <c r="F419" s="64">
        <v>11040130001</v>
      </c>
      <c r="G419" s="82" t="s">
        <v>240</v>
      </c>
      <c r="H419" s="64" t="s">
        <v>33</v>
      </c>
      <c r="I419" s="65">
        <v>0</v>
      </c>
      <c r="J419" s="65">
        <v>120.28999999999981</v>
      </c>
      <c r="K419" s="65">
        <v>120</v>
      </c>
      <c r="L419" s="65">
        <v>65.67</v>
      </c>
      <c r="M419" s="66">
        <v>0</v>
      </c>
      <c r="N419" s="88">
        <f>Tabela1[[#This Row],[1QZ DE DEZ 26]]-Tabela1[[#This Row],[SALDO FINAL]]-Tabela1[[#This Row],[SALDO CARTAO]]-Tabela1[[#This Row],[ADIANTAMENTO]]</f>
        <v>-65.959999999999809</v>
      </c>
      <c r="O419" s="67">
        <f>(-Tabela1[[#This Row],[SALDO REEMBOLSAR]]*$O$4)</f>
        <v>0</v>
      </c>
      <c r="P419" s="115">
        <f>IF(Tabela1[[#This Row],[CARGA PARCIAL]]&lt;0,0,Tabela1[[#This Row],[CARGA PARCIAL]])</f>
        <v>0</v>
      </c>
      <c r="Q419" s="91">
        <f>IF(Tabela1[[#This Row],[CARGA PARCIAL]]&lt;0,0,Tabela1[[#This Row],[CARGA PARCIAL]])+Tabela1[[#This Row],[REEMBOLSO]]</f>
        <v>0</v>
      </c>
      <c r="R419" s="66" t="s">
        <v>21</v>
      </c>
      <c r="S419" s="70"/>
    </row>
    <row r="420" spans="2:19" x14ac:dyDescent="0.25">
      <c r="B420" s="83" t="s">
        <v>1313</v>
      </c>
      <c r="C420" s="64" t="s">
        <v>1879</v>
      </c>
      <c r="D420" s="64" t="s">
        <v>17</v>
      </c>
      <c r="E420" s="64" t="s">
        <v>468</v>
      </c>
      <c r="F420" s="64">
        <v>1104150001</v>
      </c>
      <c r="G420" s="82" t="s">
        <v>240</v>
      </c>
      <c r="H420" s="64" t="s">
        <v>33</v>
      </c>
      <c r="I420" s="65">
        <v>0</v>
      </c>
      <c r="J420" s="65">
        <v>41.030000000000442</v>
      </c>
      <c r="K420" s="65">
        <v>0</v>
      </c>
      <c r="L420" s="65">
        <v>24.99</v>
      </c>
      <c r="M420" s="66">
        <v>0</v>
      </c>
      <c r="N420" s="88">
        <f>Tabela1[[#This Row],[1QZ DE DEZ 26]]-Tabela1[[#This Row],[SALDO FINAL]]-Tabela1[[#This Row],[SALDO CARTAO]]-Tabela1[[#This Row],[ADIANTAMENTO]]</f>
        <v>-66.020000000000437</v>
      </c>
      <c r="O420" s="67">
        <f>(-Tabela1[[#This Row],[SALDO REEMBOLSAR]]*$O$4)</f>
        <v>0</v>
      </c>
      <c r="P420" s="123">
        <f>IF(Tabela1[[#This Row],[CARGA PARCIAL]]&lt;0,0,Tabela1[[#This Row],[CARGA PARCIAL]])</f>
        <v>0</v>
      </c>
      <c r="Q420" s="91">
        <f>IF(Tabela1[[#This Row],[CARGA PARCIAL]]&lt;0,0,Tabela1[[#This Row],[CARGA PARCIAL]])+Tabela1[[#This Row],[REEMBOLSO]]</f>
        <v>0</v>
      </c>
      <c r="R420" s="66" t="s">
        <v>21</v>
      </c>
      <c r="S420" s="70"/>
    </row>
    <row r="421" spans="2:19" x14ac:dyDescent="0.25">
      <c r="B421" s="103" t="s">
        <v>755</v>
      </c>
      <c r="C421" s="102" t="s">
        <v>756</v>
      </c>
      <c r="D421" s="64" t="s">
        <v>17</v>
      </c>
      <c r="E421" s="64" t="s">
        <v>239</v>
      </c>
      <c r="F421" s="64">
        <v>11040130001</v>
      </c>
      <c r="G421" s="82" t="s">
        <v>240</v>
      </c>
      <c r="H421" s="64" t="s">
        <v>33</v>
      </c>
      <c r="I421" s="65">
        <v>0</v>
      </c>
      <c r="J421" s="65">
        <v>200</v>
      </c>
      <c r="K421" s="65">
        <v>120</v>
      </c>
      <c r="L421" s="65">
        <v>0</v>
      </c>
      <c r="M421" s="66">
        <v>0</v>
      </c>
      <c r="N421" s="88">
        <f>Tabela1[[#This Row],[1QZ DE DEZ 26]]-Tabela1[[#This Row],[SALDO FINAL]]-Tabela1[[#This Row],[SALDO CARTAO]]-Tabela1[[#This Row],[ADIANTAMENTO]]</f>
        <v>-80</v>
      </c>
      <c r="O421" s="67">
        <f>(-Tabela1[[#This Row],[SALDO REEMBOLSAR]]*$O$4)</f>
        <v>0</v>
      </c>
      <c r="P421" s="115">
        <f>IF(Tabela1[[#This Row],[CARGA PARCIAL]]&lt;0,0,Tabela1[[#This Row],[CARGA PARCIAL]])</f>
        <v>0</v>
      </c>
      <c r="Q421" s="91">
        <f>IF(Tabela1[[#This Row],[CARGA PARCIAL]]&lt;0,0,Tabela1[[#This Row],[CARGA PARCIAL]])+Tabela1[[#This Row],[REEMBOLSO]]</f>
        <v>0</v>
      </c>
      <c r="R421" s="66" t="s">
        <v>21</v>
      </c>
      <c r="S421" s="70"/>
    </row>
    <row r="422" spans="2:19" x14ac:dyDescent="0.25">
      <c r="B422" s="83" t="s">
        <v>1331</v>
      </c>
      <c r="C422" s="64" t="s">
        <v>1885</v>
      </c>
      <c r="D422" s="64" t="s">
        <v>17</v>
      </c>
      <c r="E422" s="64" t="s">
        <v>569</v>
      </c>
      <c r="F422" s="64">
        <v>11080200001</v>
      </c>
      <c r="G422" s="82" t="s">
        <v>19</v>
      </c>
      <c r="H422" s="64" t="s">
        <v>20</v>
      </c>
      <c r="I422" s="65">
        <v>0</v>
      </c>
      <c r="J422" s="65">
        <v>81.830000000000155</v>
      </c>
      <c r="K422" s="65">
        <v>0</v>
      </c>
      <c r="L422" s="65">
        <v>0</v>
      </c>
      <c r="M422" s="66">
        <v>0</v>
      </c>
      <c r="N422" s="88">
        <f>Tabela1[[#This Row],[1QZ DE DEZ 26]]-Tabela1[[#This Row],[SALDO FINAL]]-Tabela1[[#This Row],[SALDO CARTAO]]-Tabela1[[#This Row],[ADIANTAMENTO]]</f>
        <v>-81.830000000000155</v>
      </c>
      <c r="O422" s="67">
        <f>(-Tabela1[[#This Row],[SALDO REEMBOLSAR]]*$O$4)</f>
        <v>0</v>
      </c>
      <c r="P422" s="123">
        <f>IF(Tabela1[[#This Row],[CARGA PARCIAL]]&lt;0,0,Tabela1[[#This Row],[CARGA PARCIAL]])</f>
        <v>0</v>
      </c>
      <c r="Q422" s="91">
        <f>IF(Tabela1[[#This Row],[CARGA PARCIAL]]&lt;0,0,Tabela1[[#This Row],[CARGA PARCIAL]])+Tabela1[[#This Row],[REEMBOLSO]]</f>
        <v>0</v>
      </c>
      <c r="R422" s="66" t="s">
        <v>21</v>
      </c>
      <c r="S422" s="70"/>
    </row>
    <row r="423" spans="2:19" x14ac:dyDescent="0.25">
      <c r="B423" s="83" t="s">
        <v>553</v>
      </c>
      <c r="C423" s="64" t="s">
        <v>554</v>
      </c>
      <c r="D423" s="64" t="s">
        <v>17</v>
      </c>
      <c r="E423" s="64" t="s">
        <v>270</v>
      </c>
      <c r="F423" s="64">
        <v>11040140001</v>
      </c>
      <c r="G423" s="82" t="s">
        <v>240</v>
      </c>
      <c r="H423" s="64" t="s">
        <v>33</v>
      </c>
      <c r="I423" s="65">
        <v>0</v>
      </c>
      <c r="J423" s="65">
        <v>181.82999999999998</v>
      </c>
      <c r="K423" s="65">
        <v>100</v>
      </c>
      <c r="L423" s="65">
        <v>0.77</v>
      </c>
      <c r="M423" s="66">
        <v>0</v>
      </c>
      <c r="N423" s="88">
        <f>Tabela1[[#This Row],[1QZ DE DEZ 26]]-Tabela1[[#This Row],[SALDO FINAL]]-Tabela1[[#This Row],[SALDO CARTAO]]-Tabela1[[#This Row],[ADIANTAMENTO]]</f>
        <v>-82.59999999999998</v>
      </c>
      <c r="O423" s="67">
        <f>(-Tabela1[[#This Row],[SALDO REEMBOLSAR]]*$O$4)</f>
        <v>0</v>
      </c>
      <c r="P423" s="123">
        <f>IF(Tabela1[[#This Row],[CARGA PARCIAL]]&lt;0,0,Tabela1[[#This Row],[CARGA PARCIAL]])</f>
        <v>0</v>
      </c>
      <c r="Q423" s="91">
        <f>IF(Tabela1[[#This Row],[CARGA PARCIAL]]&lt;0,0,Tabela1[[#This Row],[CARGA PARCIAL]])+Tabela1[[#This Row],[REEMBOLSO]]</f>
        <v>0</v>
      </c>
      <c r="R423" s="66" t="s">
        <v>21</v>
      </c>
      <c r="S423" s="70"/>
    </row>
    <row r="424" spans="2:19" x14ac:dyDescent="0.25">
      <c r="B424" s="83" t="s">
        <v>1745</v>
      </c>
      <c r="C424" s="64" t="s">
        <v>1831</v>
      </c>
      <c r="D424" s="64" t="s">
        <v>17</v>
      </c>
      <c r="E424" s="64" t="s">
        <v>468</v>
      </c>
      <c r="F424" s="64">
        <v>1104150001</v>
      </c>
      <c r="G424" s="82" t="s">
        <v>240</v>
      </c>
      <c r="H424" s="64" t="s">
        <v>33</v>
      </c>
      <c r="I424" s="65">
        <v>0</v>
      </c>
      <c r="J424" s="65">
        <v>76.38</v>
      </c>
      <c r="K424" s="65">
        <v>0</v>
      </c>
      <c r="L424" s="65">
        <v>13.62</v>
      </c>
      <c r="M424" s="66">
        <v>0</v>
      </c>
      <c r="N424" s="88">
        <f>Tabela1[[#This Row],[1QZ DE DEZ 26]]-Tabela1[[#This Row],[SALDO FINAL]]-Tabela1[[#This Row],[SALDO CARTAO]]-Tabela1[[#This Row],[ADIANTAMENTO]]</f>
        <v>-90</v>
      </c>
      <c r="O424" s="67">
        <f>(-Tabela1[[#This Row],[SALDO REEMBOLSAR]]*$O$4)</f>
        <v>0</v>
      </c>
      <c r="P424" s="123">
        <f>IF(Tabela1[[#This Row],[CARGA PARCIAL]]&lt;0,0,Tabela1[[#This Row],[CARGA PARCIAL]])</f>
        <v>0</v>
      </c>
      <c r="Q424" s="91">
        <f>IF(Tabela1[[#This Row],[CARGA PARCIAL]]&lt;0,0,Tabela1[[#This Row],[CARGA PARCIAL]])+Tabela1[[#This Row],[REEMBOLSO]]</f>
        <v>0</v>
      </c>
      <c r="R424" s="66" t="s">
        <v>21</v>
      </c>
      <c r="S424" s="70"/>
    </row>
    <row r="425" spans="2:19" x14ac:dyDescent="0.25">
      <c r="B425" s="103" t="s">
        <v>674</v>
      </c>
      <c r="C425" s="102" t="s">
        <v>1926</v>
      </c>
      <c r="D425" s="64" t="s">
        <v>17</v>
      </c>
      <c r="E425" s="64" t="s">
        <v>595</v>
      </c>
      <c r="F425" s="64">
        <v>1201007</v>
      </c>
      <c r="G425" s="82" t="s">
        <v>284</v>
      </c>
      <c r="H425" s="64" t="s">
        <v>20</v>
      </c>
      <c r="I425" s="65">
        <v>0</v>
      </c>
      <c r="J425" s="65">
        <v>0</v>
      </c>
      <c r="K425" s="65">
        <v>0</v>
      </c>
      <c r="L425" s="65">
        <v>91.98</v>
      </c>
      <c r="M425" s="66">
        <v>0</v>
      </c>
      <c r="N425" s="88">
        <f>Tabela1[[#This Row],[1QZ DE DEZ 26]]-Tabela1[[#This Row],[SALDO FINAL]]-Tabela1[[#This Row],[SALDO CARTAO]]-Tabela1[[#This Row],[ADIANTAMENTO]]</f>
        <v>-91.98</v>
      </c>
      <c r="O425" s="67">
        <f>(-Tabela1[[#This Row],[SALDO REEMBOLSAR]]*$O$4)</f>
        <v>0</v>
      </c>
      <c r="P425" s="115">
        <f>IF(Tabela1[[#This Row],[CARGA PARCIAL]]&lt;0,0,Tabela1[[#This Row],[CARGA PARCIAL]])</f>
        <v>0</v>
      </c>
      <c r="Q425" s="91">
        <f>IF(Tabela1[[#This Row],[CARGA PARCIAL]]&lt;0,0,Tabela1[[#This Row],[CARGA PARCIAL]])+Tabela1[[#This Row],[REEMBOLSO]]</f>
        <v>0</v>
      </c>
      <c r="R425" s="66" t="s">
        <v>21</v>
      </c>
      <c r="S425" s="70"/>
    </row>
    <row r="426" spans="2:19" x14ac:dyDescent="0.25">
      <c r="B426" s="83" t="s">
        <v>1090</v>
      </c>
      <c r="C426" s="64" t="s">
        <v>1808</v>
      </c>
      <c r="D426" s="64" t="s">
        <v>17</v>
      </c>
      <c r="E426" s="64" t="s">
        <v>239</v>
      </c>
      <c r="F426" s="64">
        <v>11040130001</v>
      </c>
      <c r="G426" s="82" t="s">
        <v>240</v>
      </c>
      <c r="H426" s="64" t="s">
        <v>33</v>
      </c>
      <c r="I426" s="65">
        <v>0</v>
      </c>
      <c r="J426" s="65">
        <v>77.380000000000052</v>
      </c>
      <c r="K426" s="65">
        <v>0</v>
      </c>
      <c r="L426" s="65">
        <v>18.57</v>
      </c>
      <c r="M426" s="66">
        <v>0</v>
      </c>
      <c r="N426" s="88">
        <f>Tabela1[[#This Row],[1QZ DE DEZ 26]]-Tabela1[[#This Row],[SALDO FINAL]]-Tabela1[[#This Row],[SALDO CARTAO]]-Tabela1[[#This Row],[ADIANTAMENTO]]</f>
        <v>-95.950000000000045</v>
      </c>
      <c r="O426" s="67">
        <f>(-Tabela1[[#This Row],[SALDO REEMBOLSAR]]*$O$4)</f>
        <v>0</v>
      </c>
      <c r="P426" s="123">
        <f>IF(Tabela1[[#This Row],[CARGA PARCIAL]]&lt;0,0,Tabela1[[#This Row],[CARGA PARCIAL]])</f>
        <v>0</v>
      </c>
      <c r="Q426" s="91">
        <f>IF(Tabela1[[#This Row],[CARGA PARCIAL]]&lt;0,0,Tabela1[[#This Row],[CARGA PARCIAL]])+Tabela1[[#This Row],[REEMBOLSO]]</f>
        <v>0</v>
      </c>
      <c r="R426" s="66" t="s">
        <v>21</v>
      </c>
      <c r="S426" s="70"/>
    </row>
    <row r="427" spans="2:19" x14ac:dyDescent="0.25">
      <c r="B427" s="121" t="s">
        <v>1741</v>
      </c>
      <c r="C427" s="106" t="s">
        <v>1773</v>
      </c>
      <c r="D427" s="106" t="s">
        <v>17</v>
      </c>
      <c r="E427" s="106" t="s">
        <v>239</v>
      </c>
      <c r="F427" s="64">
        <v>11040130001</v>
      </c>
      <c r="G427" s="107" t="s">
        <v>244</v>
      </c>
      <c r="H427" s="106" t="s">
        <v>33</v>
      </c>
      <c r="I427" s="65">
        <v>0</v>
      </c>
      <c r="J427" s="65">
        <v>82.5</v>
      </c>
      <c r="K427" s="65">
        <v>0</v>
      </c>
      <c r="L427" s="69">
        <v>17.5</v>
      </c>
      <c r="M427" s="70">
        <v>0</v>
      </c>
      <c r="N427" s="111">
        <f>Tabela1[[#This Row],[1QZ DE DEZ 26]]-Tabela1[[#This Row],[SALDO FINAL]]-Tabela1[[#This Row],[SALDO CARTAO]]-Tabela1[[#This Row],[ADIANTAMENTO]]</f>
        <v>-100</v>
      </c>
      <c r="O427" s="67">
        <f>(-Tabela1[[#This Row],[SALDO REEMBOLSAR]]*$O$4)</f>
        <v>0</v>
      </c>
      <c r="P427" s="124">
        <f>IF(Tabela1[[#This Row],[CARGA PARCIAL]]&lt;0,0,Tabela1[[#This Row],[CARGA PARCIAL]])</f>
        <v>0</v>
      </c>
      <c r="Q427" s="92">
        <f>IF(Tabela1[[#This Row],[CARGA PARCIAL]]&lt;0,0,Tabela1[[#This Row],[CARGA PARCIAL]])+Tabela1[[#This Row],[REEMBOLSO]]</f>
        <v>0</v>
      </c>
      <c r="R427" s="66" t="s">
        <v>21</v>
      </c>
      <c r="S427" s="70"/>
    </row>
    <row r="428" spans="2:19" x14ac:dyDescent="0.25">
      <c r="B428" s="83" t="s">
        <v>1744</v>
      </c>
      <c r="C428" s="64" t="s">
        <v>1821</v>
      </c>
      <c r="D428" s="64" t="s">
        <v>17</v>
      </c>
      <c r="E428" s="64" t="s">
        <v>239</v>
      </c>
      <c r="F428" s="64">
        <v>11040130001</v>
      </c>
      <c r="G428" s="82" t="s">
        <v>240</v>
      </c>
      <c r="H428" s="64" t="s">
        <v>33</v>
      </c>
      <c r="I428" s="65">
        <v>0</v>
      </c>
      <c r="J428" s="65">
        <v>95.26</v>
      </c>
      <c r="K428" s="65">
        <v>0</v>
      </c>
      <c r="L428" s="65">
        <v>5.74</v>
      </c>
      <c r="M428" s="66">
        <v>0</v>
      </c>
      <c r="N428" s="88">
        <f>Tabela1[[#This Row],[1QZ DE DEZ 26]]-Tabela1[[#This Row],[SALDO FINAL]]-Tabela1[[#This Row],[SALDO CARTAO]]-Tabela1[[#This Row],[ADIANTAMENTO]]</f>
        <v>-101</v>
      </c>
      <c r="O428" s="67">
        <f>(-Tabela1[[#This Row],[SALDO REEMBOLSAR]]*$O$4)</f>
        <v>0</v>
      </c>
      <c r="P428" s="123">
        <f>IF(Tabela1[[#This Row],[CARGA PARCIAL]]&lt;0,0,Tabela1[[#This Row],[CARGA PARCIAL]])</f>
        <v>0</v>
      </c>
      <c r="Q428" s="91">
        <f>IF(Tabela1[[#This Row],[CARGA PARCIAL]]&lt;0,0,Tabela1[[#This Row],[CARGA PARCIAL]])+Tabela1[[#This Row],[REEMBOLSO]]</f>
        <v>0</v>
      </c>
      <c r="R428" s="66" t="s">
        <v>21</v>
      </c>
      <c r="S428" s="70"/>
    </row>
    <row r="429" spans="2:19" x14ac:dyDescent="0.25">
      <c r="B429" s="83" t="s">
        <v>231</v>
      </c>
      <c r="C429" s="64" t="s">
        <v>232</v>
      </c>
      <c r="D429" s="64" t="s">
        <v>17</v>
      </c>
      <c r="E429" s="64" t="s">
        <v>36</v>
      </c>
      <c r="F429" s="64">
        <v>11030800001</v>
      </c>
      <c r="G429" s="82" t="s">
        <v>25</v>
      </c>
      <c r="H429" s="64" t="s">
        <v>20</v>
      </c>
      <c r="I429" s="65">
        <v>0</v>
      </c>
      <c r="J429" s="65">
        <v>301.84000000000015</v>
      </c>
      <c r="K429" s="65">
        <v>500</v>
      </c>
      <c r="L429" s="65">
        <v>303.22000000000003</v>
      </c>
      <c r="M429" s="66">
        <v>0</v>
      </c>
      <c r="N429" s="88">
        <f>Tabela1[[#This Row],[1QZ DE DEZ 26]]-Tabela1[[#This Row],[SALDO FINAL]]-Tabela1[[#This Row],[SALDO CARTAO]]-Tabela1[[#This Row],[ADIANTAMENTO]]</f>
        <v>-105.06000000000017</v>
      </c>
      <c r="O429" s="67">
        <f>(-Tabela1[[#This Row],[SALDO REEMBOLSAR]]*$O$4)</f>
        <v>0</v>
      </c>
      <c r="P429" s="123">
        <f>IF(Tabela1[[#This Row],[CARGA PARCIAL]]&lt;0,0,Tabela1[[#This Row],[CARGA PARCIAL]])</f>
        <v>0</v>
      </c>
      <c r="Q429" s="91">
        <f>IF(Tabela1[[#This Row],[CARGA PARCIAL]]&lt;0,0,Tabela1[[#This Row],[CARGA PARCIAL]])+Tabela1[[#This Row],[REEMBOLSO]]</f>
        <v>0</v>
      </c>
      <c r="R429" s="66" t="s">
        <v>21</v>
      </c>
      <c r="S429" s="70"/>
    </row>
    <row r="430" spans="2:19" x14ac:dyDescent="0.25">
      <c r="B430" s="121" t="s">
        <v>532</v>
      </c>
      <c r="C430" s="106" t="s">
        <v>533</v>
      </c>
      <c r="D430" s="106" t="s">
        <v>17</v>
      </c>
      <c r="E430" s="106" t="s">
        <v>347</v>
      </c>
      <c r="F430" s="64">
        <v>11040040001</v>
      </c>
      <c r="G430" s="107" t="s">
        <v>1989</v>
      </c>
      <c r="H430" s="106" t="s">
        <v>20</v>
      </c>
      <c r="I430" s="65">
        <v>0</v>
      </c>
      <c r="J430" s="65">
        <v>1811.58</v>
      </c>
      <c r="K430" s="65">
        <v>1700</v>
      </c>
      <c r="L430" s="69">
        <v>0.75</v>
      </c>
      <c r="M430" s="70">
        <v>0</v>
      </c>
      <c r="N430" s="111">
        <f>Tabela1[[#This Row],[1QZ DE DEZ 26]]-Tabela1[[#This Row],[SALDO FINAL]]-Tabela1[[#This Row],[SALDO CARTAO]]-Tabela1[[#This Row],[ADIANTAMENTO]]</f>
        <v>-112.32999999999993</v>
      </c>
      <c r="O430" s="67">
        <f>(-Tabela1[[#This Row],[SALDO REEMBOLSAR]]*$O$4)</f>
        <v>0</v>
      </c>
      <c r="P430" s="124">
        <f>IF(Tabela1[[#This Row],[CARGA PARCIAL]]&lt;0,0,Tabela1[[#This Row],[CARGA PARCIAL]])</f>
        <v>0</v>
      </c>
      <c r="Q430" s="92">
        <f>IF(Tabela1[[#This Row],[CARGA PARCIAL]]&lt;0,0,Tabela1[[#This Row],[CARGA PARCIAL]])+Tabela1[[#This Row],[REEMBOLSO]]</f>
        <v>0</v>
      </c>
      <c r="R430" s="66" t="s">
        <v>21</v>
      </c>
      <c r="S430" s="70"/>
    </row>
    <row r="431" spans="2:19" x14ac:dyDescent="0.25">
      <c r="B431" s="83" t="s">
        <v>1020</v>
      </c>
      <c r="C431" s="64" t="s">
        <v>1790</v>
      </c>
      <c r="D431" s="64" t="s">
        <v>17</v>
      </c>
      <c r="E431" s="64" t="s">
        <v>468</v>
      </c>
      <c r="F431" s="64">
        <v>1104150001</v>
      </c>
      <c r="G431" s="82" t="s">
        <v>240</v>
      </c>
      <c r="H431" s="64" t="s">
        <v>33</v>
      </c>
      <c r="I431" s="65">
        <v>0</v>
      </c>
      <c r="J431" s="65">
        <v>106.78</v>
      </c>
      <c r="K431" s="65">
        <v>0</v>
      </c>
      <c r="L431" s="65">
        <v>7.97</v>
      </c>
      <c r="M431" s="66">
        <v>0</v>
      </c>
      <c r="N431" s="88">
        <f>Tabela1[[#This Row],[1QZ DE DEZ 26]]-Tabela1[[#This Row],[SALDO FINAL]]-Tabela1[[#This Row],[SALDO CARTAO]]-Tabela1[[#This Row],[ADIANTAMENTO]]</f>
        <v>-114.75</v>
      </c>
      <c r="O431" s="67">
        <f>(-Tabela1[[#This Row],[SALDO REEMBOLSAR]]*$O$4)</f>
        <v>0</v>
      </c>
      <c r="P431" s="123">
        <f>IF(Tabela1[[#This Row],[CARGA PARCIAL]]&lt;0,0,Tabela1[[#This Row],[CARGA PARCIAL]])</f>
        <v>0</v>
      </c>
      <c r="Q431" s="91">
        <f>IF(Tabela1[[#This Row],[CARGA PARCIAL]]&lt;0,0,Tabela1[[#This Row],[CARGA PARCIAL]])+Tabela1[[#This Row],[REEMBOLSO]]</f>
        <v>0</v>
      </c>
      <c r="R431" s="66" t="s">
        <v>21</v>
      </c>
      <c r="S431" s="70"/>
    </row>
    <row r="432" spans="2:19" x14ac:dyDescent="0.25">
      <c r="B432" s="103" t="s">
        <v>196</v>
      </c>
      <c r="C432" s="102" t="s">
        <v>197</v>
      </c>
      <c r="D432" s="64" t="s">
        <v>17</v>
      </c>
      <c r="E432" s="64" t="s">
        <v>81</v>
      </c>
      <c r="F432" s="64">
        <v>11062670001</v>
      </c>
      <c r="G432" s="82" t="s">
        <v>32</v>
      </c>
      <c r="H432" s="64" t="s">
        <v>33</v>
      </c>
      <c r="I432" s="65">
        <v>0</v>
      </c>
      <c r="J432" s="65">
        <v>909.99999999999977</v>
      </c>
      <c r="K432" s="65">
        <v>800</v>
      </c>
      <c r="L432" s="65">
        <v>6.22</v>
      </c>
      <c r="M432" s="66">
        <v>0</v>
      </c>
      <c r="N432" s="88">
        <f>Tabela1[[#This Row],[1QZ DE DEZ 26]]-Tabela1[[#This Row],[SALDO FINAL]]-Tabela1[[#This Row],[SALDO CARTAO]]-Tabela1[[#This Row],[ADIANTAMENTO]]</f>
        <v>-116.21999999999977</v>
      </c>
      <c r="O432" s="67">
        <f>(-Tabela1[[#This Row],[SALDO REEMBOLSAR]]*$O$4)</f>
        <v>0</v>
      </c>
      <c r="P432" s="115">
        <f>IF(Tabela1[[#This Row],[CARGA PARCIAL]]&lt;0,0,Tabela1[[#This Row],[CARGA PARCIAL]])</f>
        <v>0</v>
      </c>
      <c r="Q432" s="91">
        <f>IF(Tabela1[[#This Row],[CARGA PARCIAL]]&lt;0,0,Tabela1[[#This Row],[CARGA PARCIAL]])+Tabela1[[#This Row],[REEMBOLSO]]</f>
        <v>0</v>
      </c>
      <c r="R432" s="66" t="s">
        <v>21</v>
      </c>
      <c r="S432" s="70"/>
    </row>
    <row r="433" spans="2:19" x14ac:dyDescent="0.25">
      <c r="B433" s="103" t="s">
        <v>1746</v>
      </c>
      <c r="C433" s="102" t="s">
        <v>1913</v>
      </c>
      <c r="D433" s="64" t="s">
        <v>17</v>
      </c>
      <c r="E433" s="64" t="s">
        <v>239</v>
      </c>
      <c r="F433" s="64">
        <v>11040130001</v>
      </c>
      <c r="G433" s="82" t="s">
        <v>240</v>
      </c>
      <c r="H433" s="64" t="s">
        <v>33</v>
      </c>
      <c r="I433" s="65">
        <v>0</v>
      </c>
      <c r="J433" s="65">
        <v>7.3199999999999932</v>
      </c>
      <c r="K433" s="65">
        <v>0</v>
      </c>
      <c r="L433" s="65">
        <v>122.44</v>
      </c>
      <c r="M433" s="66">
        <v>0</v>
      </c>
      <c r="N433" s="88">
        <f>Tabela1[[#This Row],[1QZ DE DEZ 26]]-Tabela1[[#This Row],[SALDO FINAL]]-Tabela1[[#This Row],[SALDO CARTAO]]-Tabela1[[#This Row],[ADIANTAMENTO]]</f>
        <v>-129.76</v>
      </c>
      <c r="O433" s="67">
        <f>(-Tabela1[[#This Row],[SALDO REEMBOLSAR]]*$O$4)</f>
        <v>0</v>
      </c>
      <c r="P433" s="115">
        <f>IF(Tabela1[[#This Row],[CARGA PARCIAL]]&lt;0,0,Tabela1[[#This Row],[CARGA PARCIAL]])</f>
        <v>0</v>
      </c>
      <c r="Q433" s="91">
        <f>IF(Tabela1[[#This Row],[CARGA PARCIAL]]&lt;0,0,Tabela1[[#This Row],[CARGA PARCIAL]])+Tabela1[[#This Row],[REEMBOLSO]]</f>
        <v>0</v>
      </c>
      <c r="R433" s="66" t="s">
        <v>21</v>
      </c>
      <c r="S433" s="70"/>
    </row>
    <row r="434" spans="2:19" x14ac:dyDescent="0.25">
      <c r="B434" s="104" t="s">
        <v>626</v>
      </c>
      <c r="C434" s="105" t="s">
        <v>627</v>
      </c>
      <c r="D434" s="106" t="s">
        <v>17</v>
      </c>
      <c r="E434" s="106" t="s">
        <v>24</v>
      </c>
      <c r="F434" s="64">
        <v>11040160001</v>
      </c>
      <c r="G434" s="107" t="s">
        <v>25</v>
      </c>
      <c r="H434" s="106" t="s">
        <v>20</v>
      </c>
      <c r="I434" s="65">
        <v>0</v>
      </c>
      <c r="J434" s="65">
        <v>1132.47</v>
      </c>
      <c r="K434" s="65">
        <v>1000</v>
      </c>
      <c r="L434" s="69">
        <v>1.2</v>
      </c>
      <c r="M434" s="70">
        <v>0</v>
      </c>
      <c r="N434" s="111">
        <f>Tabela1[[#This Row],[1QZ DE DEZ 26]]-Tabela1[[#This Row],[SALDO FINAL]]-Tabela1[[#This Row],[SALDO CARTAO]]-Tabela1[[#This Row],[ADIANTAMENTO]]</f>
        <v>-133.67000000000002</v>
      </c>
      <c r="O434" s="67">
        <f>(-Tabela1[[#This Row],[SALDO REEMBOLSAR]]*$O$4)</f>
        <v>0</v>
      </c>
      <c r="P434" s="116">
        <f>IF(Tabela1[[#This Row],[CARGA PARCIAL]]&lt;0,0,Tabela1[[#This Row],[CARGA PARCIAL]])</f>
        <v>0</v>
      </c>
      <c r="Q434" s="92">
        <f>IF(Tabela1[[#This Row],[CARGA PARCIAL]]&lt;0,0,Tabela1[[#This Row],[CARGA PARCIAL]])+Tabela1[[#This Row],[REEMBOLSO]]</f>
        <v>0</v>
      </c>
      <c r="R434" s="66" t="s">
        <v>21</v>
      </c>
      <c r="S434" s="70"/>
    </row>
    <row r="435" spans="2:19" x14ac:dyDescent="0.25">
      <c r="B435" s="103" t="s">
        <v>718</v>
      </c>
      <c r="C435" s="102" t="s">
        <v>719</v>
      </c>
      <c r="D435" s="64" t="s">
        <v>17</v>
      </c>
      <c r="E435" s="64" t="s">
        <v>239</v>
      </c>
      <c r="F435" s="64">
        <v>11040130001</v>
      </c>
      <c r="G435" s="82" t="s">
        <v>240</v>
      </c>
      <c r="H435" s="64" t="s">
        <v>33</v>
      </c>
      <c r="I435" s="65">
        <v>0</v>
      </c>
      <c r="J435" s="65">
        <v>233.90000000000006</v>
      </c>
      <c r="K435" s="65">
        <v>120</v>
      </c>
      <c r="L435" s="65">
        <v>26.1</v>
      </c>
      <c r="M435" s="66">
        <v>0</v>
      </c>
      <c r="N435" s="88">
        <f>Tabela1[[#This Row],[1QZ DE DEZ 26]]-Tabela1[[#This Row],[SALDO FINAL]]-Tabela1[[#This Row],[SALDO CARTAO]]-Tabela1[[#This Row],[ADIANTAMENTO]]</f>
        <v>-140.00000000000006</v>
      </c>
      <c r="O435" s="67">
        <f>(-Tabela1[[#This Row],[SALDO REEMBOLSAR]]*$O$4)</f>
        <v>0</v>
      </c>
      <c r="P435" s="115">
        <f>IF(Tabela1[[#This Row],[CARGA PARCIAL]]&lt;0,0,Tabela1[[#This Row],[CARGA PARCIAL]])</f>
        <v>0</v>
      </c>
      <c r="Q435" s="91">
        <f>IF(Tabela1[[#This Row],[CARGA PARCIAL]]&lt;0,0,Tabela1[[#This Row],[CARGA PARCIAL]])+Tabela1[[#This Row],[REEMBOLSO]]</f>
        <v>0</v>
      </c>
      <c r="R435" s="66" t="s">
        <v>21</v>
      </c>
      <c r="S435" s="70"/>
    </row>
    <row r="436" spans="2:19" x14ac:dyDescent="0.25">
      <c r="B436" s="103" t="s">
        <v>1493</v>
      </c>
      <c r="C436" s="102" t="s">
        <v>1945</v>
      </c>
      <c r="D436" s="64" t="s">
        <v>17</v>
      </c>
      <c r="E436" s="64" t="s">
        <v>468</v>
      </c>
      <c r="F436" s="64">
        <v>1104150001</v>
      </c>
      <c r="G436" s="82" t="s">
        <v>240</v>
      </c>
      <c r="H436" s="64" t="s">
        <v>33</v>
      </c>
      <c r="I436" s="65">
        <v>0</v>
      </c>
      <c r="J436" s="65">
        <v>139.79999999999995</v>
      </c>
      <c r="K436" s="65">
        <v>0</v>
      </c>
      <c r="L436" s="65">
        <v>2</v>
      </c>
      <c r="M436" s="66">
        <v>0</v>
      </c>
      <c r="N436" s="88">
        <f>Tabela1[[#This Row],[1QZ DE DEZ 26]]-Tabela1[[#This Row],[SALDO FINAL]]-Tabela1[[#This Row],[SALDO CARTAO]]-Tabela1[[#This Row],[ADIANTAMENTO]]</f>
        <v>-141.79999999999995</v>
      </c>
      <c r="O436" s="67">
        <f>(-Tabela1[[#This Row],[SALDO REEMBOLSAR]]*$O$4)</f>
        <v>0</v>
      </c>
      <c r="P436" s="115">
        <f>IF(Tabela1[[#This Row],[CARGA PARCIAL]]&lt;0,0,Tabela1[[#This Row],[CARGA PARCIAL]])</f>
        <v>0</v>
      </c>
      <c r="Q436" s="91">
        <f>IF(Tabela1[[#This Row],[CARGA PARCIAL]]&lt;0,0,Tabela1[[#This Row],[CARGA PARCIAL]])+Tabela1[[#This Row],[REEMBOLSO]]</f>
        <v>0</v>
      </c>
      <c r="R436" s="66" t="s">
        <v>21</v>
      </c>
      <c r="S436" s="70"/>
    </row>
    <row r="437" spans="2:19" x14ac:dyDescent="0.25">
      <c r="B437" s="103" t="s">
        <v>707</v>
      </c>
      <c r="C437" s="102" t="s">
        <v>708</v>
      </c>
      <c r="D437" s="64" t="s">
        <v>17</v>
      </c>
      <c r="E437" s="64" t="s">
        <v>239</v>
      </c>
      <c r="F437" s="64">
        <v>11040130001</v>
      </c>
      <c r="G437" s="82" t="s">
        <v>240</v>
      </c>
      <c r="H437" s="64" t="s">
        <v>33</v>
      </c>
      <c r="I437" s="65">
        <v>0</v>
      </c>
      <c r="J437" s="65">
        <v>263</v>
      </c>
      <c r="K437" s="65">
        <v>120</v>
      </c>
      <c r="L437" s="65">
        <v>0</v>
      </c>
      <c r="M437" s="66">
        <v>0</v>
      </c>
      <c r="N437" s="88">
        <f>Tabela1[[#This Row],[1QZ DE DEZ 26]]-Tabela1[[#This Row],[SALDO FINAL]]-Tabela1[[#This Row],[SALDO CARTAO]]-Tabela1[[#This Row],[ADIANTAMENTO]]</f>
        <v>-143</v>
      </c>
      <c r="O437" s="67">
        <f>(-Tabela1[[#This Row],[SALDO REEMBOLSAR]]*$O$4)</f>
        <v>0</v>
      </c>
      <c r="P437" s="115">
        <f>IF(Tabela1[[#This Row],[CARGA PARCIAL]]&lt;0,0,Tabela1[[#This Row],[CARGA PARCIAL]])</f>
        <v>0</v>
      </c>
      <c r="Q437" s="91">
        <f>IF(Tabela1[[#This Row],[CARGA PARCIAL]]&lt;0,0,Tabela1[[#This Row],[CARGA PARCIAL]])+Tabela1[[#This Row],[REEMBOLSO]]</f>
        <v>0</v>
      </c>
      <c r="R437" s="66" t="s">
        <v>21</v>
      </c>
      <c r="S437" s="70"/>
    </row>
    <row r="438" spans="2:19" x14ac:dyDescent="0.25">
      <c r="B438" s="83" t="s">
        <v>1053</v>
      </c>
      <c r="C438" s="64" t="s">
        <v>1798</v>
      </c>
      <c r="D438" s="64" t="s">
        <v>17</v>
      </c>
      <c r="E438" s="64" t="s">
        <v>468</v>
      </c>
      <c r="F438" s="64">
        <v>1104150001</v>
      </c>
      <c r="G438" s="82" t="s">
        <v>240</v>
      </c>
      <c r="H438" s="64" t="s">
        <v>33</v>
      </c>
      <c r="I438" s="65">
        <v>0</v>
      </c>
      <c r="J438" s="65">
        <v>143.00999999999976</v>
      </c>
      <c r="K438" s="65">
        <v>0</v>
      </c>
      <c r="L438" s="65">
        <v>0</v>
      </c>
      <c r="M438" s="66">
        <v>0</v>
      </c>
      <c r="N438" s="88">
        <f>Tabela1[[#This Row],[1QZ DE DEZ 26]]-Tabela1[[#This Row],[SALDO FINAL]]-Tabela1[[#This Row],[SALDO CARTAO]]-Tabela1[[#This Row],[ADIANTAMENTO]]</f>
        <v>-143.00999999999976</v>
      </c>
      <c r="O438" s="67">
        <f>(-Tabela1[[#This Row],[SALDO REEMBOLSAR]]*$O$4)</f>
        <v>0</v>
      </c>
      <c r="P438" s="123">
        <f>IF(Tabela1[[#This Row],[CARGA PARCIAL]]&lt;0,0,Tabela1[[#This Row],[CARGA PARCIAL]])</f>
        <v>0</v>
      </c>
      <c r="Q438" s="91">
        <f>IF(Tabela1[[#This Row],[CARGA PARCIAL]]&lt;0,0,Tabela1[[#This Row],[CARGA PARCIAL]])+Tabela1[[#This Row],[REEMBOLSO]]</f>
        <v>0</v>
      </c>
      <c r="R438" s="66" t="s">
        <v>21</v>
      </c>
      <c r="S438" s="70"/>
    </row>
    <row r="439" spans="2:19" x14ac:dyDescent="0.25">
      <c r="B439" s="83" t="s">
        <v>1047</v>
      </c>
      <c r="C439" s="64" t="s">
        <v>1796</v>
      </c>
      <c r="D439" s="64" t="s">
        <v>17</v>
      </c>
      <c r="E439" s="64" t="s">
        <v>73</v>
      </c>
      <c r="F439" s="64">
        <v>1201020</v>
      </c>
      <c r="G439" s="82" t="s">
        <v>74</v>
      </c>
      <c r="H439" s="64" t="s">
        <v>75</v>
      </c>
      <c r="I439" s="65">
        <v>0</v>
      </c>
      <c r="J439" s="65">
        <v>140.62</v>
      </c>
      <c r="K439" s="65">
        <v>0</v>
      </c>
      <c r="L439" s="65">
        <v>9</v>
      </c>
      <c r="M439" s="66">
        <v>0</v>
      </c>
      <c r="N439" s="88">
        <f>Tabela1[[#This Row],[1QZ DE DEZ 26]]-Tabela1[[#This Row],[SALDO FINAL]]-Tabela1[[#This Row],[SALDO CARTAO]]-Tabela1[[#This Row],[ADIANTAMENTO]]</f>
        <v>-149.62</v>
      </c>
      <c r="O439" s="67">
        <f>(-Tabela1[[#This Row],[SALDO REEMBOLSAR]]*$O$4)</f>
        <v>0</v>
      </c>
      <c r="P439" s="123">
        <f>IF(Tabela1[[#This Row],[CARGA PARCIAL]]&lt;0,0,Tabela1[[#This Row],[CARGA PARCIAL]])</f>
        <v>0</v>
      </c>
      <c r="Q439" s="91">
        <f>IF(Tabela1[[#This Row],[CARGA PARCIAL]]&lt;0,0,Tabela1[[#This Row],[CARGA PARCIAL]])+Tabela1[[#This Row],[REEMBOLSO]]</f>
        <v>0</v>
      </c>
      <c r="R439" s="66" t="s">
        <v>21</v>
      </c>
      <c r="S439" s="70"/>
    </row>
    <row r="440" spans="2:19" x14ac:dyDescent="0.25">
      <c r="B440" s="83" t="s">
        <v>1827</v>
      </c>
      <c r="C440" s="64" t="s">
        <v>1828</v>
      </c>
      <c r="D440" s="64" t="s">
        <v>17</v>
      </c>
      <c r="E440" s="64" t="s">
        <v>1829</v>
      </c>
      <c r="F440" s="64">
        <v>11010400001</v>
      </c>
      <c r="G440" s="82" t="s">
        <v>1989</v>
      </c>
      <c r="H440" s="64" t="s">
        <v>20</v>
      </c>
      <c r="I440" s="65">
        <v>0</v>
      </c>
      <c r="J440" s="65">
        <v>145.64000000000004</v>
      </c>
      <c r="K440" s="65">
        <v>0</v>
      </c>
      <c r="L440" s="65">
        <v>5.57</v>
      </c>
      <c r="M440" s="66">
        <v>0</v>
      </c>
      <c r="N440" s="88">
        <f>Tabela1[[#This Row],[1QZ DE DEZ 26]]-Tabela1[[#This Row],[SALDO FINAL]]-Tabela1[[#This Row],[SALDO CARTAO]]-Tabela1[[#This Row],[ADIANTAMENTO]]</f>
        <v>-151.21000000000004</v>
      </c>
      <c r="O440" s="67">
        <f>(-Tabela1[[#This Row],[SALDO REEMBOLSAR]]*$O$4)</f>
        <v>0</v>
      </c>
      <c r="P440" s="123">
        <f>IF(Tabela1[[#This Row],[CARGA PARCIAL]]&lt;0,0,Tabela1[[#This Row],[CARGA PARCIAL]])</f>
        <v>0</v>
      </c>
      <c r="Q440" s="91">
        <f>IF(Tabela1[[#This Row],[CARGA PARCIAL]]&lt;0,0,Tabela1[[#This Row],[CARGA PARCIAL]])+Tabela1[[#This Row],[REEMBOLSO]]</f>
        <v>0</v>
      </c>
      <c r="R440" s="66" t="s">
        <v>21</v>
      </c>
      <c r="S440" s="70"/>
    </row>
    <row r="441" spans="2:19" x14ac:dyDescent="0.25">
      <c r="B441" s="83" t="s">
        <v>877</v>
      </c>
      <c r="C441" s="64" t="s">
        <v>1763</v>
      </c>
      <c r="D441" s="64" t="s">
        <v>17</v>
      </c>
      <c r="E441" s="64" t="s">
        <v>468</v>
      </c>
      <c r="F441" s="64">
        <v>1104150001</v>
      </c>
      <c r="G441" s="82" t="s">
        <v>240</v>
      </c>
      <c r="H441" s="64" t="s">
        <v>33</v>
      </c>
      <c r="I441" s="65">
        <v>0</v>
      </c>
      <c r="J441" s="65">
        <v>2.5300000000004843</v>
      </c>
      <c r="K441" s="65">
        <v>0</v>
      </c>
      <c r="L441" s="65">
        <v>158.44999999999999</v>
      </c>
      <c r="M441" s="66">
        <v>0</v>
      </c>
      <c r="N441" s="88">
        <f>Tabela1[[#This Row],[1QZ DE DEZ 26]]-Tabela1[[#This Row],[SALDO FINAL]]-Tabela1[[#This Row],[SALDO CARTAO]]-Tabela1[[#This Row],[ADIANTAMENTO]]</f>
        <v>-160.98000000000047</v>
      </c>
      <c r="O441" s="67">
        <f>(-Tabela1[[#This Row],[SALDO REEMBOLSAR]]*$O$4)</f>
        <v>0</v>
      </c>
      <c r="P441" s="123">
        <f>IF(Tabela1[[#This Row],[CARGA PARCIAL]]&lt;0,0,Tabela1[[#This Row],[CARGA PARCIAL]])</f>
        <v>0</v>
      </c>
      <c r="Q441" s="91">
        <f>IF(Tabela1[[#This Row],[CARGA PARCIAL]]&lt;0,0,Tabela1[[#This Row],[CARGA PARCIAL]])+Tabela1[[#This Row],[REEMBOLSO]]</f>
        <v>0</v>
      </c>
      <c r="R441" s="66" t="s">
        <v>21</v>
      </c>
      <c r="S441" s="70"/>
    </row>
    <row r="442" spans="2:19" x14ac:dyDescent="0.25">
      <c r="B442" s="83" t="s">
        <v>367</v>
      </c>
      <c r="C442" s="64" t="s">
        <v>368</v>
      </c>
      <c r="D442" s="64" t="s">
        <v>17</v>
      </c>
      <c r="E442" s="64" t="s">
        <v>24</v>
      </c>
      <c r="F442" s="64">
        <v>11040160001</v>
      </c>
      <c r="G442" s="82" t="s">
        <v>25</v>
      </c>
      <c r="H442" s="64" t="s">
        <v>20</v>
      </c>
      <c r="I442" s="65">
        <v>0</v>
      </c>
      <c r="J442" s="65">
        <v>399.26999999999907</v>
      </c>
      <c r="K442" s="65">
        <v>250</v>
      </c>
      <c r="L442" s="65">
        <v>16.73</v>
      </c>
      <c r="M442" s="66">
        <v>0</v>
      </c>
      <c r="N442" s="88">
        <f>Tabela1[[#This Row],[1QZ DE DEZ 26]]-Tabela1[[#This Row],[SALDO FINAL]]-Tabela1[[#This Row],[SALDO CARTAO]]-Tabela1[[#This Row],[ADIANTAMENTO]]</f>
        <v>-165.99999999999906</v>
      </c>
      <c r="O442" s="67">
        <f>(-Tabela1[[#This Row],[SALDO REEMBOLSAR]]*$O$4)</f>
        <v>0</v>
      </c>
      <c r="P442" s="123">
        <f>IF(Tabela1[[#This Row],[CARGA PARCIAL]]&lt;0,0,Tabela1[[#This Row],[CARGA PARCIAL]])</f>
        <v>0</v>
      </c>
      <c r="Q442" s="91">
        <f>IF(Tabela1[[#This Row],[CARGA PARCIAL]]&lt;0,0,Tabela1[[#This Row],[CARGA PARCIAL]])+Tabela1[[#This Row],[REEMBOLSO]]</f>
        <v>0</v>
      </c>
      <c r="R442" s="66" t="s">
        <v>21</v>
      </c>
      <c r="S442" s="70"/>
    </row>
    <row r="443" spans="2:19" x14ac:dyDescent="0.25">
      <c r="B443" s="83" t="s">
        <v>1043</v>
      </c>
      <c r="C443" s="64" t="s">
        <v>1795</v>
      </c>
      <c r="D443" s="64" t="s">
        <v>17</v>
      </c>
      <c r="E443" s="64" t="s">
        <v>468</v>
      </c>
      <c r="F443" s="64">
        <v>1104150001</v>
      </c>
      <c r="G443" s="82" t="s">
        <v>240</v>
      </c>
      <c r="H443" s="64" t="s">
        <v>33</v>
      </c>
      <c r="I443" s="65">
        <v>0</v>
      </c>
      <c r="J443" s="65">
        <v>88.500000000008384</v>
      </c>
      <c r="K443" s="65">
        <v>0</v>
      </c>
      <c r="L443" s="65">
        <v>78.53</v>
      </c>
      <c r="M443" s="66">
        <v>0</v>
      </c>
      <c r="N443" s="88">
        <f>Tabela1[[#This Row],[1QZ DE DEZ 26]]-Tabela1[[#This Row],[SALDO FINAL]]-Tabela1[[#This Row],[SALDO CARTAO]]-Tabela1[[#This Row],[ADIANTAMENTO]]</f>
        <v>-167.03000000000839</v>
      </c>
      <c r="O443" s="67">
        <f>(-Tabela1[[#This Row],[SALDO REEMBOLSAR]]*$O$4)</f>
        <v>0</v>
      </c>
      <c r="P443" s="123">
        <f>IF(Tabela1[[#This Row],[CARGA PARCIAL]]&lt;0,0,Tabela1[[#This Row],[CARGA PARCIAL]])</f>
        <v>0</v>
      </c>
      <c r="Q443" s="91">
        <f>IF(Tabela1[[#This Row],[CARGA PARCIAL]]&lt;0,0,Tabela1[[#This Row],[CARGA PARCIAL]])+Tabela1[[#This Row],[REEMBOLSO]]</f>
        <v>0</v>
      </c>
      <c r="R443" s="66" t="s">
        <v>21</v>
      </c>
      <c r="S443" s="70"/>
    </row>
    <row r="444" spans="2:19" x14ac:dyDescent="0.25">
      <c r="B444" s="121" t="s">
        <v>661</v>
      </c>
      <c r="C444" s="106" t="s">
        <v>662</v>
      </c>
      <c r="D444" s="106" t="s">
        <v>17</v>
      </c>
      <c r="E444" s="106" t="s">
        <v>304</v>
      </c>
      <c r="F444" s="64">
        <v>1201071</v>
      </c>
      <c r="G444" s="107" t="s">
        <v>244</v>
      </c>
      <c r="H444" s="106" t="s">
        <v>33</v>
      </c>
      <c r="I444" s="65">
        <v>0</v>
      </c>
      <c r="J444" s="65">
        <v>873.29999999999939</v>
      </c>
      <c r="K444" s="65">
        <v>700</v>
      </c>
      <c r="L444" s="69">
        <v>0</v>
      </c>
      <c r="M444" s="70">
        <v>0</v>
      </c>
      <c r="N444" s="111">
        <f>Tabela1[[#This Row],[1QZ DE DEZ 26]]-Tabela1[[#This Row],[SALDO FINAL]]-Tabela1[[#This Row],[SALDO CARTAO]]-Tabela1[[#This Row],[ADIANTAMENTO]]</f>
        <v>-173.29999999999939</v>
      </c>
      <c r="O444" s="67">
        <f>(-Tabela1[[#This Row],[SALDO REEMBOLSAR]]*$O$4)</f>
        <v>0</v>
      </c>
      <c r="P444" s="124">
        <f>IF(Tabela1[[#This Row],[CARGA PARCIAL]]&lt;0,0,Tabela1[[#This Row],[CARGA PARCIAL]])</f>
        <v>0</v>
      </c>
      <c r="Q444" s="92">
        <f>IF(Tabela1[[#This Row],[CARGA PARCIAL]]&lt;0,0,Tabela1[[#This Row],[CARGA PARCIAL]])+Tabela1[[#This Row],[REEMBOLSO]]</f>
        <v>0</v>
      </c>
      <c r="R444" s="66" t="s">
        <v>21</v>
      </c>
      <c r="S444" s="70"/>
    </row>
    <row r="445" spans="2:19" x14ac:dyDescent="0.25">
      <c r="B445" s="103" t="s">
        <v>788</v>
      </c>
      <c r="C445" s="102" t="s">
        <v>789</v>
      </c>
      <c r="D445" s="64" t="s">
        <v>17</v>
      </c>
      <c r="E445" s="64" t="s">
        <v>277</v>
      </c>
      <c r="F445" s="64">
        <v>11062110001</v>
      </c>
      <c r="G445" s="82" t="s">
        <v>244</v>
      </c>
      <c r="H445" s="64" t="s">
        <v>33</v>
      </c>
      <c r="I445" s="65">
        <v>0</v>
      </c>
      <c r="J445" s="65">
        <v>369.18</v>
      </c>
      <c r="K445" s="65">
        <v>300</v>
      </c>
      <c r="L445" s="65">
        <v>113.92</v>
      </c>
      <c r="M445" s="66">
        <v>0</v>
      </c>
      <c r="N445" s="88">
        <f>Tabela1[[#This Row],[1QZ DE DEZ 26]]-Tabela1[[#This Row],[SALDO FINAL]]-Tabela1[[#This Row],[SALDO CARTAO]]-Tabela1[[#This Row],[ADIANTAMENTO]]</f>
        <v>-183.10000000000002</v>
      </c>
      <c r="O445" s="67">
        <f>(-Tabela1[[#This Row],[SALDO REEMBOLSAR]]*$O$4)</f>
        <v>0</v>
      </c>
      <c r="P445" s="115">
        <f>IF(Tabela1[[#This Row],[CARGA PARCIAL]]&lt;0,0,Tabela1[[#This Row],[CARGA PARCIAL]])</f>
        <v>0</v>
      </c>
      <c r="Q445" s="91">
        <f>IF(Tabela1[[#This Row],[CARGA PARCIAL]]&lt;0,0,Tabela1[[#This Row],[CARGA PARCIAL]])+Tabela1[[#This Row],[REEMBOLSO]]</f>
        <v>0</v>
      </c>
      <c r="R445" s="66" t="s">
        <v>21</v>
      </c>
      <c r="S445" s="70"/>
    </row>
    <row r="446" spans="2:19" x14ac:dyDescent="0.25">
      <c r="B446" s="103" t="s">
        <v>1374</v>
      </c>
      <c r="C446" s="102" t="s">
        <v>1898</v>
      </c>
      <c r="D446" s="64" t="s">
        <v>17</v>
      </c>
      <c r="E446" s="64" t="s">
        <v>1839</v>
      </c>
      <c r="F446" s="64">
        <v>1201004</v>
      </c>
      <c r="G446" s="82" t="s">
        <v>1994</v>
      </c>
      <c r="H446" s="64" t="s">
        <v>1995</v>
      </c>
      <c r="I446" s="65">
        <v>0</v>
      </c>
      <c r="J446" s="65">
        <v>189.93000000000029</v>
      </c>
      <c r="K446" s="65">
        <v>0</v>
      </c>
      <c r="L446" s="65">
        <v>0</v>
      </c>
      <c r="M446" s="66">
        <v>0</v>
      </c>
      <c r="N446" s="88">
        <f>Tabela1[[#This Row],[1QZ DE DEZ 26]]-Tabela1[[#This Row],[SALDO FINAL]]-Tabela1[[#This Row],[SALDO CARTAO]]-Tabela1[[#This Row],[ADIANTAMENTO]]</f>
        <v>-189.93000000000029</v>
      </c>
      <c r="O446" s="67">
        <f>(-Tabela1[[#This Row],[SALDO REEMBOLSAR]]*$O$4)</f>
        <v>0</v>
      </c>
      <c r="P446" s="115">
        <f>IF(Tabela1[[#This Row],[CARGA PARCIAL]]&lt;0,0,Tabela1[[#This Row],[CARGA PARCIAL]])</f>
        <v>0</v>
      </c>
      <c r="Q446" s="91">
        <f>IF(Tabela1[[#This Row],[CARGA PARCIAL]]&lt;0,0,Tabela1[[#This Row],[CARGA PARCIAL]])+Tabela1[[#This Row],[REEMBOLSO]]</f>
        <v>0</v>
      </c>
      <c r="R446" s="66" t="s">
        <v>21</v>
      </c>
      <c r="S446" s="70"/>
    </row>
    <row r="447" spans="2:19" x14ac:dyDescent="0.25">
      <c r="B447" s="83" t="s">
        <v>909</v>
      </c>
      <c r="C447" s="64" t="s">
        <v>1772</v>
      </c>
      <c r="D447" s="64" t="s">
        <v>17</v>
      </c>
      <c r="E447" s="64" t="s">
        <v>476</v>
      </c>
      <c r="F447" s="64">
        <v>11060710001</v>
      </c>
      <c r="G447" s="82" t="s">
        <v>284</v>
      </c>
      <c r="H447" s="64" t="s">
        <v>20</v>
      </c>
      <c r="I447" s="65">
        <v>0</v>
      </c>
      <c r="J447" s="65">
        <v>192.21</v>
      </c>
      <c r="K447" s="65">
        <v>0</v>
      </c>
      <c r="L447" s="65">
        <v>0.37</v>
      </c>
      <c r="M447" s="66">
        <v>0</v>
      </c>
      <c r="N447" s="88">
        <f>Tabela1[[#This Row],[1QZ DE DEZ 26]]-Tabela1[[#This Row],[SALDO FINAL]]-Tabela1[[#This Row],[SALDO CARTAO]]-Tabela1[[#This Row],[ADIANTAMENTO]]</f>
        <v>-192.58</v>
      </c>
      <c r="O447" s="67">
        <f>(-Tabela1[[#This Row],[SALDO REEMBOLSAR]]*$O$4)</f>
        <v>0</v>
      </c>
      <c r="P447" s="123">
        <f>IF(Tabela1[[#This Row],[CARGA PARCIAL]]&lt;0,0,Tabela1[[#This Row],[CARGA PARCIAL]])</f>
        <v>0</v>
      </c>
      <c r="Q447" s="91">
        <f>IF(Tabela1[[#This Row],[CARGA PARCIAL]]&lt;0,0,Tabela1[[#This Row],[CARGA PARCIAL]])+Tabela1[[#This Row],[REEMBOLSO]]</f>
        <v>0</v>
      </c>
      <c r="R447" s="66" t="s">
        <v>21</v>
      </c>
      <c r="S447" s="70"/>
    </row>
    <row r="448" spans="2:19" x14ac:dyDescent="0.25">
      <c r="B448" s="103" t="s">
        <v>1929</v>
      </c>
      <c r="C448" s="102" t="s">
        <v>1930</v>
      </c>
      <c r="D448" s="64" t="s">
        <v>17</v>
      </c>
      <c r="E448" s="64" t="s">
        <v>1939</v>
      </c>
      <c r="F448" s="64">
        <v>1201023</v>
      </c>
      <c r="G448" s="82" t="s">
        <v>112</v>
      </c>
      <c r="H448" s="64" t="s">
        <v>75</v>
      </c>
      <c r="I448" s="65">
        <v>0</v>
      </c>
      <c r="J448" s="65">
        <v>200</v>
      </c>
      <c r="K448" s="65">
        <v>0</v>
      </c>
      <c r="L448" s="65">
        <v>0</v>
      </c>
      <c r="M448" s="66">
        <v>0</v>
      </c>
      <c r="N448" s="88">
        <f>Tabela1[[#This Row],[1QZ DE DEZ 26]]-Tabela1[[#This Row],[SALDO FINAL]]-Tabela1[[#This Row],[SALDO CARTAO]]-Tabela1[[#This Row],[ADIANTAMENTO]]</f>
        <v>-200</v>
      </c>
      <c r="O448" s="67">
        <f>(-Tabela1[[#This Row],[SALDO REEMBOLSAR]]*$O$4)</f>
        <v>0</v>
      </c>
      <c r="P448" s="115">
        <f>IF(Tabela1[[#This Row],[CARGA PARCIAL]]&lt;0,0,Tabela1[[#This Row],[CARGA PARCIAL]])</f>
        <v>0</v>
      </c>
      <c r="Q448" s="91">
        <f>IF(Tabela1[[#This Row],[CARGA PARCIAL]]&lt;0,0,Tabela1[[#This Row],[CARGA PARCIAL]])+Tabela1[[#This Row],[REEMBOLSO]]</f>
        <v>0</v>
      </c>
      <c r="R448" s="66" t="s">
        <v>21</v>
      </c>
      <c r="S448" s="70"/>
    </row>
    <row r="449" spans="2:19" x14ac:dyDescent="0.25">
      <c r="B449" s="83" t="s">
        <v>1306</v>
      </c>
      <c r="C449" s="64" t="s">
        <v>1876</v>
      </c>
      <c r="D449" s="64" t="s">
        <v>17</v>
      </c>
      <c r="E449" s="64" t="s">
        <v>468</v>
      </c>
      <c r="F449" s="64">
        <v>1104150001</v>
      </c>
      <c r="G449" s="82" t="s">
        <v>240</v>
      </c>
      <c r="H449" s="64" t="s">
        <v>33</v>
      </c>
      <c r="I449" s="65">
        <v>0</v>
      </c>
      <c r="J449" s="65">
        <v>193.40000000000009</v>
      </c>
      <c r="K449" s="65">
        <v>0</v>
      </c>
      <c r="L449" s="65">
        <v>9</v>
      </c>
      <c r="M449" s="66">
        <v>0</v>
      </c>
      <c r="N449" s="88">
        <f>Tabela1[[#This Row],[1QZ DE DEZ 26]]-Tabela1[[#This Row],[SALDO FINAL]]-Tabela1[[#This Row],[SALDO CARTAO]]-Tabela1[[#This Row],[ADIANTAMENTO]]</f>
        <v>-202.40000000000009</v>
      </c>
      <c r="O449" s="67">
        <f>(-Tabela1[[#This Row],[SALDO REEMBOLSAR]]*$O$4)</f>
        <v>0</v>
      </c>
      <c r="P449" s="123">
        <f>IF(Tabela1[[#This Row],[CARGA PARCIAL]]&lt;0,0,Tabela1[[#This Row],[CARGA PARCIAL]])</f>
        <v>0</v>
      </c>
      <c r="Q449" s="91">
        <f>IF(Tabela1[[#This Row],[CARGA PARCIAL]]&lt;0,0,Tabela1[[#This Row],[CARGA PARCIAL]])+Tabela1[[#This Row],[REEMBOLSO]]</f>
        <v>0</v>
      </c>
      <c r="R449" s="66" t="s">
        <v>21</v>
      </c>
      <c r="S449" s="70"/>
    </row>
    <row r="450" spans="2:19" x14ac:dyDescent="0.25">
      <c r="B450" s="121" t="s">
        <v>608</v>
      </c>
      <c r="C450" s="106" t="s">
        <v>609</v>
      </c>
      <c r="D450" s="106" t="s">
        <v>17</v>
      </c>
      <c r="E450" s="106" t="s">
        <v>610</v>
      </c>
      <c r="F450" s="64">
        <v>11062450001</v>
      </c>
      <c r="G450" s="107" t="s">
        <v>25</v>
      </c>
      <c r="H450" s="106" t="s">
        <v>20</v>
      </c>
      <c r="I450" s="65">
        <v>0</v>
      </c>
      <c r="J450" s="65">
        <v>1704.0699999999981</v>
      </c>
      <c r="K450" s="65">
        <v>1500</v>
      </c>
      <c r="L450" s="69">
        <v>1.3</v>
      </c>
      <c r="M450" s="70">
        <v>0</v>
      </c>
      <c r="N450" s="111">
        <f>Tabela1[[#This Row],[1QZ DE DEZ 26]]-Tabela1[[#This Row],[SALDO FINAL]]-Tabela1[[#This Row],[SALDO CARTAO]]-Tabela1[[#This Row],[ADIANTAMENTO]]</f>
        <v>-205.36999999999813</v>
      </c>
      <c r="O450" s="67">
        <f>(-Tabela1[[#This Row],[SALDO REEMBOLSAR]]*$O$4)</f>
        <v>0</v>
      </c>
      <c r="P450" s="124">
        <f>IF(Tabela1[[#This Row],[CARGA PARCIAL]]&lt;0,0,Tabela1[[#This Row],[CARGA PARCIAL]])</f>
        <v>0</v>
      </c>
      <c r="Q450" s="92">
        <f>IF(Tabela1[[#This Row],[CARGA PARCIAL]]&lt;0,0,Tabela1[[#This Row],[CARGA PARCIAL]])+Tabela1[[#This Row],[REEMBOLSO]]</f>
        <v>0</v>
      </c>
      <c r="R450" s="66" t="s">
        <v>21</v>
      </c>
      <c r="S450" s="70"/>
    </row>
    <row r="451" spans="2:19" x14ac:dyDescent="0.25">
      <c r="B451" s="83" t="s">
        <v>415</v>
      </c>
      <c r="C451" s="64" t="s">
        <v>416</v>
      </c>
      <c r="D451" s="64" t="s">
        <v>17</v>
      </c>
      <c r="E451" s="64" t="s">
        <v>239</v>
      </c>
      <c r="F451" s="64">
        <v>11040130001</v>
      </c>
      <c r="G451" s="82" t="s">
        <v>240</v>
      </c>
      <c r="H451" s="64" t="s">
        <v>33</v>
      </c>
      <c r="I451" s="65">
        <v>0</v>
      </c>
      <c r="J451" s="65">
        <v>334.57000000000011</v>
      </c>
      <c r="K451" s="65">
        <v>120</v>
      </c>
      <c r="L451" s="65">
        <v>0</v>
      </c>
      <c r="M451" s="66">
        <v>0</v>
      </c>
      <c r="N451" s="88">
        <f>Tabela1[[#This Row],[1QZ DE DEZ 26]]-Tabela1[[#This Row],[SALDO FINAL]]-Tabela1[[#This Row],[SALDO CARTAO]]-Tabela1[[#This Row],[ADIANTAMENTO]]</f>
        <v>-214.57000000000011</v>
      </c>
      <c r="O451" s="67">
        <f>(-Tabela1[[#This Row],[SALDO REEMBOLSAR]]*$O$4)</f>
        <v>0</v>
      </c>
      <c r="P451" s="123">
        <f>IF(Tabela1[[#This Row],[CARGA PARCIAL]]&lt;0,0,Tabela1[[#This Row],[CARGA PARCIAL]])</f>
        <v>0</v>
      </c>
      <c r="Q451" s="91">
        <f>IF(Tabela1[[#This Row],[CARGA PARCIAL]]&lt;0,0,Tabela1[[#This Row],[CARGA PARCIAL]])+Tabela1[[#This Row],[REEMBOLSO]]</f>
        <v>0</v>
      </c>
      <c r="R451" s="66" t="s">
        <v>21</v>
      </c>
      <c r="S451" s="70"/>
    </row>
    <row r="452" spans="2:19" x14ac:dyDescent="0.25">
      <c r="B452" s="103" t="s">
        <v>555</v>
      </c>
      <c r="C452" s="102" t="s">
        <v>556</v>
      </c>
      <c r="D452" s="64" t="s">
        <v>17</v>
      </c>
      <c r="E452" s="64" t="s">
        <v>239</v>
      </c>
      <c r="F452" s="64">
        <v>11040130001</v>
      </c>
      <c r="G452" s="82" t="s">
        <v>240</v>
      </c>
      <c r="H452" s="64" t="s">
        <v>33</v>
      </c>
      <c r="I452" s="65">
        <v>0</v>
      </c>
      <c r="J452" s="65">
        <v>300.49</v>
      </c>
      <c r="K452" s="65">
        <v>160</v>
      </c>
      <c r="L452" s="65">
        <v>77.97</v>
      </c>
      <c r="M452" s="66">
        <v>0</v>
      </c>
      <c r="N452" s="88">
        <f>Tabela1[[#This Row],[1QZ DE DEZ 26]]-Tabela1[[#This Row],[SALDO FINAL]]-Tabela1[[#This Row],[SALDO CARTAO]]-Tabela1[[#This Row],[ADIANTAMENTO]]</f>
        <v>-218.46</v>
      </c>
      <c r="O452" s="67">
        <f>(-Tabela1[[#This Row],[SALDO REEMBOLSAR]]*$O$4)</f>
        <v>0</v>
      </c>
      <c r="P452" s="115">
        <f>IF(Tabela1[[#This Row],[CARGA PARCIAL]]&lt;0,0,Tabela1[[#This Row],[CARGA PARCIAL]])</f>
        <v>0</v>
      </c>
      <c r="Q452" s="91">
        <f>IF(Tabela1[[#This Row],[CARGA PARCIAL]]&lt;0,0,Tabela1[[#This Row],[CARGA PARCIAL]])+Tabela1[[#This Row],[REEMBOLSO]]</f>
        <v>0</v>
      </c>
      <c r="R452" s="66" t="s">
        <v>21</v>
      </c>
      <c r="S452" s="70"/>
    </row>
    <row r="453" spans="2:19" x14ac:dyDescent="0.25">
      <c r="B453" s="103" t="s">
        <v>155</v>
      </c>
      <c r="C453" s="102" t="s">
        <v>156</v>
      </c>
      <c r="D453" s="64" t="s">
        <v>17</v>
      </c>
      <c r="E453" s="64" t="s">
        <v>24</v>
      </c>
      <c r="F453" s="64">
        <v>11040160001</v>
      </c>
      <c r="G453" s="82" t="s">
        <v>25</v>
      </c>
      <c r="H453" s="64" t="s">
        <v>20</v>
      </c>
      <c r="I453" s="65">
        <v>0</v>
      </c>
      <c r="J453" s="65">
        <v>596.12999999999988</v>
      </c>
      <c r="K453" s="65">
        <v>1000</v>
      </c>
      <c r="L453" s="65">
        <v>625.20000000000005</v>
      </c>
      <c r="M453" s="66">
        <v>0</v>
      </c>
      <c r="N453" s="88">
        <f>Tabela1[[#This Row],[1QZ DE DEZ 26]]-Tabela1[[#This Row],[SALDO FINAL]]-Tabela1[[#This Row],[SALDO CARTAO]]-Tabela1[[#This Row],[ADIANTAMENTO]]</f>
        <v>-221.32999999999993</v>
      </c>
      <c r="O453" s="67">
        <f>(-Tabela1[[#This Row],[SALDO REEMBOLSAR]]*$O$4)</f>
        <v>0</v>
      </c>
      <c r="P453" s="115">
        <f>IF(Tabela1[[#This Row],[CARGA PARCIAL]]&lt;0,0,Tabela1[[#This Row],[CARGA PARCIAL]])</f>
        <v>0</v>
      </c>
      <c r="Q453" s="91">
        <f>IF(Tabela1[[#This Row],[CARGA PARCIAL]]&lt;0,0,Tabela1[[#This Row],[CARGA PARCIAL]])+Tabela1[[#This Row],[REEMBOLSO]]</f>
        <v>0</v>
      </c>
      <c r="R453" s="66" t="s">
        <v>21</v>
      </c>
      <c r="S453" s="70"/>
    </row>
    <row r="454" spans="2:19" x14ac:dyDescent="0.25">
      <c r="B454" s="83" t="s">
        <v>1176</v>
      </c>
      <c r="C454" s="64" t="s">
        <v>1841</v>
      </c>
      <c r="D454" s="64" t="s">
        <v>17</v>
      </c>
      <c r="E454" s="64" t="s">
        <v>468</v>
      </c>
      <c r="F454" s="64">
        <v>1104150001</v>
      </c>
      <c r="G454" s="82" t="s">
        <v>240</v>
      </c>
      <c r="H454" s="64" t="s">
        <v>33</v>
      </c>
      <c r="I454" s="65">
        <v>0</v>
      </c>
      <c r="J454" s="65">
        <v>100.28000000000002</v>
      </c>
      <c r="K454" s="65">
        <v>0</v>
      </c>
      <c r="L454" s="65">
        <v>121.64</v>
      </c>
      <c r="M454" s="66">
        <v>0</v>
      </c>
      <c r="N454" s="88">
        <f>Tabela1[[#This Row],[1QZ DE DEZ 26]]-Tabela1[[#This Row],[SALDO FINAL]]-Tabela1[[#This Row],[SALDO CARTAO]]-Tabela1[[#This Row],[ADIANTAMENTO]]</f>
        <v>-221.92000000000002</v>
      </c>
      <c r="O454" s="67">
        <f>(-Tabela1[[#This Row],[SALDO REEMBOLSAR]]*$O$4)</f>
        <v>0</v>
      </c>
      <c r="P454" s="123">
        <f>IF(Tabela1[[#This Row],[CARGA PARCIAL]]&lt;0,0,Tabela1[[#This Row],[CARGA PARCIAL]])</f>
        <v>0</v>
      </c>
      <c r="Q454" s="91">
        <f>IF(Tabela1[[#This Row],[CARGA PARCIAL]]&lt;0,0,Tabela1[[#This Row],[CARGA PARCIAL]])+Tabela1[[#This Row],[REEMBOLSO]]</f>
        <v>0</v>
      </c>
      <c r="R454" s="66" t="s">
        <v>21</v>
      </c>
      <c r="S454" s="70"/>
    </row>
    <row r="455" spans="2:19" x14ac:dyDescent="0.25">
      <c r="B455" s="121" t="s">
        <v>88</v>
      </c>
      <c r="C455" s="106" t="s">
        <v>89</v>
      </c>
      <c r="D455" s="106" t="s">
        <v>17</v>
      </c>
      <c r="E455" s="106" t="s">
        <v>90</v>
      </c>
      <c r="F455" s="64">
        <v>11030760001</v>
      </c>
      <c r="G455" s="107" t="s">
        <v>32</v>
      </c>
      <c r="H455" s="106" t="s">
        <v>33</v>
      </c>
      <c r="I455" s="65">
        <v>0</v>
      </c>
      <c r="J455" s="65">
        <v>1720.8400000000001</v>
      </c>
      <c r="K455" s="65">
        <v>1500</v>
      </c>
      <c r="L455" s="69">
        <v>5.08</v>
      </c>
      <c r="M455" s="70">
        <v>0</v>
      </c>
      <c r="N455" s="111">
        <f>Tabela1[[#This Row],[1QZ DE DEZ 26]]-Tabela1[[#This Row],[SALDO FINAL]]-Tabela1[[#This Row],[SALDO CARTAO]]-Tabela1[[#This Row],[ADIANTAMENTO]]</f>
        <v>-225.92000000000016</v>
      </c>
      <c r="O455" s="67">
        <f>(-Tabela1[[#This Row],[SALDO REEMBOLSAR]]*$O$4)</f>
        <v>0</v>
      </c>
      <c r="P455" s="124">
        <f>IF(Tabela1[[#This Row],[CARGA PARCIAL]]&lt;0,0,Tabela1[[#This Row],[CARGA PARCIAL]])</f>
        <v>0</v>
      </c>
      <c r="Q455" s="92">
        <f>IF(Tabela1[[#This Row],[CARGA PARCIAL]]&lt;0,0,Tabela1[[#This Row],[CARGA PARCIAL]])+Tabela1[[#This Row],[REEMBOLSO]]</f>
        <v>0</v>
      </c>
      <c r="R455" s="66" t="s">
        <v>21</v>
      </c>
      <c r="S455" s="70"/>
    </row>
    <row r="456" spans="2:19" x14ac:dyDescent="0.25">
      <c r="B456" s="83" t="s">
        <v>514</v>
      </c>
      <c r="C456" s="64" t="s">
        <v>515</v>
      </c>
      <c r="D456" s="64" t="s">
        <v>17</v>
      </c>
      <c r="E456" s="64" t="s">
        <v>516</v>
      </c>
      <c r="F456" s="64">
        <v>11062360001</v>
      </c>
      <c r="G456" s="82" t="s">
        <v>32</v>
      </c>
      <c r="H456" s="64" t="s">
        <v>33</v>
      </c>
      <c r="I456" s="65">
        <v>0</v>
      </c>
      <c r="J456" s="65">
        <v>728.86</v>
      </c>
      <c r="K456" s="65">
        <v>500</v>
      </c>
      <c r="L456" s="65">
        <v>1.1399999999999999</v>
      </c>
      <c r="M456" s="66">
        <v>0</v>
      </c>
      <c r="N456" s="88">
        <f>Tabela1[[#This Row],[1QZ DE DEZ 26]]-Tabela1[[#This Row],[SALDO FINAL]]-Tabela1[[#This Row],[SALDO CARTAO]]-Tabela1[[#This Row],[ADIANTAMENTO]]</f>
        <v>-230</v>
      </c>
      <c r="O456" s="67">
        <f>(-Tabela1[[#This Row],[SALDO REEMBOLSAR]]*$O$4)</f>
        <v>0</v>
      </c>
      <c r="P456" s="123">
        <f>IF(Tabela1[[#This Row],[CARGA PARCIAL]]&lt;0,0,Tabela1[[#This Row],[CARGA PARCIAL]])</f>
        <v>0</v>
      </c>
      <c r="Q456" s="91">
        <f>IF(Tabela1[[#This Row],[CARGA PARCIAL]]&lt;0,0,Tabela1[[#This Row],[CARGA PARCIAL]])+Tabela1[[#This Row],[REEMBOLSO]]</f>
        <v>0</v>
      </c>
      <c r="R456" s="66" t="s">
        <v>21</v>
      </c>
      <c r="S456" s="70"/>
    </row>
    <row r="457" spans="2:19" x14ac:dyDescent="0.25">
      <c r="B457" s="121" t="s">
        <v>451</v>
      </c>
      <c r="C457" s="106" t="s">
        <v>452</v>
      </c>
      <c r="D457" s="106" t="s">
        <v>17</v>
      </c>
      <c r="E457" s="106" t="s">
        <v>239</v>
      </c>
      <c r="F457" s="64">
        <v>11040130001</v>
      </c>
      <c r="G457" s="107" t="s">
        <v>240</v>
      </c>
      <c r="H457" s="106" t="s">
        <v>33</v>
      </c>
      <c r="I457" s="65">
        <v>0</v>
      </c>
      <c r="J457" s="65">
        <v>407.57999999999993</v>
      </c>
      <c r="K457" s="65">
        <v>160</v>
      </c>
      <c r="L457" s="69">
        <v>8.6199999999999992</v>
      </c>
      <c r="M457" s="70">
        <v>0</v>
      </c>
      <c r="N457" s="111">
        <f>Tabela1[[#This Row],[1QZ DE DEZ 26]]-Tabela1[[#This Row],[SALDO FINAL]]-Tabela1[[#This Row],[SALDO CARTAO]]-Tabela1[[#This Row],[ADIANTAMENTO]]</f>
        <v>-256.19999999999993</v>
      </c>
      <c r="O457" s="67">
        <f>(-Tabela1[[#This Row],[SALDO REEMBOLSAR]]*$O$4)</f>
        <v>0</v>
      </c>
      <c r="P457" s="124">
        <f>IF(Tabela1[[#This Row],[CARGA PARCIAL]]&lt;0,0,Tabela1[[#This Row],[CARGA PARCIAL]])</f>
        <v>0</v>
      </c>
      <c r="Q457" s="92">
        <f>IF(Tabela1[[#This Row],[CARGA PARCIAL]]&lt;0,0,Tabela1[[#This Row],[CARGA PARCIAL]])+Tabela1[[#This Row],[REEMBOLSO]]</f>
        <v>0</v>
      </c>
      <c r="R457" s="66" t="s">
        <v>21</v>
      </c>
      <c r="S457" s="70"/>
    </row>
    <row r="458" spans="2:19" x14ac:dyDescent="0.25">
      <c r="B458" s="83" t="s">
        <v>948</v>
      </c>
      <c r="C458" s="64" t="s">
        <v>1778</v>
      </c>
      <c r="D458" s="64" t="s">
        <v>17</v>
      </c>
      <c r="E458" s="64" t="s">
        <v>468</v>
      </c>
      <c r="F458" s="64">
        <v>1104150001</v>
      </c>
      <c r="G458" s="82" t="s">
        <v>240</v>
      </c>
      <c r="H458" s="64" t="s">
        <v>33</v>
      </c>
      <c r="I458" s="65">
        <v>0</v>
      </c>
      <c r="J458" s="65">
        <v>241.3</v>
      </c>
      <c r="K458" s="65">
        <v>0</v>
      </c>
      <c r="L458" s="65">
        <v>38</v>
      </c>
      <c r="M458" s="66">
        <v>0</v>
      </c>
      <c r="N458" s="88">
        <f>Tabela1[[#This Row],[1QZ DE DEZ 26]]-Tabela1[[#This Row],[SALDO FINAL]]-Tabela1[[#This Row],[SALDO CARTAO]]-Tabela1[[#This Row],[ADIANTAMENTO]]</f>
        <v>-279.3</v>
      </c>
      <c r="O458" s="67">
        <f>(-Tabela1[[#This Row],[SALDO REEMBOLSAR]]*$O$4)</f>
        <v>0</v>
      </c>
      <c r="P458" s="123">
        <f>IF(Tabela1[[#This Row],[CARGA PARCIAL]]&lt;0,0,Tabela1[[#This Row],[CARGA PARCIAL]])</f>
        <v>0</v>
      </c>
      <c r="Q458" s="91">
        <f>IF(Tabela1[[#This Row],[CARGA PARCIAL]]&lt;0,0,Tabela1[[#This Row],[CARGA PARCIAL]])+Tabela1[[#This Row],[REEMBOLSO]]</f>
        <v>0</v>
      </c>
      <c r="R458" s="66" t="s">
        <v>21</v>
      </c>
      <c r="S458" s="70"/>
    </row>
    <row r="459" spans="2:19" x14ac:dyDescent="0.25">
      <c r="B459" s="103" t="s">
        <v>1488</v>
      </c>
      <c r="C459" s="102" t="s">
        <v>1943</v>
      </c>
      <c r="D459" s="64" t="s">
        <v>17</v>
      </c>
      <c r="E459" s="64" t="s">
        <v>479</v>
      </c>
      <c r="F459" s="64">
        <v>11061430001</v>
      </c>
      <c r="G459" s="82" t="s">
        <v>1989</v>
      </c>
      <c r="H459" s="64" t="s">
        <v>20</v>
      </c>
      <c r="I459" s="65">
        <v>0</v>
      </c>
      <c r="J459" s="65">
        <v>280.02000000000663</v>
      </c>
      <c r="K459" s="65">
        <v>0</v>
      </c>
      <c r="L459" s="65">
        <v>9.1999999999999993</v>
      </c>
      <c r="M459" s="66">
        <v>0</v>
      </c>
      <c r="N459" s="88">
        <f>Tabela1[[#This Row],[1QZ DE DEZ 26]]-Tabela1[[#This Row],[SALDO FINAL]]-Tabela1[[#This Row],[SALDO CARTAO]]-Tabela1[[#This Row],[ADIANTAMENTO]]</f>
        <v>-289.22000000000662</v>
      </c>
      <c r="O459" s="67">
        <f>(-Tabela1[[#This Row],[SALDO REEMBOLSAR]]*$O$4)</f>
        <v>0</v>
      </c>
      <c r="P459" s="115">
        <f>IF(Tabela1[[#This Row],[CARGA PARCIAL]]&lt;0,0,Tabela1[[#This Row],[CARGA PARCIAL]])</f>
        <v>0</v>
      </c>
      <c r="Q459" s="91">
        <f>IF(Tabela1[[#This Row],[CARGA PARCIAL]]&lt;0,0,Tabela1[[#This Row],[CARGA PARCIAL]])+Tabela1[[#This Row],[REEMBOLSO]]</f>
        <v>0</v>
      </c>
      <c r="R459" s="66" t="s">
        <v>21</v>
      </c>
      <c r="S459" s="70"/>
    </row>
    <row r="460" spans="2:19" x14ac:dyDescent="0.25">
      <c r="B460" s="103" t="s">
        <v>1606</v>
      </c>
      <c r="C460" s="102" t="s">
        <v>1981</v>
      </c>
      <c r="D460" s="64" t="s">
        <v>17</v>
      </c>
      <c r="E460" s="64" t="s">
        <v>239</v>
      </c>
      <c r="F460" s="64">
        <v>11040130001</v>
      </c>
      <c r="G460" s="82" t="s">
        <v>240</v>
      </c>
      <c r="H460" s="64" t="s">
        <v>33</v>
      </c>
      <c r="I460" s="65">
        <v>0</v>
      </c>
      <c r="J460" s="65">
        <v>178.95999999999978</v>
      </c>
      <c r="K460" s="65">
        <v>0</v>
      </c>
      <c r="L460" s="65">
        <v>114.28</v>
      </c>
      <c r="M460" s="66">
        <v>0</v>
      </c>
      <c r="N460" s="88">
        <f>Tabela1[[#This Row],[1QZ DE DEZ 26]]-Tabela1[[#This Row],[SALDO FINAL]]-Tabela1[[#This Row],[SALDO CARTAO]]-Tabela1[[#This Row],[ADIANTAMENTO]]</f>
        <v>-293.23999999999978</v>
      </c>
      <c r="O460" s="67">
        <f>(-Tabela1[[#This Row],[SALDO REEMBOLSAR]]*$O$4)</f>
        <v>0</v>
      </c>
      <c r="P460" s="115">
        <f>IF(Tabela1[[#This Row],[CARGA PARCIAL]]&lt;0,0,Tabela1[[#This Row],[CARGA PARCIAL]])</f>
        <v>0</v>
      </c>
      <c r="Q460" s="91">
        <f>IF(Tabela1[[#This Row],[CARGA PARCIAL]]&lt;0,0,Tabela1[[#This Row],[CARGA PARCIAL]])+Tabela1[[#This Row],[REEMBOLSO]]</f>
        <v>0</v>
      </c>
      <c r="R460" s="66" t="s">
        <v>21</v>
      </c>
      <c r="S460" s="70"/>
    </row>
    <row r="461" spans="2:19" x14ac:dyDescent="0.25">
      <c r="B461" s="83" t="s">
        <v>1740</v>
      </c>
      <c r="C461" s="64" t="s">
        <v>1758</v>
      </c>
      <c r="D461" s="64" t="s">
        <v>17</v>
      </c>
      <c r="E461" s="64" t="s">
        <v>210</v>
      </c>
      <c r="F461" s="64">
        <v>11061480001</v>
      </c>
      <c r="G461" s="82" t="s">
        <v>19</v>
      </c>
      <c r="H461" s="64" t="s">
        <v>20</v>
      </c>
      <c r="I461" s="65">
        <v>0</v>
      </c>
      <c r="J461" s="65">
        <v>288.55999999999995</v>
      </c>
      <c r="K461" s="65">
        <v>0</v>
      </c>
      <c r="L461" s="65">
        <v>5</v>
      </c>
      <c r="M461" s="66">
        <v>0</v>
      </c>
      <c r="N461" s="88">
        <f>Tabela1[[#This Row],[1QZ DE DEZ 26]]-Tabela1[[#This Row],[SALDO FINAL]]-Tabela1[[#This Row],[SALDO CARTAO]]-Tabela1[[#This Row],[ADIANTAMENTO]]</f>
        <v>-293.55999999999995</v>
      </c>
      <c r="O461" s="67">
        <f>(-Tabela1[[#This Row],[SALDO REEMBOLSAR]]*$O$4)</f>
        <v>0</v>
      </c>
      <c r="P461" s="123">
        <f>IF(Tabela1[[#This Row],[CARGA PARCIAL]]&lt;0,0,Tabela1[[#This Row],[CARGA PARCIAL]])</f>
        <v>0</v>
      </c>
      <c r="Q461" s="91">
        <f>IF(Tabela1[[#This Row],[CARGA PARCIAL]]&lt;0,0,Tabela1[[#This Row],[CARGA PARCIAL]])+Tabela1[[#This Row],[REEMBOLSO]]</f>
        <v>0</v>
      </c>
      <c r="R461" s="66" t="s">
        <v>21</v>
      </c>
      <c r="S461" s="70"/>
    </row>
    <row r="462" spans="2:19" x14ac:dyDescent="0.25">
      <c r="B462" s="83" t="s">
        <v>60</v>
      </c>
      <c r="C462" s="64" t="s">
        <v>61</v>
      </c>
      <c r="D462" s="64" t="s">
        <v>17</v>
      </c>
      <c r="E462" s="64" t="s">
        <v>62</v>
      </c>
      <c r="F462" s="64">
        <v>11061870001</v>
      </c>
      <c r="G462" s="82" t="s">
        <v>55</v>
      </c>
      <c r="H462" s="64" t="s">
        <v>56</v>
      </c>
      <c r="I462" s="65">
        <v>0</v>
      </c>
      <c r="J462" s="65">
        <v>4466.4700000000112</v>
      </c>
      <c r="K462" s="65">
        <v>4200</v>
      </c>
      <c r="L462" s="65">
        <v>32.96</v>
      </c>
      <c r="M462" s="66">
        <v>0</v>
      </c>
      <c r="N462" s="88">
        <f>Tabela1[[#This Row],[1QZ DE DEZ 26]]-Tabela1[[#This Row],[SALDO FINAL]]-Tabela1[[#This Row],[SALDO CARTAO]]-Tabela1[[#This Row],[ADIANTAMENTO]]</f>
        <v>-299.43000000001115</v>
      </c>
      <c r="O462" s="67">
        <f>(-Tabela1[[#This Row],[SALDO REEMBOLSAR]]*$O$4)</f>
        <v>0</v>
      </c>
      <c r="P462" s="123">
        <f>IF(Tabela1[[#This Row],[CARGA PARCIAL]]&lt;0,0,Tabela1[[#This Row],[CARGA PARCIAL]])</f>
        <v>0</v>
      </c>
      <c r="Q462" s="91">
        <f>IF(Tabela1[[#This Row],[CARGA PARCIAL]]&lt;0,0,Tabela1[[#This Row],[CARGA PARCIAL]])+Tabela1[[#This Row],[REEMBOLSO]]</f>
        <v>0</v>
      </c>
      <c r="R462" s="66" t="s">
        <v>21</v>
      </c>
      <c r="S462" s="70"/>
    </row>
    <row r="463" spans="2:19" x14ac:dyDescent="0.25">
      <c r="B463" s="104" t="s">
        <v>1450</v>
      </c>
      <c r="C463" s="105" t="s">
        <v>1927</v>
      </c>
      <c r="D463" s="106" t="s">
        <v>17</v>
      </c>
      <c r="E463" s="106" t="s">
        <v>1825</v>
      </c>
      <c r="F463" s="64">
        <v>11020660001</v>
      </c>
      <c r="G463" s="107" t="s">
        <v>244</v>
      </c>
      <c r="H463" s="106" t="s">
        <v>33</v>
      </c>
      <c r="I463" s="65">
        <v>0</v>
      </c>
      <c r="J463" s="65">
        <v>325.57999999999993</v>
      </c>
      <c r="K463" s="65">
        <v>0</v>
      </c>
      <c r="L463" s="69">
        <v>7.27</v>
      </c>
      <c r="M463" s="70">
        <v>0</v>
      </c>
      <c r="N463" s="111">
        <f>Tabela1[[#This Row],[1QZ DE DEZ 26]]-Tabela1[[#This Row],[SALDO FINAL]]-Tabela1[[#This Row],[SALDO CARTAO]]-Tabela1[[#This Row],[ADIANTAMENTO]]</f>
        <v>-332.84999999999991</v>
      </c>
      <c r="O463" s="67">
        <f>(-Tabela1[[#This Row],[SALDO REEMBOLSAR]]*$O$4)</f>
        <v>0</v>
      </c>
      <c r="P463" s="116">
        <f>IF(Tabela1[[#This Row],[CARGA PARCIAL]]&lt;0,0,Tabela1[[#This Row],[CARGA PARCIAL]])</f>
        <v>0</v>
      </c>
      <c r="Q463" s="92">
        <f>IF(Tabela1[[#This Row],[CARGA PARCIAL]]&lt;0,0,Tabela1[[#This Row],[CARGA PARCIAL]])+Tabela1[[#This Row],[REEMBOLSO]]</f>
        <v>0</v>
      </c>
      <c r="R463" s="66" t="s">
        <v>21</v>
      </c>
      <c r="S463" s="70"/>
    </row>
    <row r="464" spans="2:19" x14ac:dyDescent="0.25">
      <c r="B464" s="83" t="s">
        <v>131</v>
      </c>
      <c r="C464" s="64" t="s">
        <v>132</v>
      </c>
      <c r="D464" s="64" t="s">
        <v>17</v>
      </c>
      <c r="E464" s="64" t="s">
        <v>133</v>
      </c>
      <c r="F464" s="64">
        <v>11062640001</v>
      </c>
      <c r="G464" s="82" t="s">
        <v>32</v>
      </c>
      <c r="H464" s="64" t="s">
        <v>33</v>
      </c>
      <c r="I464" s="65">
        <v>0</v>
      </c>
      <c r="J464" s="65">
        <v>3717.3700000000049</v>
      </c>
      <c r="K464" s="65">
        <v>4000</v>
      </c>
      <c r="L464" s="65">
        <v>633.44000000000005</v>
      </c>
      <c r="M464" s="66">
        <v>0</v>
      </c>
      <c r="N464" s="88">
        <f>Tabela1[[#This Row],[1QZ DE DEZ 26]]-Tabela1[[#This Row],[SALDO FINAL]]-Tabela1[[#This Row],[SALDO CARTAO]]-Tabela1[[#This Row],[ADIANTAMENTO]]</f>
        <v>-350.81000000000495</v>
      </c>
      <c r="O464" s="67">
        <f>(-Tabela1[[#This Row],[SALDO REEMBOLSAR]]*$O$4)</f>
        <v>0</v>
      </c>
      <c r="P464" s="123">
        <f>IF(Tabela1[[#This Row],[CARGA PARCIAL]]&lt;0,0,Tabela1[[#This Row],[CARGA PARCIAL]])</f>
        <v>0</v>
      </c>
      <c r="Q464" s="91">
        <f>IF(Tabela1[[#This Row],[CARGA PARCIAL]]&lt;0,0,Tabela1[[#This Row],[CARGA PARCIAL]])+Tabela1[[#This Row],[REEMBOLSO]]</f>
        <v>0</v>
      </c>
      <c r="R464" s="66" t="s">
        <v>21</v>
      </c>
      <c r="S464" s="70"/>
    </row>
    <row r="465" spans="2:19" x14ac:dyDescent="0.25">
      <c r="B465" s="83" t="s">
        <v>1149</v>
      </c>
      <c r="C465" s="64" t="s">
        <v>1822</v>
      </c>
      <c r="D465" s="64" t="s">
        <v>17</v>
      </c>
      <c r="E465" s="64" t="s">
        <v>1825</v>
      </c>
      <c r="F465" s="64">
        <v>11020660001</v>
      </c>
      <c r="G465" s="82" t="s">
        <v>244</v>
      </c>
      <c r="H465" s="64" t="s">
        <v>33</v>
      </c>
      <c r="I465" s="65">
        <v>0</v>
      </c>
      <c r="J465" s="65">
        <v>380.17000000000007</v>
      </c>
      <c r="K465" s="65">
        <v>0</v>
      </c>
      <c r="L465" s="65">
        <v>0</v>
      </c>
      <c r="M465" s="66">
        <v>0</v>
      </c>
      <c r="N465" s="88">
        <f>Tabela1[[#This Row],[1QZ DE DEZ 26]]-Tabela1[[#This Row],[SALDO FINAL]]-Tabela1[[#This Row],[SALDO CARTAO]]-Tabela1[[#This Row],[ADIANTAMENTO]]</f>
        <v>-380.17000000000007</v>
      </c>
      <c r="O465" s="67">
        <f>(-Tabela1[[#This Row],[SALDO REEMBOLSAR]]*$O$4)</f>
        <v>0</v>
      </c>
      <c r="P465" s="123">
        <f>IF(Tabela1[[#This Row],[CARGA PARCIAL]]&lt;0,0,Tabela1[[#This Row],[CARGA PARCIAL]])</f>
        <v>0</v>
      </c>
      <c r="Q465" s="91">
        <f>IF(Tabela1[[#This Row],[CARGA PARCIAL]]&lt;0,0,Tabela1[[#This Row],[CARGA PARCIAL]])+Tabela1[[#This Row],[REEMBOLSO]]</f>
        <v>0</v>
      </c>
      <c r="R465" s="66" t="s">
        <v>21</v>
      </c>
      <c r="S465" s="70"/>
    </row>
    <row r="466" spans="2:19" x14ac:dyDescent="0.25">
      <c r="B466" s="103" t="s">
        <v>175</v>
      </c>
      <c r="C466" s="102" t="s">
        <v>176</v>
      </c>
      <c r="D466" s="64" t="s">
        <v>17</v>
      </c>
      <c r="E466" s="64" t="s">
        <v>24</v>
      </c>
      <c r="F466" s="64">
        <v>11040160001</v>
      </c>
      <c r="G466" s="82" t="s">
        <v>25</v>
      </c>
      <c r="H466" s="64" t="s">
        <v>20</v>
      </c>
      <c r="I466" s="65">
        <v>0</v>
      </c>
      <c r="J466" s="65">
        <v>803.29999999999973</v>
      </c>
      <c r="K466" s="65">
        <v>500</v>
      </c>
      <c r="L466" s="65">
        <v>79</v>
      </c>
      <c r="M466" s="66">
        <v>0</v>
      </c>
      <c r="N466" s="88">
        <f>Tabela1[[#This Row],[1QZ DE DEZ 26]]-Tabela1[[#This Row],[SALDO FINAL]]-Tabela1[[#This Row],[SALDO CARTAO]]-Tabela1[[#This Row],[ADIANTAMENTO]]</f>
        <v>-382.29999999999973</v>
      </c>
      <c r="O466" s="67">
        <f>(-Tabela1[[#This Row],[SALDO REEMBOLSAR]]*$O$4)</f>
        <v>0</v>
      </c>
      <c r="P466" s="115">
        <f>IF(Tabela1[[#This Row],[CARGA PARCIAL]]&lt;0,0,Tabela1[[#This Row],[CARGA PARCIAL]])</f>
        <v>0</v>
      </c>
      <c r="Q466" s="91">
        <f>IF(Tabela1[[#This Row],[CARGA PARCIAL]]&lt;0,0,Tabela1[[#This Row],[CARGA PARCIAL]])+Tabela1[[#This Row],[REEMBOLSO]]</f>
        <v>0</v>
      </c>
      <c r="R466" s="66" t="s">
        <v>21</v>
      </c>
      <c r="S466" s="70"/>
    </row>
    <row r="467" spans="2:19" x14ac:dyDescent="0.25">
      <c r="B467" s="83" t="s">
        <v>322</v>
      </c>
      <c r="C467" s="64" t="s">
        <v>323</v>
      </c>
      <c r="D467" s="64" t="s">
        <v>17</v>
      </c>
      <c r="E467" s="64" t="s">
        <v>239</v>
      </c>
      <c r="F467" s="64">
        <v>11040130001</v>
      </c>
      <c r="G467" s="82" t="s">
        <v>240</v>
      </c>
      <c r="H467" s="64" t="s">
        <v>33</v>
      </c>
      <c r="I467" s="65">
        <v>0</v>
      </c>
      <c r="J467" s="65">
        <v>502.66999999999985</v>
      </c>
      <c r="K467" s="65">
        <v>120</v>
      </c>
      <c r="L467" s="65">
        <v>21.6</v>
      </c>
      <c r="M467" s="66">
        <v>0</v>
      </c>
      <c r="N467" s="88">
        <f>Tabela1[[#This Row],[1QZ DE DEZ 26]]-Tabela1[[#This Row],[SALDO FINAL]]-Tabela1[[#This Row],[SALDO CARTAO]]-Tabela1[[#This Row],[ADIANTAMENTO]]</f>
        <v>-404.26999999999987</v>
      </c>
      <c r="O467" s="67">
        <f>(-Tabela1[[#This Row],[SALDO REEMBOLSAR]]*$O$4)</f>
        <v>0</v>
      </c>
      <c r="P467" s="123">
        <f>IF(Tabela1[[#This Row],[CARGA PARCIAL]]&lt;0,0,Tabela1[[#This Row],[CARGA PARCIAL]])</f>
        <v>0</v>
      </c>
      <c r="Q467" s="91">
        <f>IF(Tabela1[[#This Row],[CARGA PARCIAL]]&lt;0,0,Tabela1[[#This Row],[CARGA PARCIAL]])+Tabela1[[#This Row],[REEMBOLSO]]</f>
        <v>0</v>
      </c>
      <c r="R467" s="66" t="s">
        <v>21</v>
      </c>
      <c r="S467" s="70"/>
    </row>
    <row r="468" spans="2:19" x14ac:dyDescent="0.25">
      <c r="B468" s="83" t="s">
        <v>1183</v>
      </c>
      <c r="C468" s="64" t="s">
        <v>1701</v>
      </c>
      <c r="D468" s="64" t="s">
        <v>17</v>
      </c>
      <c r="E468" s="64" t="s">
        <v>24</v>
      </c>
      <c r="F468" s="64">
        <v>11040160001</v>
      </c>
      <c r="G468" s="82" t="s">
        <v>25</v>
      </c>
      <c r="H468" s="64" t="s">
        <v>20</v>
      </c>
      <c r="I468" s="65">
        <v>0</v>
      </c>
      <c r="J468" s="65">
        <v>496</v>
      </c>
      <c r="K468" s="65">
        <v>0</v>
      </c>
      <c r="L468" s="65">
        <v>4</v>
      </c>
      <c r="M468" s="66">
        <v>0</v>
      </c>
      <c r="N468" s="88">
        <f>Tabela1[[#This Row],[1QZ DE DEZ 26]]-Tabela1[[#This Row],[SALDO FINAL]]-Tabela1[[#This Row],[SALDO CARTAO]]-Tabela1[[#This Row],[ADIANTAMENTO]]</f>
        <v>-500</v>
      </c>
      <c r="O468" s="67">
        <f>(-Tabela1[[#This Row],[SALDO REEMBOLSAR]]*$O$4)</f>
        <v>0</v>
      </c>
      <c r="P468" s="123">
        <f>IF(Tabela1[[#This Row],[CARGA PARCIAL]]&lt;0,0,Tabela1[[#This Row],[CARGA PARCIAL]])</f>
        <v>0</v>
      </c>
      <c r="Q468" s="91">
        <f>IF(Tabela1[[#This Row],[CARGA PARCIAL]]&lt;0,0,Tabela1[[#This Row],[CARGA PARCIAL]])+Tabela1[[#This Row],[REEMBOLSO]]</f>
        <v>0</v>
      </c>
      <c r="R468" s="66" t="s">
        <v>21</v>
      </c>
      <c r="S468" s="70"/>
    </row>
    <row r="469" spans="2:19" x14ac:dyDescent="0.25">
      <c r="B469" s="83" t="s">
        <v>1262</v>
      </c>
      <c r="C469" s="64" t="s">
        <v>1862</v>
      </c>
      <c r="D469" s="64" t="s">
        <v>17</v>
      </c>
      <c r="E469" s="64" t="s">
        <v>73</v>
      </c>
      <c r="F469" s="64">
        <v>1201020</v>
      </c>
      <c r="G469" s="82" t="s">
        <v>74</v>
      </c>
      <c r="H469" s="64" t="s">
        <v>75</v>
      </c>
      <c r="I469" s="65">
        <v>0</v>
      </c>
      <c r="J469" s="65">
        <v>27.920000000000016</v>
      </c>
      <c r="K469" s="65">
        <v>0</v>
      </c>
      <c r="L469" s="65">
        <v>492.58</v>
      </c>
      <c r="M469" s="66">
        <v>0</v>
      </c>
      <c r="N469" s="88">
        <f>Tabela1[[#This Row],[1QZ DE DEZ 26]]-Tabela1[[#This Row],[SALDO FINAL]]-Tabela1[[#This Row],[SALDO CARTAO]]-Tabela1[[#This Row],[ADIANTAMENTO]]</f>
        <v>-520.5</v>
      </c>
      <c r="O469" s="67">
        <f>(-Tabela1[[#This Row],[SALDO REEMBOLSAR]]*$O$4)</f>
        <v>0</v>
      </c>
      <c r="P469" s="123">
        <f>IF(Tabela1[[#This Row],[CARGA PARCIAL]]&lt;0,0,Tabela1[[#This Row],[CARGA PARCIAL]])</f>
        <v>0</v>
      </c>
      <c r="Q469" s="91">
        <f>IF(Tabela1[[#This Row],[CARGA PARCIAL]]&lt;0,0,Tabela1[[#This Row],[CARGA PARCIAL]])+Tabela1[[#This Row],[REEMBOLSO]]</f>
        <v>0</v>
      </c>
      <c r="R469" s="66" t="s">
        <v>21</v>
      </c>
      <c r="S469" s="70"/>
    </row>
    <row r="470" spans="2:19" x14ac:dyDescent="0.25">
      <c r="B470" s="83" t="s">
        <v>438</v>
      </c>
      <c r="C470" s="64" t="s">
        <v>439</v>
      </c>
      <c r="D470" s="64" t="s">
        <v>17</v>
      </c>
      <c r="E470" s="64" t="s">
        <v>81</v>
      </c>
      <c r="F470" s="64">
        <v>11062670001</v>
      </c>
      <c r="G470" s="82" t="s">
        <v>32</v>
      </c>
      <c r="H470" s="64" t="s">
        <v>33</v>
      </c>
      <c r="I470" s="65">
        <v>0</v>
      </c>
      <c r="J470" s="65">
        <v>1330.3800000000003</v>
      </c>
      <c r="K470" s="65">
        <v>800</v>
      </c>
      <c r="L470" s="65">
        <v>14.32</v>
      </c>
      <c r="M470" s="66">
        <v>0</v>
      </c>
      <c r="N470" s="88">
        <f>Tabela1[[#This Row],[1QZ DE DEZ 26]]-Tabela1[[#This Row],[SALDO FINAL]]-Tabela1[[#This Row],[SALDO CARTAO]]-Tabela1[[#This Row],[ADIANTAMENTO]]</f>
        <v>-544.70000000000039</v>
      </c>
      <c r="O470" s="67">
        <f>(-Tabela1[[#This Row],[SALDO REEMBOLSAR]]*$O$4)</f>
        <v>0</v>
      </c>
      <c r="P470" s="123">
        <f>IF(Tabela1[[#This Row],[CARGA PARCIAL]]&lt;0,0,Tabela1[[#This Row],[CARGA PARCIAL]])</f>
        <v>0</v>
      </c>
      <c r="Q470" s="84">
        <f>IF(Tabela1[[#This Row],[CARGA PARCIAL]]&lt;0,0,Tabela1[[#This Row],[CARGA PARCIAL]])+Tabela1[[#This Row],[REEMBOLSO]]</f>
        <v>0</v>
      </c>
      <c r="R470" s="66" t="s">
        <v>21</v>
      </c>
      <c r="S470" s="70"/>
    </row>
    <row r="471" spans="2:19" x14ac:dyDescent="0.25">
      <c r="B471" s="103" t="s">
        <v>1600</v>
      </c>
      <c r="C471" s="102" t="s">
        <v>1979</v>
      </c>
      <c r="D471" s="64" t="s">
        <v>17</v>
      </c>
      <c r="E471" s="64" t="s">
        <v>468</v>
      </c>
      <c r="F471" s="64">
        <v>1104150001</v>
      </c>
      <c r="G471" s="82" t="s">
        <v>240</v>
      </c>
      <c r="H471" s="64" t="s">
        <v>33</v>
      </c>
      <c r="I471" s="65">
        <v>0</v>
      </c>
      <c r="J471" s="65">
        <v>548.31000000000029</v>
      </c>
      <c r="K471" s="65">
        <v>0</v>
      </c>
      <c r="L471" s="65">
        <v>0.85</v>
      </c>
      <c r="M471" s="66">
        <v>0</v>
      </c>
      <c r="N471" s="88">
        <f>Tabela1[[#This Row],[1QZ DE DEZ 26]]-Tabela1[[#This Row],[SALDO FINAL]]-Tabela1[[#This Row],[SALDO CARTAO]]-Tabela1[[#This Row],[ADIANTAMENTO]]</f>
        <v>-549.16000000000031</v>
      </c>
      <c r="O471" s="67">
        <f>(-Tabela1[[#This Row],[SALDO REEMBOLSAR]]*$O$4)</f>
        <v>0</v>
      </c>
      <c r="P471" s="115">
        <f>IF(Tabela1[[#This Row],[CARGA PARCIAL]]&lt;0,0,Tabela1[[#This Row],[CARGA PARCIAL]])</f>
        <v>0</v>
      </c>
      <c r="Q471" s="91">
        <f>IF(Tabela1[[#This Row],[CARGA PARCIAL]]&lt;0,0,Tabela1[[#This Row],[CARGA PARCIAL]])+Tabela1[[#This Row],[REEMBOLSO]]</f>
        <v>0</v>
      </c>
      <c r="R471" s="66" t="s">
        <v>21</v>
      </c>
      <c r="S471" s="70"/>
    </row>
    <row r="472" spans="2:19" x14ac:dyDescent="0.25">
      <c r="B472" s="83" t="s">
        <v>260</v>
      </c>
      <c r="C472" s="64" t="s">
        <v>261</v>
      </c>
      <c r="D472" s="64" t="s">
        <v>17</v>
      </c>
      <c r="E472" s="64" t="s">
        <v>262</v>
      </c>
      <c r="F472" s="64">
        <v>11061840001</v>
      </c>
      <c r="G472" s="82" t="s">
        <v>236</v>
      </c>
      <c r="H472" s="64" t="s">
        <v>33</v>
      </c>
      <c r="I472" s="65">
        <v>0</v>
      </c>
      <c r="J472" s="65">
        <v>434.0100000000013</v>
      </c>
      <c r="K472" s="65">
        <v>200</v>
      </c>
      <c r="L472" s="65">
        <v>315.58999999999997</v>
      </c>
      <c r="M472" s="66">
        <v>0</v>
      </c>
      <c r="N472" s="88">
        <f>Tabela1[[#This Row],[1QZ DE DEZ 26]]-Tabela1[[#This Row],[SALDO FINAL]]-Tabela1[[#This Row],[SALDO CARTAO]]-Tabela1[[#This Row],[ADIANTAMENTO]]</f>
        <v>-549.60000000000127</v>
      </c>
      <c r="O472" s="67">
        <f>(-Tabela1[[#This Row],[SALDO REEMBOLSAR]]*$O$4)</f>
        <v>0</v>
      </c>
      <c r="P472" s="123">
        <f>IF(Tabela1[[#This Row],[CARGA PARCIAL]]&lt;0,0,Tabela1[[#This Row],[CARGA PARCIAL]])</f>
        <v>0</v>
      </c>
      <c r="Q472" s="91">
        <f>IF(Tabela1[[#This Row],[CARGA PARCIAL]]&lt;0,0,Tabela1[[#This Row],[CARGA PARCIAL]])+Tabela1[[#This Row],[REEMBOLSO]]</f>
        <v>0</v>
      </c>
      <c r="R472" s="66" t="s">
        <v>21</v>
      </c>
      <c r="S472" s="70"/>
    </row>
    <row r="473" spans="2:19" x14ac:dyDescent="0.25">
      <c r="B473" s="103" t="s">
        <v>675</v>
      </c>
      <c r="C473" s="102" t="s">
        <v>676</v>
      </c>
      <c r="D473" s="64" t="s">
        <v>17</v>
      </c>
      <c r="E473" s="64" t="s">
        <v>677</v>
      </c>
      <c r="F473" s="64">
        <v>11080260001</v>
      </c>
      <c r="G473" s="82" t="s">
        <v>244</v>
      </c>
      <c r="H473" s="64" t="s">
        <v>33</v>
      </c>
      <c r="I473" s="65">
        <v>0</v>
      </c>
      <c r="J473" s="65">
        <v>1801.9099999999999</v>
      </c>
      <c r="K473" s="65">
        <v>1200</v>
      </c>
      <c r="L473" s="65">
        <v>0</v>
      </c>
      <c r="M473" s="66">
        <v>0</v>
      </c>
      <c r="N473" s="88">
        <f>Tabela1[[#This Row],[1QZ DE DEZ 26]]-Tabela1[[#This Row],[SALDO FINAL]]-Tabela1[[#This Row],[SALDO CARTAO]]-Tabela1[[#This Row],[ADIANTAMENTO]]</f>
        <v>-601.90999999999985</v>
      </c>
      <c r="O473" s="67">
        <f>(-Tabela1[[#This Row],[SALDO REEMBOLSAR]]*$O$4)</f>
        <v>0</v>
      </c>
      <c r="P473" s="115">
        <f>IF(Tabela1[[#This Row],[CARGA PARCIAL]]&lt;0,0,Tabela1[[#This Row],[CARGA PARCIAL]])</f>
        <v>0</v>
      </c>
      <c r="Q473" s="91">
        <f>IF(Tabela1[[#This Row],[CARGA PARCIAL]]&lt;0,0,Tabela1[[#This Row],[CARGA PARCIAL]])+Tabela1[[#This Row],[REEMBOLSO]]</f>
        <v>0</v>
      </c>
      <c r="R473" s="66" t="s">
        <v>21</v>
      </c>
      <c r="S473" s="70"/>
    </row>
    <row r="474" spans="2:19" x14ac:dyDescent="0.25">
      <c r="B474" s="83" t="s">
        <v>1035</v>
      </c>
      <c r="C474" s="64" t="s">
        <v>1793</v>
      </c>
      <c r="D474" s="64" t="s">
        <v>17</v>
      </c>
      <c r="E474" s="64" t="s">
        <v>1757</v>
      </c>
      <c r="F474" s="64">
        <v>11060800001</v>
      </c>
      <c r="G474" s="82" t="s">
        <v>244</v>
      </c>
      <c r="H474" s="64" t="s">
        <v>33</v>
      </c>
      <c r="I474" s="65">
        <v>0</v>
      </c>
      <c r="J474" s="65">
        <v>650.69000000000005</v>
      </c>
      <c r="K474" s="65">
        <v>0</v>
      </c>
      <c r="L474" s="65">
        <v>0</v>
      </c>
      <c r="M474" s="66">
        <v>0</v>
      </c>
      <c r="N474" s="88">
        <f>Tabela1[[#This Row],[1QZ DE DEZ 26]]-Tabela1[[#This Row],[SALDO FINAL]]-Tabela1[[#This Row],[SALDO CARTAO]]-Tabela1[[#This Row],[ADIANTAMENTO]]</f>
        <v>-650.69000000000005</v>
      </c>
      <c r="O474" s="67">
        <f>(-Tabela1[[#This Row],[SALDO REEMBOLSAR]]*$O$4)</f>
        <v>0</v>
      </c>
      <c r="P474" s="123">
        <f>IF(Tabela1[[#This Row],[CARGA PARCIAL]]&lt;0,0,Tabela1[[#This Row],[CARGA PARCIAL]])</f>
        <v>0</v>
      </c>
      <c r="Q474" s="91">
        <f>IF(Tabela1[[#This Row],[CARGA PARCIAL]]&lt;0,0,Tabela1[[#This Row],[CARGA PARCIAL]])+Tabela1[[#This Row],[REEMBOLSO]]</f>
        <v>0</v>
      </c>
      <c r="R474" s="66" t="s">
        <v>21</v>
      </c>
      <c r="S474" s="70"/>
    </row>
    <row r="475" spans="2:19" x14ac:dyDescent="0.25">
      <c r="B475" s="103" t="s">
        <v>1905</v>
      </c>
      <c r="C475" s="102" t="s">
        <v>1906</v>
      </c>
      <c r="D475" s="64" t="s">
        <v>17</v>
      </c>
      <c r="E475" s="64" t="s">
        <v>111</v>
      </c>
      <c r="F475" s="64">
        <v>1201014</v>
      </c>
      <c r="G475" s="82" t="s">
        <v>112</v>
      </c>
      <c r="H475" s="64" t="s">
        <v>75</v>
      </c>
      <c r="I475" s="65">
        <v>0</v>
      </c>
      <c r="J475" s="65">
        <v>388.00000000000006</v>
      </c>
      <c r="K475" s="65">
        <v>0</v>
      </c>
      <c r="L475" s="65">
        <v>285.2</v>
      </c>
      <c r="M475" s="66">
        <v>0</v>
      </c>
      <c r="N475" s="88">
        <f>Tabela1[[#This Row],[1QZ DE DEZ 26]]-Tabela1[[#This Row],[SALDO FINAL]]-Tabela1[[#This Row],[SALDO CARTAO]]-Tabela1[[#This Row],[ADIANTAMENTO]]</f>
        <v>-673.2</v>
      </c>
      <c r="O475" s="67">
        <f>(-Tabela1[[#This Row],[SALDO REEMBOLSAR]]*$O$4)</f>
        <v>0</v>
      </c>
      <c r="P475" s="115">
        <f>IF(Tabela1[[#This Row],[CARGA PARCIAL]]&lt;0,0,Tabela1[[#This Row],[CARGA PARCIAL]])</f>
        <v>0</v>
      </c>
      <c r="Q475" s="91">
        <f>IF(Tabela1[[#This Row],[CARGA PARCIAL]]&lt;0,0,Tabela1[[#This Row],[CARGA PARCIAL]])+Tabela1[[#This Row],[REEMBOLSO]]</f>
        <v>0</v>
      </c>
      <c r="R475" s="66" t="s">
        <v>21</v>
      </c>
      <c r="S475" s="70"/>
    </row>
    <row r="476" spans="2:19" x14ac:dyDescent="0.25">
      <c r="B476" s="121" t="s">
        <v>71</v>
      </c>
      <c r="C476" s="106" t="s">
        <v>72</v>
      </c>
      <c r="D476" s="106" t="s">
        <v>17</v>
      </c>
      <c r="E476" s="106" t="s">
        <v>73</v>
      </c>
      <c r="F476" s="64">
        <v>1201020</v>
      </c>
      <c r="G476" s="107" t="s">
        <v>74</v>
      </c>
      <c r="H476" s="106" t="s">
        <v>75</v>
      </c>
      <c r="I476" s="65">
        <v>0</v>
      </c>
      <c r="J476" s="65">
        <v>2129.8599999999997</v>
      </c>
      <c r="K476" s="65">
        <v>2000</v>
      </c>
      <c r="L476" s="69">
        <v>48.45</v>
      </c>
      <c r="M476" s="70">
        <v>0</v>
      </c>
      <c r="N476" s="111">
        <f>Tabela1[[#This Row],[1QZ DE DEZ 26]]-Tabela1[[#This Row],[SALDO FINAL]]-Tabela1[[#This Row],[SALDO CARTAO]]-Tabela1[[#This Row],[ADIANTAMENTO]]</f>
        <v>-178.30999999999966</v>
      </c>
      <c r="O476" s="67">
        <f>(-Tabela1[[#This Row],[SALDO REEMBOLSAR]]*$O$4)</f>
        <v>0</v>
      </c>
      <c r="P476" s="124">
        <f>IF(Tabela1[[#This Row],[CARGA PARCIAL]]&lt;0,0,Tabela1[[#This Row],[CARGA PARCIAL]])</f>
        <v>0</v>
      </c>
      <c r="Q476" s="92">
        <f>IF(Tabela1[[#This Row],[CARGA PARCIAL]]&lt;0,0,Tabela1[[#This Row],[CARGA PARCIAL]])+Tabela1[[#This Row],[REEMBOLSO]]</f>
        <v>0</v>
      </c>
      <c r="R476" s="66" t="s">
        <v>21</v>
      </c>
      <c r="S476" s="70" t="s">
        <v>76</v>
      </c>
    </row>
    <row r="477" spans="2:19" x14ac:dyDescent="0.25">
      <c r="B477" s="104" t="s">
        <v>722</v>
      </c>
      <c r="C477" s="105" t="s">
        <v>723</v>
      </c>
      <c r="D477" s="106" t="s">
        <v>17</v>
      </c>
      <c r="E477" s="106" t="s">
        <v>347</v>
      </c>
      <c r="F477" s="64">
        <v>11040040001</v>
      </c>
      <c r="G477" s="107" t="s">
        <v>1989</v>
      </c>
      <c r="H477" s="106" t="s">
        <v>20</v>
      </c>
      <c r="I477" s="65">
        <v>0</v>
      </c>
      <c r="J477" s="65">
        <v>1937.3200000000047</v>
      </c>
      <c r="K477" s="65">
        <v>1200</v>
      </c>
      <c r="L477" s="69">
        <v>5.4</v>
      </c>
      <c r="M477" s="70">
        <v>0</v>
      </c>
      <c r="N477" s="111">
        <f>Tabela1[[#This Row],[1QZ DE DEZ 26]]-Tabela1[[#This Row],[SALDO FINAL]]-Tabela1[[#This Row],[SALDO CARTAO]]-Tabela1[[#This Row],[ADIANTAMENTO]]</f>
        <v>-742.72000000000469</v>
      </c>
      <c r="O477" s="67">
        <f>(-Tabela1[[#This Row],[SALDO REEMBOLSAR]]*$O$4)</f>
        <v>0</v>
      </c>
      <c r="P477" s="116">
        <f>IF(Tabela1[[#This Row],[CARGA PARCIAL]]&lt;0,0,Tabela1[[#This Row],[CARGA PARCIAL]])</f>
        <v>0</v>
      </c>
      <c r="Q477" s="92">
        <f>IF(Tabela1[[#This Row],[CARGA PARCIAL]]&lt;0,0,Tabela1[[#This Row],[CARGA PARCIAL]])+Tabela1[[#This Row],[REEMBOLSO]]</f>
        <v>0</v>
      </c>
      <c r="R477" s="66" t="s">
        <v>21</v>
      </c>
      <c r="S477" s="70"/>
    </row>
    <row r="478" spans="2:19" x14ac:dyDescent="0.25">
      <c r="B478" s="83" t="s">
        <v>279</v>
      </c>
      <c r="C478" s="64" t="s">
        <v>280</v>
      </c>
      <c r="D478" s="64" t="s">
        <v>17</v>
      </c>
      <c r="E478" s="64" t="s">
        <v>252</v>
      </c>
      <c r="F478" s="64">
        <v>11030290001</v>
      </c>
      <c r="G478" s="82" t="s">
        <v>1989</v>
      </c>
      <c r="H478" s="64" t="s">
        <v>20</v>
      </c>
      <c r="I478" s="65">
        <v>0</v>
      </c>
      <c r="J478" s="65">
        <v>11873.470000000001</v>
      </c>
      <c r="K478" s="65">
        <v>11100</v>
      </c>
      <c r="L478" s="65">
        <v>3</v>
      </c>
      <c r="M478" s="66">
        <v>0</v>
      </c>
      <c r="N478" s="88">
        <f>Tabela1[[#This Row],[1QZ DE DEZ 26]]-Tabela1[[#This Row],[SALDO FINAL]]-Tabela1[[#This Row],[SALDO CARTAO]]-Tabela1[[#This Row],[ADIANTAMENTO]]</f>
        <v>-776.47000000000116</v>
      </c>
      <c r="O478" s="67">
        <f>(-Tabela1[[#This Row],[SALDO REEMBOLSAR]]*$O$4)</f>
        <v>0</v>
      </c>
      <c r="P478" s="123">
        <f>IF(Tabela1[[#This Row],[CARGA PARCIAL]]&lt;0,0,Tabela1[[#This Row],[CARGA PARCIAL]])</f>
        <v>0</v>
      </c>
      <c r="Q478" s="91">
        <f>IF(Tabela1[[#This Row],[CARGA PARCIAL]]&lt;0,0,Tabela1[[#This Row],[CARGA PARCIAL]])+Tabela1[[#This Row],[REEMBOLSO]]</f>
        <v>0</v>
      </c>
      <c r="R478" s="66" t="s">
        <v>21</v>
      </c>
      <c r="S478" s="70"/>
    </row>
    <row r="479" spans="2:19" x14ac:dyDescent="0.25">
      <c r="B479" s="83" t="s">
        <v>480</v>
      </c>
      <c r="C479" s="64" t="s">
        <v>481</v>
      </c>
      <c r="D479" s="64" t="s">
        <v>17</v>
      </c>
      <c r="E479" s="64" t="s">
        <v>262</v>
      </c>
      <c r="F479" s="64">
        <v>11061840001</v>
      </c>
      <c r="G479" s="82" t="s">
        <v>236</v>
      </c>
      <c r="H479" s="64" t="s">
        <v>33</v>
      </c>
      <c r="I479" s="65">
        <v>0</v>
      </c>
      <c r="J479" s="65">
        <v>905.75</v>
      </c>
      <c r="K479" s="65">
        <v>120</v>
      </c>
      <c r="L479" s="65">
        <v>0.25</v>
      </c>
      <c r="M479" s="66">
        <v>0</v>
      </c>
      <c r="N479" s="88">
        <f>Tabela1[[#This Row],[1QZ DE DEZ 26]]-Tabela1[[#This Row],[SALDO FINAL]]-Tabela1[[#This Row],[SALDO CARTAO]]-Tabela1[[#This Row],[ADIANTAMENTO]]</f>
        <v>-786</v>
      </c>
      <c r="O479" s="67">
        <f>(-Tabela1[[#This Row],[SALDO REEMBOLSAR]]*$O$4)</f>
        <v>0</v>
      </c>
      <c r="P479" s="123">
        <f>IF(Tabela1[[#This Row],[CARGA PARCIAL]]&lt;0,0,Tabela1[[#This Row],[CARGA PARCIAL]])</f>
        <v>0</v>
      </c>
      <c r="Q479" s="91">
        <f>IF(Tabela1[[#This Row],[CARGA PARCIAL]]&lt;0,0,Tabela1[[#This Row],[CARGA PARCIAL]])+Tabela1[[#This Row],[REEMBOLSO]]</f>
        <v>0</v>
      </c>
      <c r="R479" s="66" t="s">
        <v>21</v>
      </c>
      <c r="S479" s="70"/>
    </row>
    <row r="480" spans="2:19" x14ac:dyDescent="0.25">
      <c r="B480" s="83" t="s">
        <v>1166</v>
      </c>
      <c r="C480" s="64" t="s">
        <v>1838</v>
      </c>
      <c r="D480" s="64" t="s">
        <v>17</v>
      </c>
      <c r="E480" s="64" t="s">
        <v>1839</v>
      </c>
      <c r="F480" s="64">
        <v>1201004</v>
      </c>
      <c r="G480" s="82" t="s">
        <v>1994</v>
      </c>
      <c r="H480" s="64" t="s">
        <v>1995</v>
      </c>
      <c r="I480" s="65">
        <v>0</v>
      </c>
      <c r="J480" s="65">
        <v>805.37000000000012</v>
      </c>
      <c r="K480" s="65">
        <v>0</v>
      </c>
      <c r="L480" s="65">
        <v>41</v>
      </c>
      <c r="M480" s="66">
        <v>0</v>
      </c>
      <c r="N480" s="88">
        <f>Tabela1[[#This Row],[1QZ DE DEZ 26]]-Tabela1[[#This Row],[SALDO FINAL]]-Tabela1[[#This Row],[SALDO CARTAO]]-Tabela1[[#This Row],[ADIANTAMENTO]]</f>
        <v>-846.37000000000012</v>
      </c>
      <c r="O480" s="67">
        <f>(-Tabela1[[#This Row],[SALDO REEMBOLSAR]]*$O$4)</f>
        <v>0</v>
      </c>
      <c r="P480" s="123">
        <f>IF(Tabela1[[#This Row],[CARGA PARCIAL]]&lt;0,0,Tabela1[[#This Row],[CARGA PARCIAL]])</f>
        <v>0</v>
      </c>
      <c r="Q480" s="91">
        <f>IF(Tabela1[[#This Row],[CARGA PARCIAL]]&lt;0,0,Tabela1[[#This Row],[CARGA PARCIAL]])+Tabela1[[#This Row],[REEMBOLSO]]</f>
        <v>0</v>
      </c>
      <c r="R480" s="66" t="s">
        <v>21</v>
      </c>
      <c r="S480" s="70"/>
    </row>
    <row r="481" spans="2:19" x14ac:dyDescent="0.25">
      <c r="B481" s="83" t="s">
        <v>342</v>
      </c>
      <c r="C481" s="64" t="s">
        <v>343</v>
      </c>
      <c r="D481" s="64" t="s">
        <v>17</v>
      </c>
      <c r="E481" s="64" t="s">
        <v>344</v>
      </c>
      <c r="F481" s="64">
        <v>11030580001</v>
      </c>
      <c r="G481" s="82" t="s">
        <v>236</v>
      </c>
      <c r="H481" s="64" t="s">
        <v>33</v>
      </c>
      <c r="I481" s="65">
        <v>0</v>
      </c>
      <c r="J481" s="65">
        <v>3690.9999999999986</v>
      </c>
      <c r="K481" s="65">
        <v>2800</v>
      </c>
      <c r="L481" s="65">
        <v>8</v>
      </c>
      <c r="M481" s="66">
        <v>0</v>
      </c>
      <c r="N481" s="88">
        <f>Tabela1[[#This Row],[1QZ DE DEZ 26]]-Tabela1[[#This Row],[SALDO FINAL]]-Tabela1[[#This Row],[SALDO CARTAO]]-Tabela1[[#This Row],[ADIANTAMENTO]]</f>
        <v>-898.99999999999864</v>
      </c>
      <c r="O481" s="67">
        <f>(-Tabela1[[#This Row],[SALDO REEMBOLSAR]]*$O$4)</f>
        <v>0</v>
      </c>
      <c r="P481" s="123">
        <f>IF(Tabela1[[#This Row],[CARGA PARCIAL]]&lt;0,0,Tabela1[[#This Row],[CARGA PARCIAL]])</f>
        <v>0</v>
      </c>
      <c r="Q481" s="91">
        <f>IF(Tabela1[[#This Row],[CARGA PARCIAL]]&lt;0,0,Tabela1[[#This Row],[CARGA PARCIAL]])+Tabela1[[#This Row],[REEMBOLSO]]</f>
        <v>0</v>
      </c>
      <c r="R481" s="66" t="s">
        <v>21</v>
      </c>
      <c r="S481" s="70"/>
    </row>
    <row r="482" spans="2:19" x14ac:dyDescent="0.25">
      <c r="B482" s="103" t="s">
        <v>733</v>
      </c>
      <c r="C482" s="102" t="s">
        <v>734</v>
      </c>
      <c r="D482" s="64" t="s">
        <v>17</v>
      </c>
      <c r="E482" s="64" t="s">
        <v>735</v>
      </c>
      <c r="F482" s="64">
        <v>11010300001</v>
      </c>
      <c r="G482" s="82" t="s">
        <v>244</v>
      </c>
      <c r="H482" s="64" t="s">
        <v>33</v>
      </c>
      <c r="I482" s="65">
        <v>0</v>
      </c>
      <c r="J482" s="65">
        <v>616.99999999999898</v>
      </c>
      <c r="K482" s="65">
        <v>1500</v>
      </c>
      <c r="L482" s="65">
        <v>302.87</v>
      </c>
      <c r="M482" s="66">
        <v>1500</v>
      </c>
      <c r="N482" s="88">
        <f>Tabela1[[#This Row],[1QZ DE DEZ 26]]-Tabela1[[#This Row],[SALDO FINAL]]-Tabela1[[#This Row],[SALDO CARTAO]]-Tabela1[[#This Row],[ADIANTAMENTO]]</f>
        <v>-919.86999999999898</v>
      </c>
      <c r="O482" s="67">
        <f>(-Tabela1[[#This Row],[SALDO REEMBOLSAR]]*$O$4)</f>
        <v>0</v>
      </c>
      <c r="P482" s="115">
        <f>IF(Tabela1[[#This Row],[CARGA PARCIAL]]&lt;0,0,Tabela1[[#This Row],[CARGA PARCIAL]])</f>
        <v>0</v>
      </c>
      <c r="Q482" s="91">
        <f>IF(Tabela1[[#This Row],[CARGA PARCIAL]]&lt;0,0,Tabela1[[#This Row],[CARGA PARCIAL]])+Tabela1[[#This Row],[REEMBOLSO]]</f>
        <v>0</v>
      </c>
      <c r="R482" s="66" t="s">
        <v>21</v>
      </c>
      <c r="S482" s="70"/>
    </row>
    <row r="483" spans="2:19" x14ac:dyDescent="0.25">
      <c r="B483" s="103" t="s">
        <v>1407</v>
      </c>
      <c r="C483" s="102" t="s">
        <v>1914</v>
      </c>
      <c r="D483" s="64" t="s">
        <v>17</v>
      </c>
      <c r="E483" s="64" t="s">
        <v>468</v>
      </c>
      <c r="F483" s="64">
        <v>1104150001</v>
      </c>
      <c r="G483" s="82" t="s">
        <v>240</v>
      </c>
      <c r="H483" s="64" t="s">
        <v>33</v>
      </c>
      <c r="I483" s="65">
        <v>0</v>
      </c>
      <c r="J483" s="65">
        <v>563.23</v>
      </c>
      <c r="K483" s="65">
        <v>0</v>
      </c>
      <c r="L483" s="65">
        <v>388.77</v>
      </c>
      <c r="M483" s="66">
        <v>0</v>
      </c>
      <c r="N483" s="88">
        <f>Tabela1[[#This Row],[1QZ DE DEZ 26]]-Tabela1[[#This Row],[SALDO FINAL]]-Tabela1[[#This Row],[SALDO CARTAO]]-Tabela1[[#This Row],[ADIANTAMENTO]]</f>
        <v>-952</v>
      </c>
      <c r="O483" s="67">
        <f>(-Tabela1[[#This Row],[SALDO REEMBOLSAR]]*$O$4)</f>
        <v>0</v>
      </c>
      <c r="P483" s="115">
        <f>IF(Tabela1[[#This Row],[CARGA PARCIAL]]&lt;0,0,Tabela1[[#This Row],[CARGA PARCIAL]])</f>
        <v>0</v>
      </c>
      <c r="Q483" s="91">
        <f>IF(Tabela1[[#This Row],[CARGA PARCIAL]]&lt;0,0,Tabela1[[#This Row],[CARGA PARCIAL]])+Tabela1[[#This Row],[REEMBOLSO]]</f>
        <v>0</v>
      </c>
      <c r="R483" s="66" t="s">
        <v>21</v>
      </c>
      <c r="S483" s="70"/>
    </row>
    <row r="484" spans="2:19" x14ac:dyDescent="0.25">
      <c r="B484" s="121" t="s">
        <v>345</v>
      </c>
      <c r="C484" s="106" t="s">
        <v>346</v>
      </c>
      <c r="D484" s="106" t="s">
        <v>17</v>
      </c>
      <c r="E484" s="106" t="s">
        <v>347</v>
      </c>
      <c r="F484" s="64">
        <v>11040040001</v>
      </c>
      <c r="G484" s="107" t="s">
        <v>1989</v>
      </c>
      <c r="H484" s="106" t="s">
        <v>20</v>
      </c>
      <c r="I484" s="65">
        <v>0</v>
      </c>
      <c r="J484" s="65">
        <v>37.710000000000946</v>
      </c>
      <c r="K484" s="65">
        <v>800</v>
      </c>
      <c r="L484" s="69">
        <v>1740</v>
      </c>
      <c r="M484" s="70">
        <v>0</v>
      </c>
      <c r="N484" s="111">
        <f>Tabela1[[#This Row],[1QZ DE DEZ 26]]-Tabela1[[#This Row],[SALDO FINAL]]-Tabela1[[#This Row],[SALDO CARTAO]]-Tabela1[[#This Row],[ADIANTAMENTO]]</f>
        <v>-977.71000000000095</v>
      </c>
      <c r="O484" s="67">
        <f>(-Tabela1[[#This Row],[SALDO REEMBOLSAR]]*$O$4)</f>
        <v>0</v>
      </c>
      <c r="P484" s="124">
        <f>IF(Tabela1[[#This Row],[CARGA PARCIAL]]&lt;0,0,Tabela1[[#This Row],[CARGA PARCIAL]])</f>
        <v>0</v>
      </c>
      <c r="Q484" s="92">
        <f>IF(Tabela1[[#This Row],[CARGA PARCIAL]]&lt;0,0,Tabela1[[#This Row],[CARGA PARCIAL]])+Tabela1[[#This Row],[REEMBOLSO]]</f>
        <v>0</v>
      </c>
      <c r="R484" s="66" t="s">
        <v>21</v>
      </c>
      <c r="S484" s="70"/>
    </row>
    <row r="485" spans="2:19" x14ac:dyDescent="0.25">
      <c r="B485" s="83" t="s">
        <v>257</v>
      </c>
      <c r="C485" s="64" t="s">
        <v>258</v>
      </c>
      <c r="D485" s="64" t="s">
        <v>17</v>
      </c>
      <c r="E485" s="64" t="s">
        <v>259</v>
      </c>
      <c r="F485" s="64">
        <v>11061890001</v>
      </c>
      <c r="G485" s="82" t="s">
        <v>244</v>
      </c>
      <c r="H485" s="64" t="s">
        <v>33</v>
      </c>
      <c r="I485" s="65">
        <v>0</v>
      </c>
      <c r="J485" s="65">
        <v>1555.7199999999975</v>
      </c>
      <c r="K485" s="65">
        <v>500</v>
      </c>
      <c r="L485" s="65">
        <v>5</v>
      </c>
      <c r="M485" s="66">
        <v>0</v>
      </c>
      <c r="N485" s="88">
        <f>Tabela1[[#This Row],[1QZ DE DEZ 26]]-Tabela1[[#This Row],[SALDO FINAL]]-Tabela1[[#This Row],[SALDO CARTAO]]-Tabela1[[#This Row],[ADIANTAMENTO]]</f>
        <v>-1060.7199999999975</v>
      </c>
      <c r="O485" s="67">
        <f>(-Tabela1[[#This Row],[SALDO REEMBOLSAR]]*$O$4)</f>
        <v>0</v>
      </c>
      <c r="P485" s="123">
        <f>IF(Tabela1[[#This Row],[CARGA PARCIAL]]&lt;0,0,Tabela1[[#This Row],[CARGA PARCIAL]])</f>
        <v>0</v>
      </c>
      <c r="Q485" s="91">
        <f>IF(Tabela1[[#This Row],[CARGA PARCIAL]]&lt;0,0,Tabela1[[#This Row],[CARGA PARCIAL]])+Tabela1[[#This Row],[REEMBOLSO]]</f>
        <v>0</v>
      </c>
      <c r="R485" s="66" t="s">
        <v>21</v>
      </c>
      <c r="S485" s="70"/>
    </row>
    <row r="486" spans="2:19" x14ac:dyDescent="0.25">
      <c r="B486" s="83" t="s">
        <v>1865</v>
      </c>
      <c r="C486" s="64" t="s">
        <v>1866</v>
      </c>
      <c r="D486" s="64" t="s">
        <v>17</v>
      </c>
      <c r="E486" s="64" t="s">
        <v>524</v>
      </c>
      <c r="F486" s="64">
        <v>11010180001</v>
      </c>
      <c r="G486" s="82" t="s">
        <v>244</v>
      </c>
      <c r="H486" s="64" t="s">
        <v>33</v>
      </c>
      <c r="I486" s="65">
        <v>0</v>
      </c>
      <c r="J486" s="65">
        <v>197.24</v>
      </c>
      <c r="K486" s="65">
        <v>0</v>
      </c>
      <c r="L486" s="65">
        <v>97.46</v>
      </c>
      <c r="M486" s="66">
        <v>800</v>
      </c>
      <c r="N486" s="88">
        <f>Tabela1[[#This Row],[1QZ DE DEZ 26]]-Tabela1[[#This Row],[SALDO FINAL]]-Tabela1[[#This Row],[SALDO CARTAO]]-Tabela1[[#This Row],[ADIANTAMENTO]]</f>
        <v>-1094.7</v>
      </c>
      <c r="O486" s="67">
        <f>(-Tabela1[[#This Row],[SALDO REEMBOLSAR]]*$O$4)</f>
        <v>0</v>
      </c>
      <c r="P486" s="123">
        <f>IF(Tabela1[[#This Row],[CARGA PARCIAL]]&lt;0,0,Tabela1[[#This Row],[CARGA PARCIAL]])</f>
        <v>0</v>
      </c>
      <c r="Q486" s="91">
        <f>IF(Tabela1[[#This Row],[CARGA PARCIAL]]&lt;0,0,Tabela1[[#This Row],[CARGA PARCIAL]])+Tabela1[[#This Row],[REEMBOLSO]]</f>
        <v>0</v>
      </c>
      <c r="R486" s="66" t="s">
        <v>21</v>
      </c>
      <c r="S486" s="70"/>
    </row>
    <row r="487" spans="2:19" x14ac:dyDescent="0.25">
      <c r="B487" s="121" t="s">
        <v>26</v>
      </c>
      <c r="C487" s="106" t="s">
        <v>27</v>
      </c>
      <c r="D487" s="106" t="s">
        <v>17</v>
      </c>
      <c r="E487" s="106" t="s">
        <v>28</v>
      </c>
      <c r="F487" s="64">
        <v>11010060001</v>
      </c>
      <c r="G487" s="107" t="s">
        <v>19</v>
      </c>
      <c r="H487" s="106" t="s">
        <v>20</v>
      </c>
      <c r="I487" s="65">
        <v>0</v>
      </c>
      <c r="J487" s="65">
        <v>908.62</v>
      </c>
      <c r="K487" s="65">
        <v>800</v>
      </c>
      <c r="L487" s="69">
        <v>303.39999999999998</v>
      </c>
      <c r="M487" s="70">
        <v>800</v>
      </c>
      <c r="N487" s="111">
        <f>Tabela1[[#This Row],[1QZ DE DEZ 26]]-Tabela1[[#This Row],[SALDO FINAL]]-Tabela1[[#This Row],[SALDO CARTAO]]-Tabela1[[#This Row],[ADIANTAMENTO]]</f>
        <v>-1212.02</v>
      </c>
      <c r="O487" s="67">
        <f>(-Tabela1[[#This Row],[SALDO REEMBOLSAR]]*$O$4)</f>
        <v>0</v>
      </c>
      <c r="P487" s="124">
        <f>IF(Tabela1[[#This Row],[CARGA PARCIAL]]&lt;0,0,Tabela1[[#This Row],[CARGA PARCIAL]])</f>
        <v>0</v>
      </c>
      <c r="Q487" s="92">
        <f>IF(Tabela1[[#This Row],[CARGA PARCIAL]]&lt;0,0,Tabela1[[#This Row],[CARGA PARCIAL]])+Tabela1[[#This Row],[REEMBOLSO]]</f>
        <v>0</v>
      </c>
      <c r="R487" s="66" t="s">
        <v>21</v>
      </c>
      <c r="S487" s="70"/>
    </row>
    <row r="488" spans="2:19" x14ac:dyDescent="0.25">
      <c r="B488" s="83" t="s">
        <v>1334</v>
      </c>
      <c r="C488" s="64" t="s">
        <v>1886</v>
      </c>
      <c r="D488" s="64" t="s">
        <v>17</v>
      </c>
      <c r="E488" s="64" t="s">
        <v>468</v>
      </c>
      <c r="F488" s="64">
        <v>1104150001</v>
      </c>
      <c r="G488" s="82" t="s">
        <v>240</v>
      </c>
      <c r="H488" s="64" t="s">
        <v>33</v>
      </c>
      <c r="I488" s="65">
        <v>0</v>
      </c>
      <c r="J488" s="65">
        <v>1030.8200000000008</v>
      </c>
      <c r="K488" s="65">
        <v>0</v>
      </c>
      <c r="L488" s="65">
        <v>184.01</v>
      </c>
      <c r="M488" s="66">
        <v>0</v>
      </c>
      <c r="N488" s="88">
        <f>Tabela1[[#This Row],[1QZ DE DEZ 26]]-Tabela1[[#This Row],[SALDO FINAL]]-Tabela1[[#This Row],[SALDO CARTAO]]-Tabela1[[#This Row],[ADIANTAMENTO]]</f>
        <v>-1214.8300000000008</v>
      </c>
      <c r="O488" s="67">
        <f>(-Tabela1[[#This Row],[SALDO REEMBOLSAR]]*$O$4)</f>
        <v>0</v>
      </c>
      <c r="P488" s="123">
        <f>IF(Tabela1[[#This Row],[CARGA PARCIAL]]&lt;0,0,Tabela1[[#This Row],[CARGA PARCIAL]])</f>
        <v>0</v>
      </c>
      <c r="Q488" s="91">
        <f>IF(Tabela1[[#This Row],[CARGA PARCIAL]]&lt;0,0,Tabela1[[#This Row],[CARGA PARCIAL]])+Tabela1[[#This Row],[REEMBOLSO]]</f>
        <v>0</v>
      </c>
      <c r="R488" s="66" t="s">
        <v>21</v>
      </c>
      <c r="S488" s="70"/>
    </row>
    <row r="489" spans="2:19" x14ac:dyDescent="0.25">
      <c r="B489" s="83" t="s">
        <v>348</v>
      </c>
      <c r="C489" s="64" t="s">
        <v>349</v>
      </c>
      <c r="D489" s="64" t="s">
        <v>17</v>
      </c>
      <c r="E489" s="64" t="s">
        <v>350</v>
      </c>
      <c r="F489" s="64">
        <v>11010410001</v>
      </c>
      <c r="G489" s="82" t="s">
        <v>244</v>
      </c>
      <c r="H489" s="64" t="s">
        <v>33</v>
      </c>
      <c r="I489" s="65">
        <v>0</v>
      </c>
      <c r="J489" s="65">
        <v>2220</v>
      </c>
      <c r="K489" s="65">
        <v>1000</v>
      </c>
      <c r="L489" s="65">
        <v>2.6</v>
      </c>
      <c r="M489" s="66">
        <v>0</v>
      </c>
      <c r="N489" s="88">
        <f>Tabela1[[#This Row],[1QZ DE DEZ 26]]-Tabela1[[#This Row],[SALDO FINAL]]-Tabela1[[#This Row],[SALDO CARTAO]]-Tabela1[[#This Row],[ADIANTAMENTO]]</f>
        <v>-1222.5999999999999</v>
      </c>
      <c r="O489" s="67">
        <f>(-Tabela1[[#This Row],[SALDO REEMBOLSAR]]*$O$4)</f>
        <v>0</v>
      </c>
      <c r="P489" s="123">
        <f>IF(Tabela1[[#This Row],[CARGA PARCIAL]]&lt;0,0,Tabela1[[#This Row],[CARGA PARCIAL]])</f>
        <v>0</v>
      </c>
      <c r="Q489" s="91">
        <f>IF(Tabela1[[#This Row],[CARGA PARCIAL]]&lt;0,0,Tabela1[[#This Row],[CARGA PARCIAL]])+Tabela1[[#This Row],[REEMBOLSO]]</f>
        <v>0</v>
      </c>
      <c r="R489" s="66" t="s">
        <v>21</v>
      </c>
      <c r="S489" s="70"/>
    </row>
    <row r="490" spans="2:19" x14ac:dyDescent="0.25">
      <c r="B490" s="83" t="s">
        <v>1742</v>
      </c>
      <c r="C490" s="64" t="s">
        <v>1791</v>
      </c>
      <c r="D490" s="64" t="s">
        <v>17</v>
      </c>
      <c r="E490" s="64" t="s">
        <v>239</v>
      </c>
      <c r="F490" s="64">
        <v>11040130001</v>
      </c>
      <c r="G490" s="82" t="s">
        <v>244</v>
      </c>
      <c r="H490" s="64" t="s">
        <v>33</v>
      </c>
      <c r="I490" s="65">
        <v>0</v>
      </c>
      <c r="J490" s="65">
        <v>1298.28</v>
      </c>
      <c r="K490" s="65">
        <v>0</v>
      </c>
      <c r="L490" s="65">
        <v>8</v>
      </c>
      <c r="M490" s="66">
        <v>0</v>
      </c>
      <c r="N490" s="88">
        <f>Tabela1[[#This Row],[1QZ DE DEZ 26]]-Tabela1[[#This Row],[SALDO FINAL]]-Tabela1[[#This Row],[SALDO CARTAO]]-Tabela1[[#This Row],[ADIANTAMENTO]]</f>
        <v>-1306.28</v>
      </c>
      <c r="O490" s="67">
        <f>(-Tabela1[[#This Row],[SALDO REEMBOLSAR]]*$O$4)</f>
        <v>0</v>
      </c>
      <c r="P490" s="123">
        <f>IF(Tabela1[[#This Row],[CARGA PARCIAL]]&lt;0,0,Tabela1[[#This Row],[CARGA PARCIAL]])</f>
        <v>0</v>
      </c>
      <c r="Q490" s="91">
        <f>IF(Tabela1[[#This Row],[CARGA PARCIAL]]&lt;0,0,Tabela1[[#This Row],[CARGA PARCIAL]])+Tabela1[[#This Row],[REEMBOLSO]]</f>
        <v>0</v>
      </c>
      <c r="R490" s="66" t="s">
        <v>21</v>
      </c>
      <c r="S490" s="70"/>
    </row>
    <row r="491" spans="2:19" x14ac:dyDescent="0.25">
      <c r="B491" s="83" t="s">
        <v>1284</v>
      </c>
      <c r="C491" s="64" t="s">
        <v>1872</v>
      </c>
      <c r="D491" s="64" t="s">
        <v>17</v>
      </c>
      <c r="E491" s="64" t="s">
        <v>468</v>
      </c>
      <c r="F491" s="64">
        <v>1104150001</v>
      </c>
      <c r="G491" s="82" t="s">
        <v>240</v>
      </c>
      <c r="H491" s="64" t="s">
        <v>33</v>
      </c>
      <c r="I491" s="65">
        <v>0</v>
      </c>
      <c r="J491" s="65">
        <v>1296.1799999999996</v>
      </c>
      <c r="K491" s="65">
        <v>0</v>
      </c>
      <c r="L491" s="65">
        <v>22.95</v>
      </c>
      <c r="M491" s="66">
        <v>0</v>
      </c>
      <c r="N491" s="88">
        <f>Tabela1[[#This Row],[1QZ DE DEZ 26]]-Tabela1[[#This Row],[SALDO FINAL]]-Tabela1[[#This Row],[SALDO CARTAO]]-Tabela1[[#This Row],[ADIANTAMENTO]]</f>
        <v>-1319.1299999999997</v>
      </c>
      <c r="O491" s="67">
        <f>(-Tabela1[[#This Row],[SALDO REEMBOLSAR]]*$O$4)</f>
        <v>0</v>
      </c>
      <c r="P491" s="123">
        <f>IF(Tabela1[[#This Row],[CARGA PARCIAL]]&lt;0,0,Tabela1[[#This Row],[CARGA PARCIAL]])</f>
        <v>0</v>
      </c>
      <c r="Q491" s="91">
        <f>IF(Tabela1[[#This Row],[CARGA PARCIAL]]&lt;0,0,Tabela1[[#This Row],[CARGA PARCIAL]])+Tabela1[[#This Row],[REEMBOLSO]]</f>
        <v>0</v>
      </c>
      <c r="R491" s="66" t="s">
        <v>21</v>
      </c>
      <c r="S491" s="70"/>
    </row>
    <row r="492" spans="2:19" x14ac:dyDescent="0.25">
      <c r="B492" s="83" t="s">
        <v>331</v>
      </c>
      <c r="C492" s="64" t="s">
        <v>332</v>
      </c>
      <c r="D492" s="64" t="s">
        <v>17</v>
      </c>
      <c r="E492" s="64" t="s">
        <v>333</v>
      </c>
      <c r="F492" s="64">
        <v>11061940001</v>
      </c>
      <c r="G492" s="82" t="s">
        <v>244</v>
      </c>
      <c r="H492" s="64" t="s">
        <v>33</v>
      </c>
      <c r="I492" s="65">
        <v>0</v>
      </c>
      <c r="J492" s="65">
        <v>5252.5</v>
      </c>
      <c r="K492" s="65">
        <v>3900</v>
      </c>
      <c r="L492" s="65">
        <v>0</v>
      </c>
      <c r="M492" s="66">
        <v>0</v>
      </c>
      <c r="N492" s="88">
        <f>Tabela1[[#This Row],[1QZ DE DEZ 26]]-Tabela1[[#This Row],[SALDO FINAL]]-Tabela1[[#This Row],[SALDO CARTAO]]-Tabela1[[#This Row],[ADIANTAMENTO]]</f>
        <v>-1352.5</v>
      </c>
      <c r="O492" s="67">
        <f>(-Tabela1[[#This Row],[SALDO REEMBOLSAR]]*$O$4)</f>
        <v>0</v>
      </c>
      <c r="P492" s="123">
        <f>IF(Tabela1[[#This Row],[CARGA PARCIAL]]&lt;0,0,Tabela1[[#This Row],[CARGA PARCIAL]])</f>
        <v>0</v>
      </c>
      <c r="Q492" s="91">
        <f>IF(Tabela1[[#This Row],[CARGA PARCIAL]]&lt;0,0,Tabela1[[#This Row],[CARGA PARCIAL]])+Tabela1[[#This Row],[REEMBOLSO]]</f>
        <v>0</v>
      </c>
      <c r="R492" s="66" t="s">
        <v>21</v>
      </c>
      <c r="S492" s="70"/>
    </row>
    <row r="493" spans="2:19" x14ac:dyDescent="0.25">
      <c r="B493" s="83" t="s">
        <v>208</v>
      </c>
      <c r="C493" s="64" t="s">
        <v>209</v>
      </c>
      <c r="D493" s="64" t="s">
        <v>17</v>
      </c>
      <c r="E493" s="64" t="s">
        <v>210</v>
      </c>
      <c r="F493" s="64">
        <v>11061480001</v>
      </c>
      <c r="G493" s="82" t="s">
        <v>19</v>
      </c>
      <c r="H493" s="64" t="s">
        <v>20</v>
      </c>
      <c r="I493" s="65">
        <v>0</v>
      </c>
      <c r="J493" s="65">
        <v>4975.3599999999788</v>
      </c>
      <c r="K493" s="65">
        <v>4000</v>
      </c>
      <c r="L493" s="65">
        <v>441</v>
      </c>
      <c r="M493" s="66">
        <v>0</v>
      </c>
      <c r="N493" s="88">
        <f>Tabela1[[#This Row],[1QZ DE DEZ 26]]-Tabela1[[#This Row],[SALDO FINAL]]-Tabela1[[#This Row],[SALDO CARTAO]]-Tabela1[[#This Row],[ADIANTAMENTO]]</f>
        <v>-1416.3599999999788</v>
      </c>
      <c r="O493" s="67">
        <f>(-Tabela1[[#This Row],[SALDO REEMBOLSAR]]*$O$4)</f>
        <v>0</v>
      </c>
      <c r="P493" s="123">
        <f>IF(Tabela1[[#This Row],[CARGA PARCIAL]]&lt;0,0,Tabela1[[#This Row],[CARGA PARCIAL]])</f>
        <v>0</v>
      </c>
      <c r="Q493" s="91">
        <f>IF(Tabela1[[#This Row],[CARGA PARCIAL]]&lt;0,0,Tabela1[[#This Row],[CARGA PARCIAL]])+Tabela1[[#This Row],[REEMBOLSO]]</f>
        <v>0</v>
      </c>
      <c r="R493" s="66" t="s">
        <v>21</v>
      </c>
      <c r="S493" s="70"/>
    </row>
    <row r="494" spans="2:19" x14ac:dyDescent="0.25">
      <c r="B494" s="103" t="s">
        <v>179</v>
      </c>
      <c r="C494" s="102" t="s">
        <v>180</v>
      </c>
      <c r="D494" s="64" t="s">
        <v>17</v>
      </c>
      <c r="E494" s="64" t="s">
        <v>181</v>
      </c>
      <c r="F494" s="64">
        <v>11062280001</v>
      </c>
      <c r="G494" s="82" t="s">
        <v>32</v>
      </c>
      <c r="H494" s="64" t="s">
        <v>33</v>
      </c>
      <c r="I494" s="65">
        <v>0</v>
      </c>
      <c r="J494" s="65">
        <v>2311.5800000000022</v>
      </c>
      <c r="K494" s="65">
        <v>1500</v>
      </c>
      <c r="L494" s="65">
        <v>633.44000000000005</v>
      </c>
      <c r="M494" s="66">
        <v>0</v>
      </c>
      <c r="N494" s="88">
        <f>Tabela1[[#This Row],[1QZ DE DEZ 26]]-Tabela1[[#This Row],[SALDO FINAL]]-Tabela1[[#This Row],[SALDO CARTAO]]-Tabela1[[#This Row],[ADIANTAMENTO]]</f>
        <v>-1445.0200000000023</v>
      </c>
      <c r="O494" s="67">
        <f>(-Tabela1[[#This Row],[SALDO REEMBOLSAR]]*$O$4)</f>
        <v>0</v>
      </c>
      <c r="P494" s="115">
        <f>IF(Tabela1[[#This Row],[CARGA PARCIAL]]&lt;0,0,Tabela1[[#This Row],[CARGA PARCIAL]])</f>
        <v>0</v>
      </c>
      <c r="Q494" s="91">
        <f>IF(Tabela1[[#This Row],[CARGA PARCIAL]]&lt;0,0,Tabela1[[#This Row],[CARGA PARCIAL]])+Tabela1[[#This Row],[REEMBOLSO]]</f>
        <v>0</v>
      </c>
      <c r="R494" s="66" t="s">
        <v>21</v>
      </c>
      <c r="S494" s="70"/>
    </row>
    <row r="495" spans="2:19" x14ac:dyDescent="0.25">
      <c r="B495" s="121" t="s">
        <v>1329</v>
      </c>
      <c r="C495" s="106" t="s">
        <v>1732</v>
      </c>
      <c r="D495" s="106" t="s">
        <v>17</v>
      </c>
      <c r="E495" s="106" t="s">
        <v>1825</v>
      </c>
      <c r="F495" s="64">
        <v>11020660001</v>
      </c>
      <c r="G495" s="107" t="s">
        <v>244</v>
      </c>
      <c r="H495" s="106" t="s">
        <v>33</v>
      </c>
      <c r="I495" s="65">
        <v>0</v>
      </c>
      <c r="J495" s="65">
        <v>1404.9799999999998</v>
      </c>
      <c r="K495" s="65">
        <v>0</v>
      </c>
      <c r="L495" s="69">
        <v>110.02</v>
      </c>
      <c r="M495" s="70">
        <v>0</v>
      </c>
      <c r="N495" s="111">
        <f>Tabela1[[#This Row],[1QZ DE DEZ 26]]-Tabela1[[#This Row],[SALDO FINAL]]-Tabela1[[#This Row],[SALDO CARTAO]]-Tabela1[[#This Row],[ADIANTAMENTO]]</f>
        <v>-1514.9999999999998</v>
      </c>
      <c r="O495" s="67">
        <f>(-Tabela1[[#This Row],[SALDO REEMBOLSAR]]*$O$4)</f>
        <v>0</v>
      </c>
      <c r="P495" s="124">
        <f>IF(Tabela1[[#This Row],[CARGA PARCIAL]]&lt;0,0,Tabela1[[#This Row],[CARGA PARCIAL]])</f>
        <v>0</v>
      </c>
      <c r="Q495" s="92">
        <f>IF(Tabela1[[#This Row],[CARGA PARCIAL]]&lt;0,0,Tabela1[[#This Row],[CARGA PARCIAL]])+Tabela1[[#This Row],[REEMBOLSO]]</f>
        <v>0</v>
      </c>
      <c r="R495" s="66" t="s">
        <v>21</v>
      </c>
      <c r="S495" s="70"/>
    </row>
    <row r="496" spans="2:19" x14ac:dyDescent="0.25">
      <c r="B496" s="83" t="s">
        <v>1010</v>
      </c>
      <c r="C496" s="64" t="s">
        <v>1788</v>
      </c>
      <c r="D496" s="64" t="s">
        <v>17</v>
      </c>
      <c r="E496" s="64" t="s">
        <v>468</v>
      </c>
      <c r="F496" s="64">
        <v>1104150001</v>
      </c>
      <c r="G496" s="82" t="s">
        <v>240</v>
      </c>
      <c r="H496" s="64" t="s">
        <v>33</v>
      </c>
      <c r="I496" s="65">
        <v>0</v>
      </c>
      <c r="J496" s="65">
        <v>1407.4900000000007</v>
      </c>
      <c r="K496" s="65">
        <v>0</v>
      </c>
      <c r="L496" s="65">
        <v>295.02</v>
      </c>
      <c r="M496" s="66">
        <v>0</v>
      </c>
      <c r="N496" s="88">
        <f>Tabela1[[#This Row],[1QZ DE DEZ 26]]-Tabela1[[#This Row],[SALDO FINAL]]-Tabela1[[#This Row],[SALDO CARTAO]]-Tabela1[[#This Row],[ADIANTAMENTO]]</f>
        <v>-1702.5100000000007</v>
      </c>
      <c r="O496" s="67">
        <f>(-Tabela1[[#This Row],[SALDO REEMBOLSAR]]*$O$4)</f>
        <v>0</v>
      </c>
      <c r="P496" s="123">
        <f>IF(Tabela1[[#This Row],[CARGA PARCIAL]]&lt;0,0,Tabela1[[#This Row],[CARGA PARCIAL]])</f>
        <v>0</v>
      </c>
      <c r="Q496" s="91">
        <f>IF(Tabela1[[#This Row],[CARGA PARCIAL]]&lt;0,0,Tabela1[[#This Row],[CARGA PARCIAL]])+Tabela1[[#This Row],[REEMBOLSO]]</f>
        <v>0</v>
      </c>
      <c r="R496" s="66" t="s">
        <v>21</v>
      </c>
      <c r="S496" s="70"/>
    </row>
    <row r="497" spans="2:19" x14ac:dyDescent="0.25">
      <c r="B497" s="83" t="s">
        <v>1273</v>
      </c>
      <c r="C497" s="64" t="s">
        <v>1867</v>
      </c>
      <c r="D497" s="64" t="s">
        <v>17</v>
      </c>
      <c r="E497" s="64" t="s">
        <v>73</v>
      </c>
      <c r="F497" s="64">
        <v>1201020</v>
      </c>
      <c r="G497" s="82" t="s">
        <v>74</v>
      </c>
      <c r="H497" s="64" t="s">
        <v>75</v>
      </c>
      <c r="I497" s="65">
        <v>0</v>
      </c>
      <c r="J497" s="65">
        <v>1805.3200000000002</v>
      </c>
      <c r="K497" s="65">
        <v>0</v>
      </c>
      <c r="L497" s="65">
        <v>0</v>
      </c>
      <c r="M497" s="66">
        <v>0</v>
      </c>
      <c r="N497" s="88">
        <f>Tabela1[[#This Row],[1QZ DE DEZ 26]]-Tabela1[[#This Row],[SALDO FINAL]]-Tabela1[[#This Row],[SALDO CARTAO]]-Tabela1[[#This Row],[ADIANTAMENTO]]</f>
        <v>-1805.3200000000002</v>
      </c>
      <c r="O497" s="67">
        <f>(-Tabela1[[#This Row],[SALDO REEMBOLSAR]]*$O$4)</f>
        <v>0</v>
      </c>
      <c r="P497" s="123">
        <f>IF(Tabela1[[#This Row],[CARGA PARCIAL]]&lt;0,0,Tabela1[[#This Row],[CARGA PARCIAL]])</f>
        <v>0</v>
      </c>
      <c r="Q497" s="91">
        <f>IF(Tabela1[[#This Row],[CARGA PARCIAL]]&lt;0,0,Tabela1[[#This Row],[CARGA PARCIAL]])+Tabela1[[#This Row],[REEMBOLSO]]</f>
        <v>0</v>
      </c>
      <c r="R497" s="66" t="s">
        <v>21</v>
      </c>
      <c r="S497" s="70"/>
    </row>
    <row r="498" spans="2:19" x14ac:dyDescent="0.25">
      <c r="B498" s="103" t="s">
        <v>769</v>
      </c>
      <c r="C498" s="102" t="s">
        <v>770</v>
      </c>
      <c r="D498" s="64" t="s">
        <v>17</v>
      </c>
      <c r="E498" s="64" t="s">
        <v>18</v>
      </c>
      <c r="F498" s="64">
        <v>11040170001</v>
      </c>
      <c r="G498" s="82" t="s">
        <v>19</v>
      </c>
      <c r="H498" s="64" t="s">
        <v>20</v>
      </c>
      <c r="I498" s="65">
        <v>0</v>
      </c>
      <c r="J498" s="65">
        <v>3758.57</v>
      </c>
      <c r="K498" s="65">
        <v>1800</v>
      </c>
      <c r="L498" s="65">
        <v>20.85</v>
      </c>
      <c r="M498" s="66">
        <v>0</v>
      </c>
      <c r="N498" s="88">
        <f>Tabela1[[#This Row],[1QZ DE DEZ 26]]-Tabela1[[#This Row],[SALDO FINAL]]-Tabela1[[#This Row],[SALDO CARTAO]]-Tabela1[[#This Row],[ADIANTAMENTO]]</f>
        <v>-1979.42</v>
      </c>
      <c r="O498" s="67">
        <f>(-Tabela1[[#This Row],[SALDO REEMBOLSAR]]*$O$4)</f>
        <v>0</v>
      </c>
      <c r="P498" s="115">
        <f>IF(Tabela1[[#This Row],[CARGA PARCIAL]]&lt;0,0,Tabela1[[#This Row],[CARGA PARCIAL]])</f>
        <v>0</v>
      </c>
      <c r="Q498" s="91">
        <f>IF(Tabela1[[#This Row],[CARGA PARCIAL]]&lt;0,0,Tabela1[[#This Row],[CARGA PARCIAL]])+Tabela1[[#This Row],[REEMBOLSO]]</f>
        <v>0</v>
      </c>
      <c r="R498" s="66" t="s">
        <v>21</v>
      </c>
      <c r="S498" s="70"/>
    </row>
    <row r="499" spans="2:19" x14ac:dyDescent="0.25">
      <c r="B499" s="83" t="s">
        <v>453</v>
      </c>
      <c r="C499" s="64" t="s">
        <v>454</v>
      </c>
      <c r="D499" s="64" t="s">
        <v>17</v>
      </c>
      <c r="E499" s="64" t="s">
        <v>455</v>
      </c>
      <c r="F499" s="64">
        <v>11050090001</v>
      </c>
      <c r="G499" s="82" t="s">
        <v>284</v>
      </c>
      <c r="H499" s="64" t="s">
        <v>20</v>
      </c>
      <c r="I499" s="65">
        <v>0</v>
      </c>
      <c r="J499" s="65">
        <v>3988.08</v>
      </c>
      <c r="K499" s="65">
        <v>2000</v>
      </c>
      <c r="L499" s="65">
        <v>11.92</v>
      </c>
      <c r="M499" s="66">
        <v>0</v>
      </c>
      <c r="N499" s="88">
        <f>Tabela1[[#This Row],[1QZ DE DEZ 26]]-Tabela1[[#This Row],[SALDO FINAL]]-Tabela1[[#This Row],[SALDO CARTAO]]-Tabela1[[#This Row],[ADIANTAMENTO]]</f>
        <v>-2000</v>
      </c>
      <c r="O499" s="67">
        <f>(-Tabela1[[#This Row],[SALDO REEMBOLSAR]]*$O$4)</f>
        <v>0</v>
      </c>
      <c r="P499" s="123">
        <f>IF(Tabela1[[#This Row],[CARGA PARCIAL]]&lt;0,0,Tabela1[[#This Row],[CARGA PARCIAL]])</f>
        <v>0</v>
      </c>
      <c r="Q499" s="91">
        <f>IF(Tabela1[[#This Row],[CARGA PARCIAL]]&lt;0,0,Tabela1[[#This Row],[CARGA PARCIAL]])+Tabela1[[#This Row],[REEMBOLSO]]</f>
        <v>0</v>
      </c>
      <c r="R499" s="66" t="s">
        <v>21</v>
      </c>
      <c r="S499" s="70"/>
    </row>
    <row r="500" spans="2:19" x14ac:dyDescent="0.25">
      <c r="B500" s="103" t="s">
        <v>1558</v>
      </c>
      <c r="C500" s="102" t="s">
        <v>1963</v>
      </c>
      <c r="D500" s="64" t="s">
        <v>17</v>
      </c>
      <c r="E500" s="64" t="s">
        <v>468</v>
      </c>
      <c r="F500" s="64">
        <v>1104150001</v>
      </c>
      <c r="G500" s="82" t="s">
        <v>240</v>
      </c>
      <c r="H500" s="64" t="s">
        <v>33</v>
      </c>
      <c r="I500" s="65">
        <v>0</v>
      </c>
      <c r="J500" s="65">
        <v>2100</v>
      </c>
      <c r="K500" s="65">
        <v>0</v>
      </c>
      <c r="L500" s="65">
        <v>0</v>
      </c>
      <c r="M500" s="66">
        <v>0</v>
      </c>
      <c r="N500" s="88">
        <f>Tabela1[[#This Row],[1QZ DE DEZ 26]]-Tabela1[[#This Row],[SALDO FINAL]]-Tabela1[[#This Row],[SALDO CARTAO]]-Tabela1[[#This Row],[ADIANTAMENTO]]</f>
        <v>-2100</v>
      </c>
      <c r="O500" s="67">
        <f>(-Tabela1[[#This Row],[SALDO REEMBOLSAR]]*$O$4)</f>
        <v>0</v>
      </c>
      <c r="P500" s="115">
        <f>IF(Tabela1[[#This Row],[CARGA PARCIAL]]&lt;0,0,Tabela1[[#This Row],[CARGA PARCIAL]])</f>
        <v>0</v>
      </c>
      <c r="Q500" s="91">
        <f>IF(Tabela1[[#This Row],[CARGA PARCIAL]]&lt;0,0,Tabela1[[#This Row],[CARGA PARCIAL]])+Tabela1[[#This Row],[REEMBOLSO]]</f>
        <v>0</v>
      </c>
      <c r="R500" s="66" t="s">
        <v>21</v>
      </c>
      <c r="S500" s="70"/>
    </row>
    <row r="501" spans="2:19" x14ac:dyDescent="0.25">
      <c r="B501" s="121" t="s">
        <v>1007</v>
      </c>
      <c r="C501" s="106" t="s">
        <v>1694</v>
      </c>
      <c r="D501" s="106" t="s">
        <v>17</v>
      </c>
      <c r="E501" s="106" t="s">
        <v>1789</v>
      </c>
      <c r="F501" s="64">
        <v>11020650001</v>
      </c>
      <c r="G501" s="107" t="s">
        <v>236</v>
      </c>
      <c r="H501" s="106" t="s">
        <v>33</v>
      </c>
      <c r="I501" s="65">
        <v>0</v>
      </c>
      <c r="J501" s="65">
        <v>2204.3699999999994</v>
      </c>
      <c r="K501" s="65">
        <v>0</v>
      </c>
      <c r="L501" s="69">
        <v>77.03</v>
      </c>
      <c r="M501" s="70">
        <v>0</v>
      </c>
      <c r="N501" s="111">
        <f>Tabela1[[#This Row],[1QZ DE DEZ 26]]-Tabela1[[#This Row],[SALDO FINAL]]-Tabela1[[#This Row],[SALDO CARTAO]]-Tabela1[[#This Row],[ADIANTAMENTO]]</f>
        <v>-2281.3999999999996</v>
      </c>
      <c r="O501" s="67">
        <f>(-Tabela1[[#This Row],[SALDO REEMBOLSAR]]*$O$4)</f>
        <v>0</v>
      </c>
      <c r="P501" s="124">
        <f>IF(Tabela1[[#This Row],[CARGA PARCIAL]]&lt;0,0,Tabela1[[#This Row],[CARGA PARCIAL]])</f>
        <v>0</v>
      </c>
      <c r="Q501" s="92">
        <f>IF(Tabela1[[#This Row],[CARGA PARCIAL]]&lt;0,0,Tabela1[[#This Row],[CARGA PARCIAL]])+Tabela1[[#This Row],[REEMBOLSO]]</f>
        <v>0</v>
      </c>
      <c r="R501" s="66" t="s">
        <v>21</v>
      </c>
      <c r="S501" s="70"/>
    </row>
    <row r="502" spans="2:19" x14ac:dyDescent="0.25">
      <c r="B502" s="104" t="s">
        <v>184</v>
      </c>
      <c r="C502" s="105" t="s">
        <v>185</v>
      </c>
      <c r="D502" s="106" t="s">
        <v>17</v>
      </c>
      <c r="E502" s="106" t="s">
        <v>186</v>
      </c>
      <c r="F502" s="64">
        <v>1201017</v>
      </c>
      <c r="G502" s="107" t="s">
        <v>25</v>
      </c>
      <c r="H502" s="106" t="s">
        <v>20</v>
      </c>
      <c r="I502" s="65">
        <v>0</v>
      </c>
      <c r="J502" s="65">
        <v>2790.3199999999979</v>
      </c>
      <c r="K502" s="65">
        <v>1500</v>
      </c>
      <c r="L502" s="69">
        <v>13.67</v>
      </c>
      <c r="M502" s="70">
        <v>0</v>
      </c>
      <c r="N502" s="111">
        <f>Tabela1[[#This Row],[1QZ DE DEZ 26]]-Tabela1[[#This Row],[SALDO FINAL]]-Tabela1[[#This Row],[SALDO CARTAO]]-Tabela1[[#This Row],[ADIANTAMENTO]]</f>
        <v>-1303.989999999998</v>
      </c>
      <c r="O502" s="67">
        <f>(-Tabela1[[#This Row],[SALDO REEMBOLSAR]]*$O$4)</f>
        <v>0</v>
      </c>
      <c r="P502" s="116">
        <f>IF(Tabela1[[#This Row],[CARGA PARCIAL]]&lt;0,0,Tabela1[[#This Row],[CARGA PARCIAL]])</f>
        <v>0</v>
      </c>
      <c r="Q502" s="92">
        <f>IF(Tabela1[[#This Row],[CARGA PARCIAL]]&lt;0,0,Tabela1[[#This Row],[CARGA PARCIAL]])+Tabela1[[#This Row],[REEMBOLSO]]</f>
        <v>0</v>
      </c>
      <c r="R502" s="66" t="s">
        <v>21</v>
      </c>
      <c r="S502" s="70" t="s">
        <v>76</v>
      </c>
    </row>
    <row r="503" spans="2:19" x14ac:dyDescent="0.25">
      <c r="B503" s="101" t="s">
        <v>1351</v>
      </c>
      <c r="C503" s="102" t="s">
        <v>1685</v>
      </c>
      <c r="D503" s="64" t="s">
        <v>17</v>
      </c>
      <c r="E503" s="64" t="s">
        <v>1890</v>
      </c>
      <c r="F503" s="64">
        <v>11020550001</v>
      </c>
      <c r="G503" s="82" t="s">
        <v>1989</v>
      </c>
      <c r="H503" s="64" t="s">
        <v>20</v>
      </c>
      <c r="I503" s="65">
        <v>0</v>
      </c>
      <c r="J503" s="65">
        <v>2469.88</v>
      </c>
      <c r="K503" s="65">
        <v>0</v>
      </c>
      <c r="L503" s="65">
        <v>161.75</v>
      </c>
      <c r="M503" s="66">
        <v>0</v>
      </c>
      <c r="N503" s="88">
        <f>Tabela1[[#This Row],[1QZ DE DEZ 26]]-Tabela1[[#This Row],[SALDO FINAL]]-Tabela1[[#This Row],[SALDO CARTAO]]-Tabela1[[#This Row],[ADIANTAMENTO]]</f>
        <v>-2631.63</v>
      </c>
      <c r="O503" s="67">
        <f>(-Tabela1[[#This Row],[SALDO REEMBOLSAR]]*$O$4)</f>
        <v>0</v>
      </c>
      <c r="P503" s="115">
        <f>IF(Tabela1[[#This Row],[CARGA PARCIAL]]&lt;0,0,Tabela1[[#This Row],[CARGA PARCIAL]])</f>
        <v>0</v>
      </c>
      <c r="Q503" s="91">
        <f>IF(Tabela1[[#This Row],[CARGA PARCIAL]]&lt;0,0,Tabela1[[#This Row],[CARGA PARCIAL]])+Tabela1[[#This Row],[REEMBOLSO]]</f>
        <v>0</v>
      </c>
      <c r="R503" s="66" t="s">
        <v>21</v>
      </c>
      <c r="S503" s="70"/>
    </row>
    <row r="504" spans="2:19" x14ac:dyDescent="0.25">
      <c r="B504" s="83" t="s">
        <v>1179</v>
      </c>
      <c r="C504" s="64" t="s">
        <v>1842</v>
      </c>
      <c r="D504" s="64" t="s">
        <v>17</v>
      </c>
      <c r="E504" s="64" t="s">
        <v>81</v>
      </c>
      <c r="F504" s="64">
        <v>11062670001</v>
      </c>
      <c r="G504" s="82" t="s">
        <v>32</v>
      </c>
      <c r="H504" s="64" t="s">
        <v>33</v>
      </c>
      <c r="I504" s="65">
        <v>0</v>
      </c>
      <c r="J504" s="65">
        <v>2670.1799999999994</v>
      </c>
      <c r="K504" s="65">
        <v>0</v>
      </c>
      <c r="L504" s="65">
        <v>8.6</v>
      </c>
      <c r="M504" s="66">
        <v>0</v>
      </c>
      <c r="N504" s="88">
        <f>Tabela1[[#This Row],[1QZ DE DEZ 26]]-Tabela1[[#This Row],[SALDO FINAL]]-Tabela1[[#This Row],[SALDO CARTAO]]-Tabela1[[#This Row],[ADIANTAMENTO]]</f>
        <v>-2678.7799999999993</v>
      </c>
      <c r="O504" s="67">
        <f>(-Tabela1[[#This Row],[SALDO REEMBOLSAR]]*$O$4)</f>
        <v>0</v>
      </c>
      <c r="P504" s="123">
        <f>IF(Tabela1[[#This Row],[CARGA PARCIAL]]&lt;0,0,Tabela1[[#This Row],[CARGA PARCIAL]])</f>
        <v>0</v>
      </c>
      <c r="Q504" s="91">
        <f>IF(Tabela1[[#This Row],[CARGA PARCIAL]]&lt;0,0,Tabela1[[#This Row],[CARGA PARCIAL]])+Tabela1[[#This Row],[REEMBOLSO]]</f>
        <v>0</v>
      </c>
      <c r="R504" s="66" t="s">
        <v>21</v>
      </c>
      <c r="S504" s="70"/>
    </row>
    <row r="505" spans="2:19" x14ac:dyDescent="0.25">
      <c r="B505" s="103" t="s">
        <v>1540</v>
      </c>
      <c r="C505" s="102" t="s">
        <v>1667</v>
      </c>
      <c r="D505" s="64" t="s">
        <v>17</v>
      </c>
      <c r="E505" s="64" t="s">
        <v>347</v>
      </c>
      <c r="F505" s="64">
        <v>11040040001</v>
      </c>
      <c r="G505" s="82" t="s">
        <v>1989</v>
      </c>
      <c r="H505" s="64" t="s">
        <v>20</v>
      </c>
      <c r="I505" s="65">
        <v>0</v>
      </c>
      <c r="J505" s="65">
        <v>2034.0500000000125</v>
      </c>
      <c r="K505" s="65">
        <v>0</v>
      </c>
      <c r="L505" s="65">
        <v>0.35</v>
      </c>
      <c r="M505" s="66">
        <v>1000</v>
      </c>
      <c r="N505" s="88">
        <f>Tabela1[[#This Row],[1QZ DE DEZ 26]]-Tabela1[[#This Row],[SALDO FINAL]]-Tabela1[[#This Row],[SALDO CARTAO]]-Tabela1[[#This Row],[ADIANTAMENTO]]</f>
        <v>-3034.4000000000124</v>
      </c>
      <c r="O505" s="67">
        <f>(-Tabela1[[#This Row],[SALDO REEMBOLSAR]]*$O$4)</f>
        <v>0</v>
      </c>
      <c r="P505" s="115">
        <f>IF(Tabela1[[#This Row],[CARGA PARCIAL]]&lt;0,0,Tabela1[[#This Row],[CARGA PARCIAL]])</f>
        <v>0</v>
      </c>
      <c r="Q505" s="91">
        <f>IF(Tabela1[[#This Row],[CARGA PARCIAL]]&lt;0,0,Tabela1[[#This Row],[CARGA PARCIAL]])+Tabela1[[#This Row],[REEMBOLSO]]</f>
        <v>0</v>
      </c>
      <c r="R505" s="66" t="s">
        <v>21</v>
      </c>
      <c r="S505" s="70"/>
    </row>
    <row r="506" spans="2:19" x14ac:dyDescent="0.25">
      <c r="B506" s="103" t="s">
        <v>780</v>
      </c>
      <c r="C506" s="102" t="s">
        <v>781</v>
      </c>
      <c r="D506" s="64" t="s">
        <v>17</v>
      </c>
      <c r="E506" s="64" t="s">
        <v>54</v>
      </c>
      <c r="F506" s="64">
        <v>11080220001</v>
      </c>
      <c r="G506" s="82" t="s">
        <v>55</v>
      </c>
      <c r="H506" s="64" t="s">
        <v>56</v>
      </c>
      <c r="I506" s="65">
        <v>0</v>
      </c>
      <c r="J506" s="65">
        <v>1786.0099999999993</v>
      </c>
      <c r="K506" s="65">
        <v>1150</v>
      </c>
      <c r="L506" s="65">
        <v>2584.62</v>
      </c>
      <c r="M506" s="66">
        <v>0</v>
      </c>
      <c r="N506" s="88">
        <f>Tabela1[[#This Row],[1QZ DE DEZ 26]]-Tabela1[[#This Row],[SALDO FINAL]]-Tabela1[[#This Row],[SALDO CARTAO]]-Tabela1[[#This Row],[ADIANTAMENTO]]</f>
        <v>-3220.6299999999992</v>
      </c>
      <c r="O506" s="67">
        <f>(-Tabela1[[#This Row],[SALDO REEMBOLSAR]]*$O$4)</f>
        <v>0</v>
      </c>
      <c r="P506" s="115">
        <f>IF(Tabela1[[#This Row],[CARGA PARCIAL]]&lt;0,0,Tabela1[[#This Row],[CARGA PARCIAL]])</f>
        <v>0</v>
      </c>
      <c r="Q506" s="91">
        <f>IF(Tabela1[[#This Row],[CARGA PARCIAL]]&lt;0,0,Tabela1[[#This Row],[CARGA PARCIAL]])+Tabela1[[#This Row],[REEMBOLSO]]</f>
        <v>0</v>
      </c>
      <c r="R506" s="66" t="s">
        <v>21</v>
      </c>
      <c r="S506" s="70"/>
    </row>
    <row r="507" spans="2:19" x14ac:dyDescent="0.25">
      <c r="B507" s="83" t="s">
        <v>297</v>
      </c>
      <c r="C507" s="64" t="s">
        <v>298</v>
      </c>
      <c r="D507" s="64" t="s">
        <v>17</v>
      </c>
      <c r="E507" s="64" t="s">
        <v>299</v>
      </c>
      <c r="F507" s="64">
        <v>11062050001</v>
      </c>
      <c r="G507" s="82" t="s">
        <v>240</v>
      </c>
      <c r="H507" s="64" t="s">
        <v>33</v>
      </c>
      <c r="I507" s="65">
        <v>0</v>
      </c>
      <c r="J507" s="65">
        <v>3958.16</v>
      </c>
      <c r="K507" s="65">
        <v>1200</v>
      </c>
      <c r="L507" s="65">
        <v>692.51</v>
      </c>
      <c r="M507" s="66">
        <v>0</v>
      </c>
      <c r="N507" s="88">
        <f>Tabela1[[#This Row],[1QZ DE DEZ 26]]-Tabela1[[#This Row],[SALDO FINAL]]-Tabela1[[#This Row],[SALDO CARTAO]]-Tabela1[[#This Row],[ADIANTAMENTO]]</f>
        <v>-3450.67</v>
      </c>
      <c r="O507" s="67">
        <f>(-Tabela1[[#This Row],[SALDO REEMBOLSAR]]*$O$4)</f>
        <v>0</v>
      </c>
      <c r="P507" s="123">
        <f>IF(Tabela1[[#This Row],[CARGA PARCIAL]]&lt;0,0,Tabela1[[#This Row],[CARGA PARCIAL]])</f>
        <v>0</v>
      </c>
      <c r="Q507" s="91">
        <f>IF(Tabela1[[#This Row],[CARGA PARCIAL]]&lt;0,0,Tabela1[[#This Row],[CARGA PARCIAL]])+Tabela1[[#This Row],[REEMBOLSO]]</f>
        <v>0</v>
      </c>
      <c r="R507" s="66" t="s">
        <v>21</v>
      </c>
      <c r="S507" s="70"/>
    </row>
    <row r="508" spans="2:19" x14ac:dyDescent="0.25">
      <c r="B508" s="103" t="s">
        <v>724</v>
      </c>
      <c r="C508" s="102" t="s">
        <v>725</v>
      </c>
      <c r="D508" s="64" t="s">
        <v>17</v>
      </c>
      <c r="E508" s="64" t="s">
        <v>227</v>
      </c>
      <c r="F508" s="64">
        <v>11030260001</v>
      </c>
      <c r="G508" s="82" t="s">
        <v>19</v>
      </c>
      <c r="H508" s="64" t="s">
        <v>20</v>
      </c>
      <c r="I508" s="65">
        <v>0</v>
      </c>
      <c r="J508" s="65">
        <v>2510.5300000000007</v>
      </c>
      <c r="K508" s="65">
        <v>700</v>
      </c>
      <c r="L508" s="65">
        <v>2013</v>
      </c>
      <c r="M508" s="66">
        <v>0</v>
      </c>
      <c r="N508" s="88">
        <f>Tabela1[[#This Row],[1QZ DE DEZ 26]]-Tabela1[[#This Row],[SALDO FINAL]]-Tabela1[[#This Row],[SALDO CARTAO]]-Tabela1[[#This Row],[ADIANTAMENTO]]</f>
        <v>-3823.5300000000007</v>
      </c>
      <c r="O508" s="67">
        <f>(-Tabela1[[#This Row],[SALDO REEMBOLSAR]]*$O$4)</f>
        <v>0</v>
      </c>
      <c r="P508" s="115">
        <f>IF(Tabela1[[#This Row],[CARGA PARCIAL]]&lt;0,0,Tabela1[[#This Row],[CARGA PARCIAL]])</f>
        <v>0</v>
      </c>
      <c r="Q508" s="91">
        <f>IF(Tabela1[[#This Row],[CARGA PARCIAL]]&lt;0,0,Tabela1[[#This Row],[CARGA PARCIAL]])+Tabela1[[#This Row],[REEMBOLSO]]</f>
        <v>0</v>
      </c>
      <c r="R508" s="66" t="s">
        <v>21</v>
      </c>
      <c r="S508" s="70"/>
    </row>
    <row r="509" spans="2:19" x14ac:dyDescent="0.25">
      <c r="B509" s="83" t="s">
        <v>1743</v>
      </c>
      <c r="C509" s="64" t="s">
        <v>1794</v>
      </c>
      <c r="D509" s="64" t="s">
        <v>17</v>
      </c>
      <c r="E509" s="64" t="s">
        <v>1797</v>
      </c>
      <c r="F509" s="64">
        <v>11061600001</v>
      </c>
      <c r="G509" s="82" t="s">
        <v>244</v>
      </c>
      <c r="H509" s="64" t="s">
        <v>33</v>
      </c>
      <c r="I509" s="65">
        <v>0</v>
      </c>
      <c r="J509" s="65">
        <v>3916.62</v>
      </c>
      <c r="K509" s="65">
        <v>0</v>
      </c>
      <c r="L509" s="65">
        <v>26.6</v>
      </c>
      <c r="M509" s="66">
        <v>0</v>
      </c>
      <c r="N509" s="88">
        <f>Tabela1[[#This Row],[1QZ DE DEZ 26]]-Tabela1[[#This Row],[SALDO FINAL]]-Tabela1[[#This Row],[SALDO CARTAO]]-Tabela1[[#This Row],[ADIANTAMENTO]]</f>
        <v>-3943.22</v>
      </c>
      <c r="O509" s="67">
        <f>(-Tabela1[[#This Row],[SALDO REEMBOLSAR]]*$O$4)</f>
        <v>0</v>
      </c>
      <c r="P509" s="123">
        <f>IF(Tabela1[[#This Row],[CARGA PARCIAL]]&lt;0,0,Tabela1[[#This Row],[CARGA PARCIAL]])</f>
        <v>0</v>
      </c>
      <c r="Q509" s="91">
        <f>IF(Tabela1[[#This Row],[CARGA PARCIAL]]&lt;0,0,Tabela1[[#This Row],[CARGA PARCIAL]])+Tabela1[[#This Row],[REEMBOLSO]]</f>
        <v>0</v>
      </c>
      <c r="R509" s="66" t="s">
        <v>21</v>
      </c>
      <c r="S509" s="70"/>
    </row>
    <row r="510" spans="2:19" x14ac:dyDescent="0.25">
      <c r="B510" s="83" t="s">
        <v>815</v>
      </c>
      <c r="C510" s="64" t="s">
        <v>816</v>
      </c>
      <c r="D510" s="64" t="s">
        <v>17</v>
      </c>
      <c r="E510" s="64" t="s">
        <v>817</v>
      </c>
      <c r="F510" s="64">
        <v>11030890001</v>
      </c>
      <c r="G510" s="82" t="s">
        <v>19</v>
      </c>
      <c r="H510" s="64" t="s">
        <v>20</v>
      </c>
      <c r="I510" s="65">
        <v>0</v>
      </c>
      <c r="J510" s="65">
        <v>3964.0299999999911</v>
      </c>
      <c r="K510" s="65">
        <v>6000</v>
      </c>
      <c r="L510" s="65">
        <v>771.98</v>
      </c>
      <c r="M510" s="66">
        <v>6000</v>
      </c>
      <c r="N510" s="88">
        <f>Tabela1[[#This Row],[1QZ DE DEZ 26]]-Tabela1[[#This Row],[SALDO FINAL]]-Tabela1[[#This Row],[SALDO CARTAO]]-Tabela1[[#This Row],[ADIANTAMENTO]]</f>
        <v>-4736.0099999999911</v>
      </c>
      <c r="O510" s="67">
        <f>(-Tabela1[[#This Row],[SALDO REEMBOLSAR]]*$O$4)</f>
        <v>0</v>
      </c>
      <c r="P510" s="123">
        <f>IF(Tabela1[[#This Row],[CARGA PARCIAL]]&lt;0,0,Tabela1[[#This Row],[CARGA PARCIAL]])</f>
        <v>0</v>
      </c>
      <c r="Q510" s="91">
        <f>IF(Tabela1[[#This Row],[CARGA PARCIAL]]&lt;0,0,Tabela1[[#This Row],[CARGA PARCIAL]])+Tabela1[[#This Row],[REEMBOLSO]]</f>
        <v>0</v>
      </c>
      <c r="R510" s="66" t="s">
        <v>21</v>
      </c>
      <c r="S510" s="70"/>
    </row>
    <row r="511" spans="2:19" x14ac:dyDescent="0.25">
      <c r="B511" s="83" t="s">
        <v>134</v>
      </c>
      <c r="C511" s="64" t="s">
        <v>135</v>
      </c>
      <c r="D511" s="64" t="s">
        <v>17</v>
      </c>
      <c r="E511" s="64" t="s">
        <v>93</v>
      </c>
      <c r="F511" s="64">
        <v>1201008</v>
      </c>
      <c r="G511" s="82" t="s">
        <v>32</v>
      </c>
      <c r="H511" s="64" t="s">
        <v>33</v>
      </c>
      <c r="I511" s="65">
        <v>0</v>
      </c>
      <c r="J511" s="65">
        <v>5082.8200000000006</v>
      </c>
      <c r="K511" s="65">
        <v>500</v>
      </c>
      <c r="L511" s="65">
        <v>161.26</v>
      </c>
      <c r="M511" s="66">
        <v>0</v>
      </c>
      <c r="N511" s="88">
        <f>Tabela1[[#This Row],[1QZ DE DEZ 26]]-Tabela1[[#This Row],[SALDO FINAL]]-Tabela1[[#This Row],[SALDO CARTAO]]-Tabela1[[#This Row],[ADIANTAMENTO]]</f>
        <v>-4744.0800000000008</v>
      </c>
      <c r="O511" s="67">
        <f>(-Tabela1[[#This Row],[SALDO REEMBOLSAR]]*$O$4)</f>
        <v>0</v>
      </c>
      <c r="P511" s="123">
        <f>IF(Tabela1[[#This Row],[CARGA PARCIAL]]&lt;0,0,Tabela1[[#This Row],[CARGA PARCIAL]])</f>
        <v>0</v>
      </c>
      <c r="Q511" s="91">
        <f>IF(Tabela1[[#This Row],[CARGA PARCIAL]]&lt;0,0,Tabela1[[#This Row],[CARGA PARCIAL]])+Tabela1[[#This Row],[REEMBOLSO]]</f>
        <v>0</v>
      </c>
      <c r="R511" s="66" t="s">
        <v>21</v>
      </c>
      <c r="S511" s="70"/>
    </row>
    <row r="512" spans="2:19" x14ac:dyDescent="0.25">
      <c r="B512" s="83" t="s">
        <v>1853</v>
      </c>
      <c r="C512" s="64" t="s">
        <v>1854</v>
      </c>
      <c r="D512" s="64" t="s">
        <v>17</v>
      </c>
      <c r="E512" s="64" t="s">
        <v>524</v>
      </c>
      <c r="F512" s="64">
        <v>11010180001</v>
      </c>
      <c r="G512" s="82" t="s">
        <v>244</v>
      </c>
      <c r="H512" s="64" t="s">
        <v>33</v>
      </c>
      <c r="I512" s="65">
        <v>0</v>
      </c>
      <c r="J512" s="65">
        <v>2425.56</v>
      </c>
      <c r="K512" s="65">
        <v>0</v>
      </c>
      <c r="L512" s="65">
        <v>74.48</v>
      </c>
      <c r="M512" s="66">
        <v>2500</v>
      </c>
      <c r="N512" s="88">
        <f>Tabela1[[#This Row],[1QZ DE DEZ 26]]-Tabela1[[#This Row],[SALDO FINAL]]-Tabela1[[#This Row],[SALDO CARTAO]]-Tabela1[[#This Row],[ADIANTAMENTO]]</f>
        <v>-5000.04</v>
      </c>
      <c r="O512" s="67">
        <f>(-Tabela1[[#This Row],[SALDO REEMBOLSAR]]*$O$4)</f>
        <v>0</v>
      </c>
      <c r="P512" s="123">
        <f>IF(Tabela1[[#This Row],[CARGA PARCIAL]]&lt;0,0,Tabela1[[#This Row],[CARGA PARCIAL]])</f>
        <v>0</v>
      </c>
      <c r="Q512" s="91">
        <f>IF(Tabela1[[#This Row],[CARGA PARCIAL]]&lt;0,0,Tabela1[[#This Row],[CARGA PARCIAL]])+Tabela1[[#This Row],[REEMBOLSO]]</f>
        <v>0</v>
      </c>
      <c r="R512" s="66" t="s">
        <v>21</v>
      </c>
      <c r="S512" s="70"/>
    </row>
    <row r="513" spans="2:19" x14ac:dyDescent="0.25">
      <c r="B513" s="121" t="s">
        <v>946</v>
      </c>
      <c r="C513" s="106" t="s">
        <v>1777</v>
      </c>
      <c r="D513" s="106" t="s">
        <v>17</v>
      </c>
      <c r="E513" s="106" t="s">
        <v>1780</v>
      </c>
      <c r="F513" s="64">
        <v>1001002</v>
      </c>
      <c r="G513" s="107" t="s">
        <v>1990</v>
      </c>
      <c r="H513" s="106" t="s">
        <v>1991</v>
      </c>
      <c r="I513" s="65">
        <v>0</v>
      </c>
      <c r="J513" s="65">
        <v>20253.23</v>
      </c>
      <c r="K513" s="65">
        <v>0</v>
      </c>
      <c r="L513" s="69">
        <v>0</v>
      </c>
      <c r="M513" s="70">
        <v>0</v>
      </c>
      <c r="N513" s="111">
        <f>Tabela1[[#This Row],[1QZ DE DEZ 26]]-Tabela1[[#This Row],[SALDO FINAL]]-Tabela1[[#This Row],[SALDO CARTAO]]-Tabela1[[#This Row],[ADIANTAMENTO]]</f>
        <v>-20253.23</v>
      </c>
      <c r="O513" s="67">
        <f>(-Tabela1[[#This Row],[SALDO REEMBOLSAR]]*$O$4)</f>
        <v>0</v>
      </c>
      <c r="P513" s="124">
        <f>IF(Tabela1[[#This Row],[CARGA PARCIAL]]&lt;0,0,Tabela1[[#This Row],[CARGA PARCIAL]])</f>
        <v>0</v>
      </c>
      <c r="Q513" s="92">
        <f>IF(Tabela1[[#This Row],[CARGA PARCIAL]]&lt;0,0,Tabela1[[#This Row],[CARGA PARCIAL]])+Tabela1[[#This Row],[REEMBOLSO]]</f>
        <v>0</v>
      </c>
      <c r="R513" s="66" t="s">
        <v>21</v>
      </c>
      <c r="S513" s="70"/>
    </row>
  </sheetData>
  <mergeCells count="1">
    <mergeCell ref="R4:S4"/>
  </mergeCells>
  <phoneticPr fontId="18" type="noConversion"/>
  <conditionalFormatting sqref="B6">
    <cfRule type="duplicateValues" dxfId="16" priority="294"/>
  </conditionalFormatting>
  <conditionalFormatting sqref="B334:B1048576 B1:B6">
    <cfRule type="duplicateValues" dxfId="15" priority="296"/>
  </conditionalFormatting>
  <conditionalFormatting sqref="B1:C6">
    <cfRule type="duplicateValues" dxfId="14" priority="295"/>
  </conditionalFormatting>
  <conditionalFormatting sqref="I7:I210">
    <cfRule type="containsText" dxfId="13" priority="1" operator="containsText" text="PROCESSADO">
      <formula>NOT(ISERROR(SEARCH("PROCESSADO",I7)))</formula>
    </cfRule>
    <cfRule type="containsText" dxfId="12" priority="2" operator="containsText" text="BLOQUEADO">
      <formula>NOT(ISERROR(SEARCH("BLOQUEADO",I7)))</formula>
    </cfRule>
  </conditionalFormatting>
  <conditionalFormatting sqref="J211:J513">
    <cfRule type="containsText" dxfId="11" priority="31" operator="containsText" text="PROCESSADO">
      <formula>NOT(ISERROR(SEARCH("PROCESSADO",J211)))</formula>
    </cfRule>
    <cfRule type="containsText" dxfId="10" priority="32" operator="containsText" text="BLOQUEADO">
      <formula>NOT(ISERROR(SEARCH("BLOQUEADO",J211)))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8B48-7122-46DE-B882-253D75EF9E65}">
  <dimension ref="B1:I339"/>
  <sheetViews>
    <sheetView workbookViewId="0">
      <selection activeCell="B1" sqref="B1:I339"/>
    </sheetView>
  </sheetViews>
  <sheetFormatPr defaultRowHeight="15.75" x14ac:dyDescent="0.25"/>
  <sheetData>
    <row r="1" spans="2:9" ht="16.5" thickBot="1" x14ac:dyDescent="0.3">
      <c r="B1" s="125" t="s">
        <v>2002</v>
      </c>
      <c r="C1" s="126" t="s">
        <v>1</v>
      </c>
      <c r="D1" s="127" t="s">
        <v>2003</v>
      </c>
      <c r="E1" s="127" t="s">
        <v>2004</v>
      </c>
      <c r="F1" s="127" t="s">
        <v>2005</v>
      </c>
      <c r="G1" s="127" t="s">
        <v>2006</v>
      </c>
      <c r="H1" s="127" t="s">
        <v>2007</v>
      </c>
      <c r="I1" s="128" t="s">
        <v>2008</v>
      </c>
    </row>
    <row r="2" spans="2:9" ht="16.5" thickTop="1" x14ac:dyDescent="0.25">
      <c r="B2" s="129" t="s">
        <v>1359</v>
      </c>
      <c r="C2" s="130" t="s">
        <v>1893</v>
      </c>
      <c r="D2" s="131">
        <v>500</v>
      </c>
      <c r="E2" s="132" t="s">
        <v>2009</v>
      </c>
      <c r="F2" s="133">
        <v>46002</v>
      </c>
      <c r="G2" s="132" t="s">
        <v>2010</v>
      </c>
      <c r="H2" s="134" t="s">
        <v>2011</v>
      </c>
      <c r="I2" s="135"/>
    </row>
    <row r="3" spans="2:9" x14ac:dyDescent="0.25">
      <c r="B3" s="136" t="s">
        <v>596</v>
      </c>
      <c r="C3" s="137" t="s">
        <v>597</v>
      </c>
      <c r="D3" s="138">
        <v>1000</v>
      </c>
      <c r="E3" s="139" t="s">
        <v>2009</v>
      </c>
      <c r="F3" s="139">
        <v>46002</v>
      </c>
      <c r="G3" s="140" t="s">
        <v>2010</v>
      </c>
      <c r="H3" s="140" t="s">
        <v>2012</v>
      </c>
      <c r="I3" s="141"/>
    </row>
    <row r="4" spans="2:9" x14ac:dyDescent="0.25">
      <c r="B4" s="129" t="s">
        <v>1947</v>
      </c>
      <c r="C4" s="142" t="s">
        <v>1948</v>
      </c>
      <c r="D4" s="131">
        <v>500</v>
      </c>
      <c r="E4" s="132" t="s">
        <v>2009</v>
      </c>
      <c r="F4" s="133">
        <v>46002</v>
      </c>
      <c r="G4" s="134" t="s">
        <v>2010</v>
      </c>
      <c r="H4" s="134" t="s">
        <v>2011</v>
      </c>
      <c r="I4" s="135"/>
    </row>
    <row r="5" spans="2:9" x14ac:dyDescent="0.25">
      <c r="B5" s="136" t="s">
        <v>1765</v>
      </c>
      <c r="C5" s="143" t="s">
        <v>1766</v>
      </c>
      <c r="D5" s="138">
        <v>500</v>
      </c>
      <c r="E5" s="144" t="s">
        <v>2009</v>
      </c>
      <c r="F5" s="139">
        <v>46002</v>
      </c>
      <c r="G5" s="140" t="s">
        <v>2010</v>
      </c>
      <c r="H5" s="140" t="s">
        <v>2011</v>
      </c>
      <c r="I5" s="141"/>
    </row>
    <row r="6" spans="2:9" x14ac:dyDescent="0.25">
      <c r="B6" s="129" t="s">
        <v>1937</v>
      </c>
      <c r="C6" s="142" t="s">
        <v>1938</v>
      </c>
      <c r="D6" s="131">
        <v>2500</v>
      </c>
      <c r="E6" s="133" t="s">
        <v>2009</v>
      </c>
      <c r="F6" s="133">
        <v>46002</v>
      </c>
      <c r="G6" s="134" t="s">
        <v>2010</v>
      </c>
      <c r="H6" s="134" t="s">
        <v>2013</v>
      </c>
      <c r="I6" s="135"/>
    </row>
    <row r="7" spans="2:9" x14ac:dyDescent="0.25">
      <c r="B7" s="136" t="s">
        <v>250</v>
      </c>
      <c r="C7" s="137" t="s">
        <v>251</v>
      </c>
      <c r="D7" s="138">
        <v>9840</v>
      </c>
      <c r="E7" s="139" t="s">
        <v>2009</v>
      </c>
      <c r="F7" s="139">
        <v>46002</v>
      </c>
      <c r="G7" s="140" t="s">
        <v>2010</v>
      </c>
      <c r="H7" s="140" t="s">
        <v>2014</v>
      </c>
      <c r="I7" s="141"/>
    </row>
    <row r="8" spans="2:9" x14ac:dyDescent="0.25">
      <c r="B8" s="129" t="s">
        <v>202</v>
      </c>
      <c r="C8" s="142" t="s">
        <v>203</v>
      </c>
      <c r="D8" s="131">
        <v>700</v>
      </c>
      <c r="E8" s="133" t="s">
        <v>2009</v>
      </c>
      <c r="F8" s="133">
        <v>46002</v>
      </c>
      <c r="G8" s="134" t="s">
        <v>2010</v>
      </c>
      <c r="H8" s="134" t="s">
        <v>2015</v>
      </c>
      <c r="I8" s="135"/>
    </row>
    <row r="9" spans="2:9" x14ac:dyDescent="0.25">
      <c r="B9" s="136" t="s">
        <v>231</v>
      </c>
      <c r="C9" s="137" t="s">
        <v>232</v>
      </c>
      <c r="D9" s="138">
        <v>500</v>
      </c>
      <c r="E9" s="139" t="s">
        <v>2009</v>
      </c>
      <c r="F9" s="139">
        <v>46002</v>
      </c>
      <c r="G9" s="140" t="s">
        <v>2010</v>
      </c>
      <c r="H9" s="140" t="s">
        <v>2016</v>
      </c>
      <c r="I9" s="141"/>
    </row>
    <row r="10" spans="2:9" x14ac:dyDescent="0.25">
      <c r="B10" s="129" t="s">
        <v>247</v>
      </c>
      <c r="C10" s="142" t="s">
        <v>248</v>
      </c>
      <c r="D10" s="131">
        <v>750</v>
      </c>
      <c r="E10" s="133" t="s">
        <v>2009</v>
      </c>
      <c r="F10" s="133">
        <v>46002</v>
      </c>
      <c r="G10" s="134" t="s">
        <v>2010</v>
      </c>
      <c r="H10" s="134" t="s">
        <v>2012</v>
      </c>
      <c r="I10" s="135"/>
    </row>
    <row r="11" spans="2:9" x14ac:dyDescent="0.25">
      <c r="B11" s="136" t="s">
        <v>233</v>
      </c>
      <c r="C11" s="137" t="s">
        <v>234</v>
      </c>
      <c r="D11" s="138">
        <v>800</v>
      </c>
      <c r="E11" s="139" t="s">
        <v>2009</v>
      </c>
      <c r="F11" s="139">
        <v>46002</v>
      </c>
      <c r="G11" s="140" t="s">
        <v>2010</v>
      </c>
      <c r="H11" s="140" t="s">
        <v>2011</v>
      </c>
      <c r="I11" s="141"/>
    </row>
    <row r="12" spans="2:9" x14ac:dyDescent="0.25">
      <c r="B12" s="129" t="s">
        <v>237</v>
      </c>
      <c r="C12" s="142" t="s">
        <v>238</v>
      </c>
      <c r="D12" s="131">
        <v>160</v>
      </c>
      <c r="E12" s="133" t="s">
        <v>2009</v>
      </c>
      <c r="F12" s="133">
        <v>46002</v>
      </c>
      <c r="G12" s="134" t="s">
        <v>2010</v>
      </c>
      <c r="H12" s="134" t="s">
        <v>2017</v>
      </c>
      <c r="I12" s="135"/>
    </row>
    <row r="13" spans="2:9" x14ac:dyDescent="0.25">
      <c r="B13" s="136" t="s">
        <v>241</v>
      </c>
      <c r="C13" s="137" t="s">
        <v>242</v>
      </c>
      <c r="D13" s="138">
        <v>1680</v>
      </c>
      <c r="E13" s="139" t="s">
        <v>2009</v>
      </c>
      <c r="F13" s="139">
        <v>46002</v>
      </c>
      <c r="G13" s="140" t="s">
        <v>2010</v>
      </c>
      <c r="H13" s="140" t="s">
        <v>2012</v>
      </c>
      <c r="I13" s="141"/>
    </row>
    <row r="14" spans="2:9" x14ac:dyDescent="0.25">
      <c r="B14" s="129" t="s">
        <v>245</v>
      </c>
      <c r="C14" s="142" t="s">
        <v>246</v>
      </c>
      <c r="D14" s="131">
        <v>400</v>
      </c>
      <c r="E14" s="133" t="s">
        <v>2009</v>
      </c>
      <c r="F14" s="133">
        <v>46002</v>
      </c>
      <c r="G14" s="134" t="s">
        <v>2010</v>
      </c>
      <c r="H14" s="134" t="s">
        <v>2016</v>
      </c>
      <c r="I14" s="135"/>
    </row>
    <row r="15" spans="2:9" x14ac:dyDescent="0.25">
      <c r="B15" s="136" t="s">
        <v>15</v>
      </c>
      <c r="C15" s="137" t="s">
        <v>16</v>
      </c>
      <c r="D15" s="138">
        <v>1600</v>
      </c>
      <c r="E15" s="139" t="s">
        <v>2009</v>
      </c>
      <c r="F15" s="139">
        <v>46002</v>
      </c>
      <c r="G15" s="140" t="s">
        <v>2010</v>
      </c>
      <c r="H15" s="140" t="s">
        <v>2015</v>
      </c>
      <c r="I15" s="141"/>
    </row>
    <row r="16" spans="2:9" x14ac:dyDescent="0.25">
      <c r="B16" s="129" t="s">
        <v>22</v>
      </c>
      <c r="C16" s="142" t="s">
        <v>23</v>
      </c>
      <c r="D16" s="131">
        <v>750</v>
      </c>
      <c r="E16" s="133" t="s">
        <v>2009</v>
      </c>
      <c r="F16" s="133">
        <v>46002</v>
      </c>
      <c r="G16" s="134" t="s">
        <v>2010</v>
      </c>
      <c r="H16" s="134" t="s">
        <v>2016</v>
      </c>
      <c r="I16" s="135"/>
    </row>
    <row r="17" spans="2:9" x14ac:dyDescent="0.25">
      <c r="B17" s="136" t="s">
        <v>254</v>
      </c>
      <c r="C17" s="137" t="s">
        <v>255</v>
      </c>
      <c r="D17" s="138">
        <v>350</v>
      </c>
      <c r="E17" s="139" t="s">
        <v>2009</v>
      </c>
      <c r="F17" s="139">
        <v>46002</v>
      </c>
      <c r="G17" s="140" t="s">
        <v>2010</v>
      </c>
      <c r="H17" s="140" t="s">
        <v>2012</v>
      </c>
      <c r="I17" s="141"/>
    </row>
    <row r="18" spans="2:9" x14ac:dyDescent="0.25">
      <c r="B18" s="129" t="s">
        <v>26</v>
      </c>
      <c r="C18" s="142" t="s">
        <v>27</v>
      </c>
      <c r="D18" s="131">
        <v>800</v>
      </c>
      <c r="E18" s="133" t="s">
        <v>2009</v>
      </c>
      <c r="F18" s="133">
        <v>46002</v>
      </c>
      <c r="G18" s="134" t="s">
        <v>2010</v>
      </c>
      <c r="H18" s="134" t="s">
        <v>2015</v>
      </c>
      <c r="I18" s="135"/>
    </row>
    <row r="19" spans="2:9" x14ac:dyDescent="0.25">
      <c r="B19" s="136" t="s">
        <v>29</v>
      </c>
      <c r="C19" s="137" t="s">
        <v>30</v>
      </c>
      <c r="D19" s="138">
        <v>3000</v>
      </c>
      <c r="E19" s="139" t="s">
        <v>2009</v>
      </c>
      <c r="F19" s="139">
        <v>46002</v>
      </c>
      <c r="G19" s="140" t="s">
        <v>2010</v>
      </c>
      <c r="H19" s="140" t="s">
        <v>2013</v>
      </c>
      <c r="I19" s="141"/>
    </row>
    <row r="20" spans="2:9" x14ac:dyDescent="0.25">
      <c r="B20" s="129" t="s">
        <v>257</v>
      </c>
      <c r="C20" s="142" t="s">
        <v>258</v>
      </c>
      <c r="D20" s="131">
        <v>500</v>
      </c>
      <c r="E20" s="133" t="s">
        <v>2009</v>
      </c>
      <c r="F20" s="133">
        <v>46002</v>
      </c>
      <c r="G20" s="134" t="s">
        <v>2010</v>
      </c>
      <c r="H20" s="134" t="s">
        <v>2012</v>
      </c>
      <c r="I20" s="135"/>
    </row>
    <row r="21" spans="2:9" x14ac:dyDescent="0.25">
      <c r="B21" s="136" t="s">
        <v>260</v>
      </c>
      <c r="C21" s="137" t="s">
        <v>261</v>
      </c>
      <c r="D21" s="138">
        <v>200</v>
      </c>
      <c r="E21" s="139" t="s">
        <v>2009</v>
      </c>
      <c r="F21" s="139">
        <v>46002</v>
      </c>
      <c r="G21" s="140" t="s">
        <v>2010</v>
      </c>
      <c r="H21" s="140" t="s">
        <v>2011</v>
      </c>
      <c r="I21" s="141"/>
    </row>
    <row r="22" spans="2:9" x14ac:dyDescent="0.25">
      <c r="B22" s="129" t="s">
        <v>263</v>
      </c>
      <c r="C22" s="142" t="s">
        <v>264</v>
      </c>
      <c r="D22" s="131">
        <v>500</v>
      </c>
      <c r="E22" s="133" t="s">
        <v>2009</v>
      </c>
      <c r="F22" s="133">
        <v>46002</v>
      </c>
      <c r="G22" s="134" t="s">
        <v>2010</v>
      </c>
      <c r="H22" s="134" t="s">
        <v>2011</v>
      </c>
      <c r="I22" s="135"/>
    </row>
    <row r="23" spans="2:9" x14ac:dyDescent="0.25">
      <c r="B23" s="136" t="s">
        <v>266</v>
      </c>
      <c r="C23" s="137" t="s">
        <v>267</v>
      </c>
      <c r="D23" s="138">
        <v>80</v>
      </c>
      <c r="E23" s="139" t="s">
        <v>2009</v>
      </c>
      <c r="F23" s="139">
        <v>46002</v>
      </c>
      <c r="G23" s="140" t="s">
        <v>2010</v>
      </c>
      <c r="H23" s="140" t="s">
        <v>2017</v>
      </c>
      <c r="I23" s="141"/>
    </row>
    <row r="24" spans="2:9" x14ac:dyDescent="0.25">
      <c r="B24" s="129" t="s">
        <v>268</v>
      </c>
      <c r="C24" s="142" t="s">
        <v>269</v>
      </c>
      <c r="D24" s="131">
        <v>50</v>
      </c>
      <c r="E24" s="133" t="s">
        <v>2009</v>
      </c>
      <c r="F24" s="133">
        <v>46002</v>
      </c>
      <c r="G24" s="134" t="s">
        <v>2010</v>
      </c>
      <c r="H24" s="134" t="s">
        <v>2017</v>
      </c>
      <c r="I24" s="135"/>
    </row>
    <row r="25" spans="2:9" x14ac:dyDescent="0.25">
      <c r="B25" s="136" t="s">
        <v>593</v>
      </c>
      <c r="C25" s="137" t="s">
        <v>594</v>
      </c>
      <c r="D25" s="138">
        <v>500</v>
      </c>
      <c r="E25" s="139" t="s">
        <v>2009</v>
      </c>
      <c r="F25" s="139">
        <v>46002</v>
      </c>
      <c r="G25" s="140" t="s">
        <v>2010</v>
      </c>
      <c r="H25" s="140" t="s">
        <v>2018</v>
      </c>
      <c r="I25" s="141"/>
    </row>
    <row r="26" spans="2:9" x14ac:dyDescent="0.25">
      <c r="B26" s="129" t="s">
        <v>273</v>
      </c>
      <c r="C26" s="142" t="s">
        <v>274</v>
      </c>
      <c r="D26" s="131">
        <v>400</v>
      </c>
      <c r="E26" s="133" t="s">
        <v>2009</v>
      </c>
      <c r="F26" s="133">
        <v>46002</v>
      </c>
      <c r="G26" s="134" t="s">
        <v>2010</v>
      </c>
      <c r="H26" s="134" t="s">
        <v>2012</v>
      </c>
      <c r="I26" s="135"/>
    </row>
    <row r="27" spans="2:9" x14ac:dyDescent="0.25">
      <c r="B27" s="136" t="s">
        <v>276</v>
      </c>
      <c r="C27" s="137" t="s">
        <v>1768</v>
      </c>
      <c r="D27" s="138">
        <v>160</v>
      </c>
      <c r="E27" s="139" t="s">
        <v>2009</v>
      </c>
      <c r="F27" s="139">
        <v>46002</v>
      </c>
      <c r="G27" s="140" t="s">
        <v>2010</v>
      </c>
      <c r="H27" s="140" t="s">
        <v>2012</v>
      </c>
      <c r="I27" s="141"/>
    </row>
    <row r="28" spans="2:9" x14ac:dyDescent="0.25">
      <c r="B28" s="129" t="s">
        <v>34</v>
      </c>
      <c r="C28" s="142" t="s">
        <v>35</v>
      </c>
      <c r="D28" s="131">
        <v>500</v>
      </c>
      <c r="E28" s="133" t="s">
        <v>2009</v>
      </c>
      <c r="F28" s="133">
        <v>46002</v>
      </c>
      <c r="G28" s="134" t="s">
        <v>2010</v>
      </c>
      <c r="H28" s="134" t="s">
        <v>2016</v>
      </c>
      <c r="I28" s="135"/>
    </row>
    <row r="29" spans="2:9" x14ac:dyDescent="0.25">
      <c r="B29" s="136" t="s">
        <v>279</v>
      </c>
      <c r="C29" s="137" t="s">
        <v>280</v>
      </c>
      <c r="D29" s="138">
        <v>11100</v>
      </c>
      <c r="E29" s="139" t="s">
        <v>2009</v>
      </c>
      <c r="F29" s="139">
        <v>46002</v>
      </c>
      <c r="G29" s="140" t="s">
        <v>2010</v>
      </c>
      <c r="H29" s="140" t="s">
        <v>2014</v>
      </c>
      <c r="I29" s="141"/>
    </row>
    <row r="30" spans="2:9" x14ac:dyDescent="0.25">
      <c r="B30" s="129" t="s">
        <v>486</v>
      </c>
      <c r="C30" s="142" t="s">
        <v>487</v>
      </c>
      <c r="D30" s="131">
        <v>200</v>
      </c>
      <c r="E30" s="133" t="s">
        <v>2009</v>
      </c>
      <c r="F30" s="133">
        <v>46002</v>
      </c>
      <c r="G30" s="134" t="s">
        <v>2010</v>
      </c>
      <c r="H30" s="134" t="s">
        <v>2011</v>
      </c>
      <c r="I30" s="135"/>
    </row>
    <row r="31" spans="2:9" x14ac:dyDescent="0.25">
      <c r="B31" s="136" t="s">
        <v>421</v>
      </c>
      <c r="C31" s="137" t="s">
        <v>422</v>
      </c>
      <c r="D31" s="138">
        <v>100</v>
      </c>
      <c r="E31" s="139" t="s">
        <v>2009</v>
      </c>
      <c r="F31" s="139">
        <v>46002</v>
      </c>
      <c r="G31" s="140" t="s">
        <v>2010</v>
      </c>
      <c r="H31" s="140" t="s">
        <v>2017</v>
      </c>
      <c r="I31" s="141"/>
    </row>
    <row r="32" spans="2:9" x14ac:dyDescent="0.25">
      <c r="B32" s="129" t="s">
        <v>287</v>
      </c>
      <c r="C32" s="142" t="s">
        <v>2019</v>
      </c>
      <c r="D32" s="131">
        <v>100</v>
      </c>
      <c r="E32" s="133" t="s">
        <v>2009</v>
      </c>
      <c r="F32" s="133">
        <v>46002</v>
      </c>
      <c r="G32" s="134" t="s">
        <v>2010</v>
      </c>
      <c r="H32" s="134" t="s">
        <v>2017</v>
      </c>
      <c r="I32" s="135"/>
    </row>
    <row r="33" spans="2:9" x14ac:dyDescent="0.25">
      <c r="B33" s="136" t="s">
        <v>288</v>
      </c>
      <c r="C33" s="137" t="s">
        <v>289</v>
      </c>
      <c r="D33" s="138">
        <v>500</v>
      </c>
      <c r="E33" s="139" t="s">
        <v>2009</v>
      </c>
      <c r="F33" s="139">
        <v>46002</v>
      </c>
      <c r="G33" s="140" t="s">
        <v>2010</v>
      </c>
      <c r="H33" s="140" t="s">
        <v>2012</v>
      </c>
      <c r="I33" s="141"/>
    </row>
    <row r="34" spans="2:9" x14ac:dyDescent="0.25">
      <c r="B34" s="129" t="s">
        <v>291</v>
      </c>
      <c r="C34" s="142" t="s">
        <v>292</v>
      </c>
      <c r="D34" s="131">
        <v>1500</v>
      </c>
      <c r="E34" s="133" t="s">
        <v>2009</v>
      </c>
      <c r="F34" s="133">
        <v>46002</v>
      </c>
      <c r="G34" s="134" t="s">
        <v>2010</v>
      </c>
      <c r="H34" s="134" t="s">
        <v>2018</v>
      </c>
      <c r="I34" s="135"/>
    </row>
    <row r="35" spans="2:9" x14ac:dyDescent="0.25">
      <c r="B35" s="136" t="s">
        <v>294</v>
      </c>
      <c r="C35" s="137" t="s">
        <v>295</v>
      </c>
      <c r="D35" s="138">
        <v>2800</v>
      </c>
      <c r="E35" s="139" t="s">
        <v>2009</v>
      </c>
      <c r="F35" s="139">
        <v>46002</v>
      </c>
      <c r="G35" s="140" t="s">
        <v>2010</v>
      </c>
      <c r="H35" s="140" t="s">
        <v>2011</v>
      </c>
      <c r="I35" s="141"/>
    </row>
    <row r="36" spans="2:9" x14ac:dyDescent="0.25">
      <c r="B36" s="129" t="s">
        <v>297</v>
      </c>
      <c r="C36" s="142" t="s">
        <v>298</v>
      </c>
      <c r="D36" s="131">
        <v>1200</v>
      </c>
      <c r="E36" s="133" t="s">
        <v>2009</v>
      </c>
      <c r="F36" s="133">
        <v>46002</v>
      </c>
      <c r="G36" s="134" t="s">
        <v>2010</v>
      </c>
      <c r="H36" s="134" t="s">
        <v>2017</v>
      </c>
      <c r="I36" s="135"/>
    </row>
    <row r="37" spans="2:9" x14ac:dyDescent="0.25">
      <c r="B37" s="136" t="s">
        <v>300</v>
      </c>
      <c r="C37" s="137" t="s">
        <v>301</v>
      </c>
      <c r="D37" s="138">
        <v>400</v>
      </c>
      <c r="E37" s="139" t="s">
        <v>2009</v>
      </c>
      <c r="F37" s="139">
        <v>46002</v>
      </c>
      <c r="G37" s="140" t="s">
        <v>2010</v>
      </c>
      <c r="H37" s="140" t="s">
        <v>2016</v>
      </c>
      <c r="I37" s="141"/>
    </row>
    <row r="38" spans="2:9" x14ac:dyDescent="0.25">
      <c r="B38" s="129" t="s">
        <v>37</v>
      </c>
      <c r="C38" s="142" t="s">
        <v>38</v>
      </c>
      <c r="D38" s="131">
        <v>300</v>
      </c>
      <c r="E38" s="133" t="s">
        <v>2009</v>
      </c>
      <c r="F38" s="133">
        <v>46002</v>
      </c>
      <c r="G38" s="134" t="s">
        <v>2010</v>
      </c>
      <c r="H38" s="134" t="s">
        <v>2016</v>
      </c>
      <c r="I38" s="135"/>
    </row>
    <row r="39" spans="2:9" x14ac:dyDescent="0.25">
      <c r="B39" s="136" t="s">
        <v>305</v>
      </c>
      <c r="C39" s="137" t="s">
        <v>306</v>
      </c>
      <c r="D39" s="138">
        <v>5000</v>
      </c>
      <c r="E39" s="139" t="s">
        <v>2009</v>
      </c>
      <c r="F39" s="139">
        <v>46002</v>
      </c>
      <c r="G39" s="140" t="s">
        <v>2010</v>
      </c>
      <c r="H39" s="140" t="s">
        <v>2018</v>
      </c>
      <c r="I39" s="141"/>
    </row>
    <row r="40" spans="2:9" x14ac:dyDescent="0.25">
      <c r="B40" s="129" t="s">
        <v>40</v>
      </c>
      <c r="C40" s="142" t="s">
        <v>41</v>
      </c>
      <c r="D40" s="131">
        <v>1000</v>
      </c>
      <c r="E40" s="133" t="s">
        <v>2009</v>
      </c>
      <c r="F40" s="133">
        <v>46002</v>
      </c>
      <c r="G40" s="134" t="s">
        <v>2010</v>
      </c>
      <c r="H40" s="134" t="s">
        <v>2015</v>
      </c>
      <c r="I40" s="135"/>
    </row>
    <row r="41" spans="2:9" x14ac:dyDescent="0.25">
      <c r="B41" s="136" t="s">
        <v>684</v>
      </c>
      <c r="C41" s="137" t="s">
        <v>685</v>
      </c>
      <c r="D41" s="138">
        <v>800</v>
      </c>
      <c r="E41" s="139" t="s">
        <v>2009</v>
      </c>
      <c r="F41" s="139">
        <v>46002</v>
      </c>
      <c r="G41" s="140" t="s">
        <v>2010</v>
      </c>
      <c r="H41" s="140" t="s">
        <v>2012</v>
      </c>
      <c r="I41" s="141"/>
    </row>
    <row r="42" spans="2:9" x14ac:dyDescent="0.25">
      <c r="B42" s="129" t="s">
        <v>310</v>
      </c>
      <c r="C42" s="142" t="s">
        <v>311</v>
      </c>
      <c r="D42" s="131">
        <v>2000</v>
      </c>
      <c r="E42" s="133" t="s">
        <v>2009</v>
      </c>
      <c r="F42" s="133">
        <v>46002</v>
      </c>
      <c r="G42" s="134" t="s">
        <v>2010</v>
      </c>
      <c r="H42" s="134" t="s">
        <v>2014</v>
      </c>
      <c r="I42" s="135"/>
    </row>
    <row r="43" spans="2:9" x14ac:dyDescent="0.25">
      <c r="B43" s="136" t="s">
        <v>43</v>
      </c>
      <c r="C43" s="137" t="s">
        <v>44</v>
      </c>
      <c r="D43" s="138">
        <v>800</v>
      </c>
      <c r="E43" s="139" t="s">
        <v>2009</v>
      </c>
      <c r="F43" s="139">
        <v>46002</v>
      </c>
      <c r="G43" s="140" t="s">
        <v>2010</v>
      </c>
      <c r="H43" s="140" t="s">
        <v>2016</v>
      </c>
      <c r="I43" s="141"/>
    </row>
    <row r="44" spans="2:9" x14ac:dyDescent="0.25">
      <c r="B44" s="129" t="s">
        <v>45</v>
      </c>
      <c r="C44" s="142" t="s">
        <v>46</v>
      </c>
      <c r="D44" s="131">
        <v>700</v>
      </c>
      <c r="E44" s="133" t="s">
        <v>2009</v>
      </c>
      <c r="F44" s="133">
        <v>46002</v>
      </c>
      <c r="G44" s="134" t="s">
        <v>2010</v>
      </c>
      <c r="H44" s="134" t="s">
        <v>2016</v>
      </c>
      <c r="I44" s="135"/>
    </row>
    <row r="45" spans="2:9" x14ac:dyDescent="0.25">
      <c r="B45" s="136" t="s">
        <v>313</v>
      </c>
      <c r="C45" s="137" t="s">
        <v>314</v>
      </c>
      <c r="D45" s="138">
        <v>5000</v>
      </c>
      <c r="E45" s="139" t="s">
        <v>2009</v>
      </c>
      <c r="F45" s="139">
        <v>46002</v>
      </c>
      <c r="G45" s="140" t="s">
        <v>2010</v>
      </c>
      <c r="H45" s="140" t="s">
        <v>2014</v>
      </c>
      <c r="I45" s="141"/>
    </row>
    <row r="46" spans="2:9" x14ac:dyDescent="0.25">
      <c r="B46" s="129" t="s">
        <v>316</v>
      </c>
      <c r="C46" s="142" t="s">
        <v>317</v>
      </c>
      <c r="D46" s="131">
        <v>80</v>
      </c>
      <c r="E46" s="133" t="s">
        <v>2009</v>
      </c>
      <c r="F46" s="133">
        <v>46002</v>
      </c>
      <c r="G46" s="134" t="s">
        <v>2010</v>
      </c>
      <c r="H46" s="134" t="s">
        <v>2017</v>
      </c>
      <c r="I46" s="135"/>
    </row>
    <row r="47" spans="2:9" x14ac:dyDescent="0.25">
      <c r="B47" s="136" t="s">
        <v>318</v>
      </c>
      <c r="C47" s="137" t="s">
        <v>319</v>
      </c>
      <c r="D47" s="138">
        <v>700</v>
      </c>
      <c r="E47" s="139" t="s">
        <v>2009</v>
      </c>
      <c r="F47" s="139">
        <v>46002</v>
      </c>
      <c r="G47" s="140" t="s">
        <v>2010</v>
      </c>
      <c r="H47" s="140" t="s">
        <v>2012</v>
      </c>
      <c r="I47" s="141"/>
    </row>
    <row r="48" spans="2:9" x14ac:dyDescent="0.25">
      <c r="B48" s="129" t="s">
        <v>320</v>
      </c>
      <c r="C48" s="142" t="s">
        <v>321</v>
      </c>
      <c r="D48" s="131">
        <v>2200</v>
      </c>
      <c r="E48" s="133" t="s">
        <v>2009</v>
      </c>
      <c r="F48" s="133">
        <v>46002</v>
      </c>
      <c r="G48" s="134" t="s">
        <v>2010</v>
      </c>
      <c r="H48" s="134" t="s">
        <v>2013</v>
      </c>
      <c r="I48" s="135"/>
    </row>
    <row r="49" spans="2:9" x14ac:dyDescent="0.25">
      <c r="B49" s="136" t="s">
        <v>322</v>
      </c>
      <c r="C49" s="137" t="s">
        <v>323</v>
      </c>
      <c r="D49" s="138">
        <v>120</v>
      </c>
      <c r="E49" s="139" t="s">
        <v>2009</v>
      </c>
      <c r="F49" s="139">
        <v>46002</v>
      </c>
      <c r="G49" s="140" t="s">
        <v>2010</v>
      </c>
      <c r="H49" s="140" t="s">
        <v>2017</v>
      </c>
      <c r="I49" s="141"/>
    </row>
    <row r="50" spans="2:9" x14ac:dyDescent="0.25">
      <c r="B50" s="129" t="s">
        <v>47</v>
      </c>
      <c r="C50" s="142" t="s">
        <v>48</v>
      </c>
      <c r="D50" s="131">
        <v>1000</v>
      </c>
      <c r="E50" s="133" t="s">
        <v>2009</v>
      </c>
      <c r="F50" s="133">
        <v>46002</v>
      </c>
      <c r="G50" s="134" t="s">
        <v>2010</v>
      </c>
      <c r="H50" s="134" t="s">
        <v>2015</v>
      </c>
      <c r="I50" s="135"/>
    </row>
    <row r="51" spans="2:9" x14ac:dyDescent="0.25">
      <c r="B51" s="136" t="s">
        <v>49</v>
      </c>
      <c r="C51" s="137" t="s">
        <v>50</v>
      </c>
      <c r="D51" s="138">
        <v>800</v>
      </c>
      <c r="E51" s="139" t="s">
        <v>2009</v>
      </c>
      <c r="F51" s="139">
        <v>46002</v>
      </c>
      <c r="G51" s="140" t="s">
        <v>2010</v>
      </c>
      <c r="H51" s="140" t="s">
        <v>2016</v>
      </c>
      <c r="I51" s="141"/>
    </row>
    <row r="52" spans="2:9" x14ac:dyDescent="0.25">
      <c r="B52" s="129" t="s">
        <v>324</v>
      </c>
      <c r="C52" s="142" t="s">
        <v>325</v>
      </c>
      <c r="D52" s="131">
        <v>300</v>
      </c>
      <c r="E52" s="133" t="s">
        <v>2009</v>
      </c>
      <c r="F52" s="133">
        <v>46002</v>
      </c>
      <c r="G52" s="134" t="s">
        <v>2010</v>
      </c>
      <c r="H52" s="134" t="s">
        <v>2014</v>
      </c>
      <c r="I52" s="135"/>
    </row>
    <row r="53" spans="2:9" x14ac:dyDescent="0.25">
      <c r="B53" s="136" t="s">
        <v>661</v>
      </c>
      <c r="C53" s="137" t="s">
        <v>662</v>
      </c>
      <c r="D53" s="138">
        <v>700</v>
      </c>
      <c r="E53" s="139" t="s">
        <v>2009</v>
      </c>
      <c r="F53" s="139">
        <v>46002</v>
      </c>
      <c r="G53" s="140" t="s">
        <v>2010</v>
      </c>
      <c r="H53" s="140" t="s">
        <v>2012</v>
      </c>
      <c r="I53" s="141"/>
    </row>
    <row r="54" spans="2:9" x14ac:dyDescent="0.25">
      <c r="B54" s="129" t="s">
        <v>328</v>
      </c>
      <c r="C54" s="142" t="s">
        <v>329</v>
      </c>
      <c r="D54" s="131">
        <v>5000</v>
      </c>
      <c r="E54" s="133" t="s">
        <v>2009</v>
      </c>
      <c r="F54" s="133">
        <v>46002</v>
      </c>
      <c r="G54" s="134" t="s">
        <v>2010</v>
      </c>
      <c r="H54" s="134" t="s">
        <v>2018</v>
      </c>
      <c r="I54" s="135"/>
    </row>
    <row r="55" spans="2:9" x14ac:dyDescent="0.25">
      <c r="B55" s="136" t="s">
        <v>786</v>
      </c>
      <c r="C55" s="137" t="s">
        <v>787</v>
      </c>
      <c r="D55" s="138">
        <v>500</v>
      </c>
      <c r="E55" s="139" t="s">
        <v>2009</v>
      </c>
      <c r="F55" s="139">
        <v>46002</v>
      </c>
      <c r="G55" s="140" t="s">
        <v>2010</v>
      </c>
      <c r="H55" s="140" t="s">
        <v>2012</v>
      </c>
      <c r="I55" s="141"/>
    </row>
    <row r="56" spans="2:9" x14ac:dyDescent="0.25">
      <c r="B56" s="129" t="s">
        <v>52</v>
      </c>
      <c r="C56" s="142" t="s">
        <v>53</v>
      </c>
      <c r="D56" s="131">
        <v>6200</v>
      </c>
      <c r="E56" s="133" t="s">
        <v>2009</v>
      </c>
      <c r="F56" s="133">
        <v>46002</v>
      </c>
      <c r="G56" s="134" t="s">
        <v>2010</v>
      </c>
      <c r="H56" s="134" t="s">
        <v>2020</v>
      </c>
      <c r="I56" s="135"/>
    </row>
    <row r="57" spans="2:9" x14ac:dyDescent="0.25">
      <c r="B57" s="136" t="s">
        <v>331</v>
      </c>
      <c r="C57" s="137" t="s">
        <v>332</v>
      </c>
      <c r="D57" s="138">
        <v>3900</v>
      </c>
      <c r="E57" s="139" t="s">
        <v>2009</v>
      </c>
      <c r="F57" s="139">
        <v>46002</v>
      </c>
      <c r="G57" s="140" t="s">
        <v>2010</v>
      </c>
      <c r="H57" s="140" t="s">
        <v>2012</v>
      </c>
      <c r="I57" s="141"/>
    </row>
    <row r="58" spans="2:9" x14ac:dyDescent="0.25">
      <c r="B58" s="129" t="s">
        <v>334</v>
      </c>
      <c r="C58" s="142" t="s">
        <v>335</v>
      </c>
      <c r="D58" s="131">
        <v>2520</v>
      </c>
      <c r="E58" s="133" t="s">
        <v>2009</v>
      </c>
      <c r="F58" s="133">
        <v>46002</v>
      </c>
      <c r="G58" s="134" t="s">
        <v>2010</v>
      </c>
      <c r="H58" s="134" t="s">
        <v>2017</v>
      </c>
      <c r="I58" s="135"/>
    </row>
    <row r="59" spans="2:9" x14ac:dyDescent="0.25">
      <c r="B59" s="136" t="s">
        <v>336</v>
      </c>
      <c r="C59" s="137" t="s">
        <v>337</v>
      </c>
      <c r="D59" s="138">
        <v>200</v>
      </c>
      <c r="E59" s="139" t="s">
        <v>2009</v>
      </c>
      <c r="F59" s="139">
        <v>46002</v>
      </c>
      <c r="G59" s="140" t="s">
        <v>2010</v>
      </c>
      <c r="H59" s="140" t="s">
        <v>2015</v>
      </c>
      <c r="I59" s="141"/>
    </row>
    <row r="60" spans="2:9" x14ac:dyDescent="0.25">
      <c r="B60" s="129" t="s">
        <v>339</v>
      </c>
      <c r="C60" s="142" t="s">
        <v>340</v>
      </c>
      <c r="D60" s="131">
        <v>400</v>
      </c>
      <c r="E60" s="133" t="s">
        <v>2009</v>
      </c>
      <c r="F60" s="133">
        <v>46002</v>
      </c>
      <c r="G60" s="134" t="s">
        <v>2010</v>
      </c>
      <c r="H60" s="134" t="s">
        <v>2013</v>
      </c>
      <c r="I60" s="135"/>
    </row>
    <row r="61" spans="2:9" x14ac:dyDescent="0.25">
      <c r="B61" s="136" t="s">
        <v>57</v>
      </c>
      <c r="C61" s="137" t="s">
        <v>58</v>
      </c>
      <c r="D61" s="138">
        <v>2300</v>
      </c>
      <c r="E61" s="139" t="s">
        <v>2009</v>
      </c>
      <c r="F61" s="139">
        <v>46002</v>
      </c>
      <c r="G61" s="140" t="s">
        <v>2010</v>
      </c>
      <c r="H61" s="140" t="s">
        <v>2013</v>
      </c>
      <c r="I61" s="141"/>
    </row>
    <row r="62" spans="2:9" x14ac:dyDescent="0.25">
      <c r="B62" s="129" t="s">
        <v>711</v>
      </c>
      <c r="C62" s="142" t="s">
        <v>712</v>
      </c>
      <c r="D62" s="131">
        <v>125</v>
      </c>
      <c r="E62" s="133" t="s">
        <v>2009</v>
      </c>
      <c r="F62" s="133">
        <v>46002</v>
      </c>
      <c r="G62" s="134" t="s">
        <v>2010</v>
      </c>
      <c r="H62" s="134" t="s">
        <v>2011</v>
      </c>
      <c r="I62" s="135"/>
    </row>
    <row r="63" spans="2:9" x14ac:dyDescent="0.25">
      <c r="B63" s="136" t="s">
        <v>271</v>
      </c>
      <c r="C63" s="137" t="s">
        <v>272</v>
      </c>
      <c r="D63" s="138">
        <v>4000</v>
      </c>
      <c r="E63" s="139" t="s">
        <v>2009</v>
      </c>
      <c r="F63" s="139">
        <v>46002</v>
      </c>
      <c r="G63" s="140" t="s">
        <v>2010</v>
      </c>
      <c r="H63" s="140" t="s">
        <v>2014</v>
      </c>
      <c r="I63" s="141"/>
    </row>
    <row r="64" spans="2:9" x14ac:dyDescent="0.25">
      <c r="B64" s="129" t="s">
        <v>342</v>
      </c>
      <c r="C64" s="142" t="s">
        <v>343</v>
      </c>
      <c r="D64" s="131">
        <v>2800</v>
      </c>
      <c r="E64" s="133" t="s">
        <v>2009</v>
      </c>
      <c r="F64" s="133">
        <v>46002</v>
      </c>
      <c r="G64" s="134" t="s">
        <v>2010</v>
      </c>
      <c r="H64" s="134" t="s">
        <v>2011</v>
      </c>
      <c r="I64" s="135"/>
    </row>
    <row r="65" spans="2:9" x14ac:dyDescent="0.25">
      <c r="B65" s="136" t="s">
        <v>345</v>
      </c>
      <c r="C65" s="137" t="s">
        <v>346</v>
      </c>
      <c r="D65" s="138">
        <v>800</v>
      </c>
      <c r="E65" s="139" t="s">
        <v>2009</v>
      </c>
      <c r="F65" s="139">
        <v>46002</v>
      </c>
      <c r="G65" s="140" t="s">
        <v>2010</v>
      </c>
      <c r="H65" s="140" t="s">
        <v>2014</v>
      </c>
      <c r="I65" s="141"/>
    </row>
    <row r="66" spans="2:9" x14ac:dyDescent="0.25">
      <c r="B66" s="129" t="s">
        <v>60</v>
      </c>
      <c r="C66" s="142" t="s">
        <v>61</v>
      </c>
      <c r="D66" s="131">
        <v>4200</v>
      </c>
      <c r="E66" s="133" t="s">
        <v>2009</v>
      </c>
      <c r="F66" s="133">
        <v>46002</v>
      </c>
      <c r="G66" s="134" t="s">
        <v>2010</v>
      </c>
      <c r="H66" s="134" t="s">
        <v>2020</v>
      </c>
      <c r="I66" s="135"/>
    </row>
    <row r="67" spans="2:9" x14ac:dyDescent="0.25">
      <c r="B67" s="136" t="s">
        <v>348</v>
      </c>
      <c r="C67" s="137" t="s">
        <v>349</v>
      </c>
      <c r="D67" s="138">
        <v>1000</v>
      </c>
      <c r="E67" s="139" t="s">
        <v>2009</v>
      </c>
      <c r="F67" s="139">
        <v>46002</v>
      </c>
      <c r="G67" s="140" t="s">
        <v>2010</v>
      </c>
      <c r="H67" s="140" t="s">
        <v>2012</v>
      </c>
      <c r="I67" s="141"/>
    </row>
    <row r="68" spans="2:9" x14ac:dyDescent="0.25">
      <c r="B68" s="129" t="s">
        <v>790</v>
      </c>
      <c r="C68" s="142" t="s">
        <v>791</v>
      </c>
      <c r="D68" s="131">
        <v>800</v>
      </c>
      <c r="E68" s="133" t="s">
        <v>2009</v>
      </c>
      <c r="F68" s="133">
        <v>46002</v>
      </c>
      <c r="G68" s="134" t="s">
        <v>2010</v>
      </c>
      <c r="H68" s="134" t="s">
        <v>2012</v>
      </c>
      <c r="I68" s="135"/>
    </row>
    <row r="69" spans="2:9" x14ac:dyDescent="0.25">
      <c r="B69" s="136" t="s">
        <v>447</v>
      </c>
      <c r="C69" s="137" t="s">
        <v>448</v>
      </c>
      <c r="D69" s="138">
        <v>900</v>
      </c>
      <c r="E69" s="139" t="s">
        <v>2009</v>
      </c>
      <c r="F69" s="139">
        <v>46002</v>
      </c>
      <c r="G69" s="140" t="s">
        <v>2010</v>
      </c>
      <c r="H69" s="140" t="s">
        <v>2012</v>
      </c>
      <c r="I69" s="141"/>
    </row>
    <row r="70" spans="2:9" x14ac:dyDescent="0.25">
      <c r="B70" s="129" t="s">
        <v>636</v>
      </c>
      <c r="C70" s="142" t="s">
        <v>637</v>
      </c>
      <c r="D70" s="131">
        <v>240</v>
      </c>
      <c r="E70" s="133" t="s">
        <v>2009</v>
      </c>
      <c r="F70" s="133">
        <v>46002</v>
      </c>
      <c r="G70" s="134" t="s">
        <v>2010</v>
      </c>
      <c r="H70" s="134" t="s">
        <v>2017</v>
      </c>
      <c r="I70" s="135"/>
    </row>
    <row r="71" spans="2:9" x14ac:dyDescent="0.25">
      <c r="B71" s="136" t="s">
        <v>358</v>
      </c>
      <c r="C71" s="137" t="s">
        <v>359</v>
      </c>
      <c r="D71" s="138">
        <v>600</v>
      </c>
      <c r="E71" s="139" t="s">
        <v>2009</v>
      </c>
      <c r="F71" s="139">
        <v>46002</v>
      </c>
      <c r="G71" s="140" t="s">
        <v>2010</v>
      </c>
      <c r="H71" s="140" t="s">
        <v>2012</v>
      </c>
      <c r="I71" s="141"/>
    </row>
    <row r="72" spans="2:9" x14ac:dyDescent="0.25">
      <c r="B72" s="129" t="s">
        <v>361</v>
      </c>
      <c r="C72" s="142" t="s">
        <v>362</v>
      </c>
      <c r="D72" s="131">
        <v>750</v>
      </c>
      <c r="E72" s="133" t="s">
        <v>2009</v>
      </c>
      <c r="F72" s="133">
        <v>46002</v>
      </c>
      <c r="G72" s="134" t="s">
        <v>2010</v>
      </c>
      <c r="H72" s="134" t="s">
        <v>2012</v>
      </c>
      <c r="I72" s="135"/>
    </row>
    <row r="73" spans="2:9" x14ac:dyDescent="0.25">
      <c r="B73" s="136" t="s">
        <v>363</v>
      </c>
      <c r="C73" s="137" t="s">
        <v>364</v>
      </c>
      <c r="D73" s="138">
        <v>300</v>
      </c>
      <c r="E73" s="139" t="s">
        <v>2009</v>
      </c>
      <c r="F73" s="139">
        <v>46002</v>
      </c>
      <c r="G73" s="140" t="s">
        <v>2010</v>
      </c>
      <c r="H73" s="140" t="s">
        <v>2017</v>
      </c>
      <c r="I73" s="141"/>
    </row>
    <row r="74" spans="2:9" x14ac:dyDescent="0.25">
      <c r="B74" s="129" t="s">
        <v>365</v>
      </c>
      <c r="C74" s="142" t="s">
        <v>366</v>
      </c>
      <c r="D74" s="131">
        <v>800</v>
      </c>
      <c r="E74" s="133" t="s">
        <v>2009</v>
      </c>
      <c r="F74" s="133">
        <v>46002</v>
      </c>
      <c r="G74" s="134" t="s">
        <v>2010</v>
      </c>
      <c r="H74" s="134" t="s">
        <v>2012</v>
      </c>
      <c r="I74" s="135"/>
    </row>
    <row r="75" spans="2:9" x14ac:dyDescent="0.25">
      <c r="B75" s="136" t="s">
        <v>367</v>
      </c>
      <c r="C75" s="137" t="s">
        <v>368</v>
      </c>
      <c r="D75" s="138">
        <v>250</v>
      </c>
      <c r="E75" s="139" t="s">
        <v>2009</v>
      </c>
      <c r="F75" s="139">
        <v>46002</v>
      </c>
      <c r="G75" s="140" t="s">
        <v>2010</v>
      </c>
      <c r="H75" s="140" t="s">
        <v>2016</v>
      </c>
      <c r="I75" s="141"/>
    </row>
    <row r="76" spans="2:9" x14ac:dyDescent="0.25">
      <c r="B76" s="129" t="s">
        <v>369</v>
      </c>
      <c r="C76" s="142" t="s">
        <v>370</v>
      </c>
      <c r="D76" s="131">
        <v>3000</v>
      </c>
      <c r="E76" s="133" t="s">
        <v>2009</v>
      </c>
      <c r="F76" s="133">
        <v>46002</v>
      </c>
      <c r="G76" s="134" t="s">
        <v>2010</v>
      </c>
      <c r="H76" s="134" t="s">
        <v>2012</v>
      </c>
      <c r="I76" s="135"/>
    </row>
    <row r="77" spans="2:9" x14ac:dyDescent="0.25">
      <c r="B77" s="136" t="s">
        <v>372</v>
      </c>
      <c r="C77" s="137" t="s">
        <v>373</v>
      </c>
      <c r="D77" s="138">
        <v>100</v>
      </c>
      <c r="E77" s="139" t="s">
        <v>2009</v>
      </c>
      <c r="F77" s="139">
        <v>46002</v>
      </c>
      <c r="G77" s="140" t="s">
        <v>2010</v>
      </c>
      <c r="H77" s="140" t="s">
        <v>2017</v>
      </c>
      <c r="I77" s="141"/>
    </row>
    <row r="78" spans="2:9" x14ac:dyDescent="0.25">
      <c r="B78" s="129" t="s">
        <v>374</v>
      </c>
      <c r="C78" s="142" t="s">
        <v>375</v>
      </c>
      <c r="D78" s="131">
        <v>100</v>
      </c>
      <c r="E78" s="133" t="s">
        <v>2009</v>
      </c>
      <c r="F78" s="133">
        <v>46002</v>
      </c>
      <c r="G78" s="134" t="s">
        <v>2010</v>
      </c>
      <c r="H78" s="134" t="s">
        <v>2017</v>
      </c>
      <c r="I78" s="135"/>
    </row>
    <row r="79" spans="2:9" x14ac:dyDescent="0.25">
      <c r="B79" s="136" t="s">
        <v>376</v>
      </c>
      <c r="C79" s="137" t="s">
        <v>377</v>
      </c>
      <c r="D79" s="138">
        <v>1000</v>
      </c>
      <c r="E79" s="139" t="s">
        <v>2009</v>
      </c>
      <c r="F79" s="139">
        <v>46002</v>
      </c>
      <c r="G79" s="140" t="s">
        <v>2010</v>
      </c>
      <c r="H79" s="140" t="s">
        <v>2011</v>
      </c>
      <c r="I79" s="141"/>
    </row>
    <row r="80" spans="2:9" x14ac:dyDescent="0.25">
      <c r="B80" s="129" t="s">
        <v>736</v>
      </c>
      <c r="C80" s="142" t="s">
        <v>737</v>
      </c>
      <c r="D80" s="131">
        <v>750</v>
      </c>
      <c r="E80" s="133" t="s">
        <v>2009</v>
      </c>
      <c r="F80" s="133">
        <v>46002</v>
      </c>
      <c r="G80" s="134" t="s">
        <v>2010</v>
      </c>
      <c r="H80" s="134" t="s">
        <v>2014</v>
      </c>
      <c r="I80" s="135"/>
    </row>
    <row r="81" spans="2:9" x14ac:dyDescent="0.25">
      <c r="B81" s="136" t="s">
        <v>381</v>
      </c>
      <c r="C81" s="137" t="s">
        <v>382</v>
      </c>
      <c r="D81" s="138">
        <v>3250</v>
      </c>
      <c r="E81" s="139" t="s">
        <v>2009</v>
      </c>
      <c r="F81" s="139">
        <v>46002</v>
      </c>
      <c r="G81" s="140" t="s">
        <v>2010</v>
      </c>
      <c r="H81" s="140" t="s">
        <v>2018</v>
      </c>
      <c r="I81" s="141"/>
    </row>
    <row r="82" spans="2:9" x14ac:dyDescent="0.25">
      <c r="B82" s="129" t="s">
        <v>63</v>
      </c>
      <c r="C82" s="142" t="s">
        <v>64</v>
      </c>
      <c r="D82" s="131">
        <v>500</v>
      </c>
      <c r="E82" s="133" t="s">
        <v>2009</v>
      </c>
      <c r="F82" s="133">
        <v>46002</v>
      </c>
      <c r="G82" s="134" t="s">
        <v>2010</v>
      </c>
      <c r="H82" s="134" t="s">
        <v>2016</v>
      </c>
      <c r="I82" s="135"/>
    </row>
    <row r="83" spans="2:9" x14ac:dyDescent="0.25">
      <c r="B83" s="136" t="s">
        <v>383</v>
      </c>
      <c r="C83" s="137" t="s">
        <v>384</v>
      </c>
      <c r="D83" s="138">
        <v>2710</v>
      </c>
      <c r="E83" s="139" t="s">
        <v>2009</v>
      </c>
      <c r="F83" s="139">
        <v>46002</v>
      </c>
      <c r="G83" s="140" t="s">
        <v>2010</v>
      </c>
      <c r="H83" s="140" t="s">
        <v>2012</v>
      </c>
      <c r="I83" s="141"/>
    </row>
    <row r="84" spans="2:9" x14ac:dyDescent="0.25">
      <c r="B84" s="129" t="s">
        <v>66</v>
      </c>
      <c r="C84" s="142" t="s">
        <v>67</v>
      </c>
      <c r="D84" s="131">
        <v>500</v>
      </c>
      <c r="E84" s="133" t="s">
        <v>2009</v>
      </c>
      <c r="F84" s="133">
        <v>46002</v>
      </c>
      <c r="G84" s="134" t="s">
        <v>2010</v>
      </c>
      <c r="H84" s="134" t="s">
        <v>2016</v>
      </c>
      <c r="I84" s="135"/>
    </row>
    <row r="85" spans="2:9" x14ac:dyDescent="0.25">
      <c r="B85" s="136" t="s">
        <v>205</v>
      </c>
      <c r="C85" s="137" t="s">
        <v>206</v>
      </c>
      <c r="D85" s="138">
        <v>1500</v>
      </c>
      <c r="E85" s="139" t="s">
        <v>2009</v>
      </c>
      <c r="F85" s="139">
        <v>46002</v>
      </c>
      <c r="G85" s="140" t="s">
        <v>2010</v>
      </c>
      <c r="H85" s="140" t="s">
        <v>2015</v>
      </c>
      <c r="I85" s="141"/>
    </row>
    <row r="86" spans="2:9" x14ac:dyDescent="0.25">
      <c r="B86" s="129" t="s">
        <v>800</v>
      </c>
      <c r="C86" s="142" t="s">
        <v>801</v>
      </c>
      <c r="D86" s="131">
        <v>200</v>
      </c>
      <c r="E86" s="133" t="s">
        <v>2009</v>
      </c>
      <c r="F86" s="133">
        <v>46002</v>
      </c>
      <c r="G86" s="134" t="s">
        <v>2010</v>
      </c>
      <c r="H86" s="134" t="s">
        <v>2011</v>
      </c>
      <c r="I86" s="135"/>
    </row>
    <row r="87" spans="2:9" x14ac:dyDescent="0.25">
      <c r="B87" s="136" t="s">
        <v>802</v>
      </c>
      <c r="C87" s="137" t="s">
        <v>803</v>
      </c>
      <c r="D87" s="138">
        <v>120</v>
      </c>
      <c r="E87" s="139" t="s">
        <v>2009</v>
      </c>
      <c r="F87" s="139">
        <v>46002</v>
      </c>
      <c r="G87" s="140" t="s">
        <v>2010</v>
      </c>
      <c r="H87" s="140" t="s">
        <v>2017</v>
      </c>
      <c r="I87" s="141"/>
    </row>
    <row r="88" spans="2:9" x14ac:dyDescent="0.25">
      <c r="B88" s="129" t="s">
        <v>393</v>
      </c>
      <c r="C88" s="142" t="s">
        <v>394</v>
      </c>
      <c r="D88" s="131">
        <v>2500</v>
      </c>
      <c r="E88" s="133" t="s">
        <v>2009</v>
      </c>
      <c r="F88" s="133">
        <v>46002</v>
      </c>
      <c r="G88" s="134" t="s">
        <v>2010</v>
      </c>
      <c r="H88" s="134" t="s">
        <v>2012</v>
      </c>
      <c r="I88" s="135"/>
    </row>
    <row r="89" spans="2:9" x14ac:dyDescent="0.25">
      <c r="B89" s="136" t="s">
        <v>388</v>
      </c>
      <c r="C89" s="137" t="s">
        <v>389</v>
      </c>
      <c r="D89" s="138">
        <v>750</v>
      </c>
      <c r="E89" s="139" t="s">
        <v>2009</v>
      </c>
      <c r="F89" s="139">
        <v>46002</v>
      </c>
      <c r="G89" s="140" t="s">
        <v>2010</v>
      </c>
      <c r="H89" s="140" t="s">
        <v>2011</v>
      </c>
      <c r="I89" s="141"/>
    </row>
    <row r="90" spans="2:9" x14ac:dyDescent="0.25">
      <c r="B90" s="129" t="s">
        <v>356</v>
      </c>
      <c r="C90" s="142" t="s">
        <v>357</v>
      </c>
      <c r="D90" s="131">
        <v>1600</v>
      </c>
      <c r="E90" s="133" t="s">
        <v>2009</v>
      </c>
      <c r="F90" s="133">
        <v>46002</v>
      </c>
      <c r="G90" s="134" t="s">
        <v>2010</v>
      </c>
      <c r="H90" s="134" t="s">
        <v>2012</v>
      </c>
      <c r="I90" s="135"/>
    </row>
    <row r="91" spans="2:9" x14ac:dyDescent="0.25">
      <c r="B91" s="136" t="s">
        <v>399</v>
      </c>
      <c r="C91" s="137" t="s">
        <v>400</v>
      </c>
      <c r="D91" s="138">
        <v>160</v>
      </c>
      <c r="E91" s="139" t="s">
        <v>2009</v>
      </c>
      <c r="F91" s="139">
        <v>46002</v>
      </c>
      <c r="G91" s="140" t="s">
        <v>2010</v>
      </c>
      <c r="H91" s="140" t="s">
        <v>2017</v>
      </c>
      <c r="I91" s="141"/>
    </row>
    <row r="92" spans="2:9" x14ac:dyDescent="0.25">
      <c r="B92" s="129" t="s">
        <v>401</v>
      </c>
      <c r="C92" s="142" t="s">
        <v>402</v>
      </c>
      <c r="D92" s="131">
        <v>400</v>
      </c>
      <c r="E92" s="133" t="s">
        <v>2009</v>
      </c>
      <c r="F92" s="133">
        <v>46002</v>
      </c>
      <c r="G92" s="134" t="s">
        <v>2010</v>
      </c>
      <c r="H92" s="134" t="s">
        <v>2015</v>
      </c>
      <c r="I92" s="135"/>
    </row>
    <row r="93" spans="2:9" x14ac:dyDescent="0.25">
      <c r="B93" s="136" t="s">
        <v>1014</v>
      </c>
      <c r="C93" s="137" t="s">
        <v>1666</v>
      </c>
      <c r="D93" s="138">
        <v>2000</v>
      </c>
      <c r="E93" s="139" t="s">
        <v>2009</v>
      </c>
      <c r="F93" s="139">
        <v>46002</v>
      </c>
      <c r="G93" s="140" t="s">
        <v>2010</v>
      </c>
      <c r="H93" s="140" t="s">
        <v>2014</v>
      </c>
      <c r="I93" s="141"/>
    </row>
    <row r="94" spans="2:9" x14ac:dyDescent="0.25">
      <c r="B94" s="129" t="s">
        <v>69</v>
      </c>
      <c r="C94" s="142" t="s">
        <v>70</v>
      </c>
      <c r="D94" s="131">
        <v>1000</v>
      </c>
      <c r="E94" s="133" t="s">
        <v>2009</v>
      </c>
      <c r="F94" s="133">
        <v>46002</v>
      </c>
      <c r="G94" s="134" t="s">
        <v>2010</v>
      </c>
      <c r="H94" s="134" t="s">
        <v>2016</v>
      </c>
      <c r="I94" s="135"/>
    </row>
    <row r="95" spans="2:9" x14ac:dyDescent="0.25">
      <c r="B95" s="136" t="s">
        <v>404</v>
      </c>
      <c r="C95" s="137" t="s">
        <v>405</v>
      </c>
      <c r="D95" s="138">
        <v>500</v>
      </c>
      <c r="E95" s="139" t="s">
        <v>2009</v>
      </c>
      <c r="F95" s="139">
        <v>46002</v>
      </c>
      <c r="G95" s="140" t="s">
        <v>2010</v>
      </c>
      <c r="H95" s="140" t="s">
        <v>2015</v>
      </c>
      <c r="I95" s="141"/>
    </row>
    <row r="96" spans="2:9" x14ac:dyDescent="0.25">
      <c r="B96" s="129" t="s">
        <v>407</v>
      </c>
      <c r="C96" s="142" t="s">
        <v>408</v>
      </c>
      <c r="D96" s="131">
        <v>100</v>
      </c>
      <c r="E96" s="133" t="s">
        <v>2009</v>
      </c>
      <c r="F96" s="133">
        <v>46002</v>
      </c>
      <c r="G96" s="134" t="s">
        <v>2010</v>
      </c>
      <c r="H96" s="134" t="s">
        <v>2017</v>
      </c>
      <c r="I96" s="135"/>
    </row>
    <row r="97" spans="2:9" x14ac:dyDescent="0.25">
      <c r="B97" s="136" t="s">
        <v>409</v>
      </c>
      <c r="C97" s="137" t="s">
        <v>410</v>
      </c>
      <c r="D97" s="138">
        <v>1400</v>
      </c>
      <c r="E97" s="139" t="s">
        <v>2009</v>
      </c>
      <c r="F97" s="139">
        <v>46002</v>
      </c>
      <c r="G97" s="140" t="s">
        <v>2010</v>
      </c>
      <c r="H97" s="140" t="s">
        <v>2016</v>
      </c>
      <c r="I97" s="141"/>
    </row>
    <row r="98" spans="2:9" x14ac:dyDescent="0.25">
      <c r="B98" s="129" t="s">
        <v>643</v>
      </c>
      <c r="C98" s="142" t="s">
        <v>644</v>
      </c>
      <c r="D98" s="131">
        <v>800</v>
      </c>
      <c r="E98" s="133" t="s">
        <v>2009</v>
      </c>
      <c r="F98" s="133">
        <v>46002</v>
      </c>
      <c r="G98" s="134" t="s">
        <v>2010</v>
      </c>
      <c r="H98" s="134" t="s">
        <v>2012</v>
      </c>
      <c r="I98" s="135"/>
    </row>
    <row r="99" spans="2:9" x14ac:dyDescent="0.25">
      <c r="B99" s="136" t="s">
        <v>412</v>
      </c>
      <c r="C99" s="137" t="s">
        <v>413</v>
      </c>
      <c r="D99" s="138">
        <v>500</v>
      </c>
      <c r="E99" s="139" t="s">
        <v>2009</v>
      </c>
      <c r="F99" s="139">
        <v>46002</v>
      </c>
      <c r="G99" s="140" t="s">
        <v>2010</v>
      </c>
      <c r="H99" s="140" t="s">
        <v>2016</v>
      </c>
      <c r="I99" s="141"/>
    </row>
    <row r="100" spans="2:9" x14ac:dyDescent="0.25">
      <c r="B100" s="129" t="s">
        <v>415</v>
      </c>
      <c r="C100" s="142" t="s">
        <v>416</v>
      </c>
      <c r="D100" s="131">
        <v>120</v>
      </c>
      <c r="E100" s="133" t="s">
        <v>2009</v>
      </c>
      <c r="F100" s="133">
        <v>46002</v>
      </c>
      <c r="G100" s="134" t="s">
        <v>2010</v>
      </c>
      <c r="H100" s="134" t="s">
        <v>2017</v>
      </c>
      <c r="I100" s="135"/>
    </row>
    <row r="101" spans="2:9" x14ac:dyDescent="0.25">
      <c r="B101" s="136" t="s">
        <v>417</v>
      </c>
      <c r="C101" s="137" t="s">
        <v>418</v>
      </c>
      <c r="D101" s="138">
        <v>800</v>
      </c>
      <c r="E101" s="139" t="s">
        <v>2009</v>
      </c>
      <c r="F101" s="139">
        <v>46002</v>
      </c>
      <c r="G101" s="140" t="s">
        <v>2010</v>
      </c>
      <c r="H101" s="140" t="s">
        <v>2013</v>
      </c>
      <c r="I101" s="141"/>
    </row>
    <row r="102" spans="2:9" x14ac:dyDescent="0.25">
      <c r="B102" s="129" t="s">
        <v>728</v>
      </c>
      <c r="C102" s="142" t="s">
        <v>729</v>
      </c>
      <c r="D102" s="131">
        <v>200</v>
      </c>
      <c r="E102" s="133" t="s">
        <v>2009</v>
      </c>
      <c r="F102" s="133">
        <v>46002</v>
      </c>
      <c r="G102" s="134" t="s">
        <v>2010</v>
      </c>
      <c r="H102" s="134" t="s">
        <v>2011</v>
      </c>
      <c r="I102" s="135"/>
    </row>
    <row r="103" spans="2:9" x14ac:dyDescent="0.25">
      <c r="B103" s="136" t="s">
        <v>782</v>
      </c>
      <c r="C103" s="137" t="s">
        <v>783</v>
      </c>
      <c r="D103" s="138">
        <v>800</v>
      </c>
      <c r="E103" s="139" t="s">
        <v>2009</v>
      </c>
      <c r="F103" s="139">
        <v>46002</v>
      </c>
      <c r="G103" s="140" t="s">
        <v>2010</v>
      </c>
      <c r="H103" s="140" t="s">
        <v>2012</v>
      </c>
      <c r="I103" s="141"/>
    </row>
    <row r="104" spans="2:9" x14ac:dyDescent="0.25">
      <c r="B104" s="129" t="s">
        <v>424</v>
      </c>
      <c r="C104" s="142" t="s">
        <v>425</v>
      </c>
      <c r="D104" s="131">
        <v>800</v>
      </c>
      <c r="E104" s="133" t="s">
        <v>2009</v>
      </c>
      <c r="F104" s="133">
        <v>46002</v>
      </c>
      <c r="G104" s="134" t="s">
        <v>2010</v>
      </c>
      <c r="H104" s="134" t="s">
        <v>2012</v>
      </c>
      <c r="I104" s="135"/>
    </row>
    <row r="105" spans="2:9" x14ac:dyDescent="0.25">
      <c r="B105" s="136" t="s">
        <v>77</v>
      </c>
      <c r="C105" s="137" t="s">
        <v>78</v>
      </c>
      <c r="D105" s="138">
        <v>1500</v>
      </c>
      <c r="E105" s="139" t="s">
        <v>2009</v>
      </c>
      <c r="F105" s="139">
        <v>46002</v>
      </c>
      <c r="G105" s="140" t="s">
        <v>2010</v>
      </c>
      <c r="H105" s="140" t="s">
        <v>2016</v>
      </c>
      <c r="I105" s="141"/>
    </row>
    <row r="106" spans="2:9" x14ac:dyDescent="0.25">
      <c r="B106" s="129" t="s">
        <v>426</v>
      </c>
      <c r="C106" s="142" t="s">
        <v>427</v>
      </c>
      <c r="D106" s="131">
        <v>100</v>
      </c>
      <c r="E106" s="133" t="s">
        <v>2009</v>
      </c>
      <c r="F106" s="133">
        <v>46002</v>
      </c>
      <c r="G106" s="134" t="s">
        <v>2010</v>
      </c>
      <c r="H106" s="134" t="s">
        <v>2017</v>
      </c>
      <c r="I106" s="135"/>
    </row>
    <row r="107" spans="2:9" x14ac:dyDescent="0.25">
      <c r="B107" s="136" t="s">
        <v>561</v>
      </c>
      <c r="C107" s="137" t="s">
        <v>562</v>
      </c>
      <c r="D107" s="138">
        <v>200</v>
      </c>
      <c r="E107" s="139" t="s">
        <v>2009</v>
      </c>
      <c r="F107" s="139">
        <v>46002</v>
      </c>
      <c r="G107" s="140" t="s">
        <v>2010</v>
      </c>
      <c r="H107" s="140" t="s">
        <v>2017</v>
      </c>
      <c r="I107" s="141"/>
    </row>
    <row r="108" spans="2:9" x14ac:dyDescent="0.25">
      <c r="B108" s="129" t="s">
        <v>430</v>
      </c>
      <c r="C108" s="142" t="s">
        <v>431</v>
      </c>
      <c r="D108" s="131">
        <v>400</v>
      </c>
      <c r="E108" s="133" t="s">
        <v>2009</v>
      </c>
      <c r="F108" s="133">
        <v>46002</v>
      </c>
      <c r="G108" s="134" t="s">
        <v>2010</v>
      </c>
      <c r="H108" s="134" t="s">
        <v>2012</v>
      </c>
      <c r="I108" s="135"/>
    </row>
    <row r="109" spans="2:9" x14ac:dyDescent="0.25">
      <c r="B109" s="136" t="s">
        <v>672</v>
      </c>
      <c r="C109" s="137" t="s">
        <v>673</v>
      </c>
      <c r="D109" s="138">
        <v>675</v>
      </c>
      <c r="E109" s="139" t="s">
        <v>2009</v>
      </c>
      <c r="F109" s="139">
        <v>46002</v>
      </c>
      <c r="G109" s="140" t="s">
        <v>2010</v>
      </c>
      <c r="H109" s="140" t="s">
        <v>2013</v>
      </c>
      <c r="I109" s="141"/>
    </row>
    <row r="110" spans="2:9" x14ac:dyDescent="0.25">
      <c r="B110" s="129" t="s">
        <v>79</v>
      </c>
      <c r="C110" s="142" t="s">
        <v>80</v>
      </c>
      <c r="D110" s="131">
        <v>1600</v>
      </c>
      <c r="E110" s="133" t="s">
        <v>2009</v>
      </c>
      <c r="F110" s="133">
        <v>46002</v>
      </c>
      <c r="G110" s="134" t="s">
        <v>2010</v>
      </c>
      <c r="H110" s="134" t="s">
        <v>2013</v>
      </c>
      <c r="I110" s="135"/>
    </row>
    <row r="111" spans="2:9" x14ac:dyDescent="0.25">
      <c r="B111" s="136" t="s">
        <v>82</v>
      </c>
      <c r="C111" s="137" t="s">
        <v>83</v>
      </c>
      <c r="D111" s="138">
        <v>750</v>
      </c>
      <c r="E111" s="139" t="s">
        <v>2009</v>
      </c>
      <c r="F111" s="139">
        <v>46002</v>
      </c>
      <c r="G111" s="140" t="s">
        <v>2010</v>
      </c>
      <c r="H111" s="140" t="s">
        <v>2016</v>
      </c>
      <c r="I111" s="141"/>
    </row>
    <row r="112" spans="2:9" x14ac:dyDescent="0.25">
      <c r="B112" s="129" t="s">
        <v>436</v>
      </c>
      <c r="C112" s="142" t="s">
        <v>437</v>
      </c>
      <c r="D112" s="131">
        <v>1000</v>
      </c>
      <c r="E112" s="133" t="s">
        <v>2009</v>
      </c>
      <c r="F112" s="133">
        <v>46002</v>
      </c>
      <c r="G112" s="134" t="s">
        <v>2010</v>
      </c>
      <c r="H112" s="134" t="s">
        <v>2018</v>
      </c>
      <c r="I112" s="135"/>
    </row>
    <row r="113" spans="2:9" x14ac:dyDescent="0.25">
      <c r="B113" s="136" t="s">
        <v>438</v>
      </c>
      <c r="C113" s="137" t="s">
        <v>439</v>
      </c>
      <c r="D113" s="138">
        <v>800</v>
      </c>
      <c r="E113" s="139" t="s">
        <v>2009</v>
      </c>
      <c r="F113" s="139">
        <v>46002</v>
      </c>
      <c r="G113" s="140" t="s">
        <v>2010</v>
      </c>
      <c r="H113" s="140" t="s">
        <v>2013</v>
      </c>
      <c r="I113" s="141"/>
    </row>
    <row r="114" spans="2:9" x14ac:dyDescent="0.25">
      <c r="B114" s="129" t="s">
        <v>440</v>
      </c>
      <c r="C114" s="142" t="s">
        <v>441</v>
      </c>
      <c r="D114" s="131">
        <v>6800</v>
      </c>
      <c r="E114" s="133" t="s">
        <v>2009</v>
      </c>
      <c r="F114" s="133">
        <v>46002</v>
      </c>
      <c r="G114" s="134" t="s">
        <v>2010</v>
      </c>
      <c r="H114" s="134" t="s">
        <v>2014</v>
      </c>
      <c r="I114" s="135"/>
    </row>
    <row r="115" spans="2:9" x14ac:dyDescent="0.25">
      <c r="B115" s="136" t="s">
        <v>442</v>
      </c>
      <c r="C115" s="137" t="s">
        <v>443</v>
      </c>
      <c r="D115" s="138">
        <v>4000</v>
      </c>
      <c r="E115" s="139" t="s">
        <v>2009</v>
      </c>
      <c r="F115" s="139">
        <v>46002</v>
      </c>
      <c r="G115" s="140" t="s">
        <v>2010</v>
      </c>
      <c r="H115" s="140" t="s">
        <v>2012</v>
      </c>
      <c r="I115" s="141"/>
    </row>
    <row r="116" spans="2:9" x14ac:dyDescent="0.25">
      <c r="B116" s="129" t="s">
        <v>445</v>
      </c>
      <c r="C116" s="142" t="s">
        <v>446</v>
      </c>
      <c r="D116" s="131">
        <v>700</v>
      </c>
      <c r="E116" s="133" t="s">
        <v>2009</v>
      </c>
      <c r="F116" s="133">
        <v>46002</v>
      </c>
      <c r="G116" s="134" t="s">
        <v>2010</v>
      </c>
      <c r="H116" s="134" t="s">
        <v>2012</v>
      </c>
      <c r="I116" s="135"/>
    </row>
    <row r="117" spans="2:9" x14ac:dyDescent="0.25">
      <c r="B117" s="136" t="s">
        <v>570</v>
      </c>
      <c r="C117" s="137" t="s">
        <v>571</v>
      </c>
      <c r="D117" s="138">
        <v>4000</v>
      </c>
      <c r="E117" s="139" t="s">
        <v>2009</v>
      </c>
      <c r="F117" s="139">
        <v>46002</v>
      </c>
      <c r="G117" s="140" t="s">
        <v>2010</v>
      </c>
      <c r="H117" s="140" t="s">
        <v>2011</v>
      </c>
      <c r="I117" s="141"/>
    </row>
    <row r="118" spans="2:9" x14ac:dyDescent="0.25">
      <c r="B118" s="129" t="s">
        <v>449</v>
      </c>
      <c r="C118" s="142" t="s">
        <v>450</v>
      </c>
      <c r="D118" s="131">
        <v>800</v>
      </c>
      <c r="E118" s="133" t="s">
        <v>2009</v>
      </c>
      <c r="F118" s="133">
        <v>46002</v>
      </c>
      <c r="G118" s="134" t="s">
        <v>2010</v>
      </c>
      <c r="H118" s="134" t="s">
        <v>2012</v>
      </c>
      <c r="I118" s="135"/>
    </row>
    <row r="119" spans="2:9" x14ac:dyDescent="0.25">
      <c r="B119" s="136" t="s">
        <v>85</v>
      </c>
      <c r="C119" s="137" t="s">
        <v>86</v>
      </c>
      <c r="D119" s="138">
        <v>3000</v>
      </c>
      <c r="E119" s="139" t="s">
        <v>2009</v>
      </c>
      <c r="F119" s="139">
        <v>46002</v>
      </c>
      <c r="G119" s="140" t="s">
        <v>2010</v>
      </c>
      <c r="H119" s="140" t="s">
        <v>2013</v>
      </c>
      <c r="I119" s="141"/>
    </row>
    <row r="120" spans="2:9" x14ac:dyDescent="0.25">
      <c r="B120" s="129" t="s">
        <v>208</v>
      </c>
      <c r="C120" s="142" t="s">
        <v>209</v>
      </c>
      <c r="D120" s="131">
        <v>4000</v>
      </c>
      <c r="E120" s="133" t="s">
        <v>2009</v>
      </c>
      <c r="F120" s="133">
        <v>46002</v>
      </c>
      <c r="G120" s="134" t="s">
        <v>2010</v>
      </c>
      <c r="H120" s="134" t="s">
        <v>2015</v>
      </c>
      <c r="I120" s="135"/>
    </row>
    <row r="121" spans="2:9" x14ac:dyDescent="0.25">
      <c r="B121" s="136" t="s">
        <v>451</v>
      </c>
      <c r="C121" s="137" t="s">
        <v>452</v>
      </c>
      <c r="D121" s="138">
        <v>160</v>
      </c>
      <c r="E121" s="139" t="s">
        <v>2009</v>
      </c>
      <c r="F121" s="139">
        <v>46002</v>
      </c>
      <c r="G121" s="140" t="s">
        <v>2010</v>
      </c>
      <c r="H121" s="140" t="s">
        <v>2017</v>
      </c>
      <c r="I121" s="141"/>
    </row>
    <row r="122" spans="2:9" x14ac:dyDescent="0.25">
      <c r="B122" s="129" t="s">
        <v>88</v>
      </c>
      <c r="C122" s="142" t="s">
        <v>89</v>
      </c>
      <c r="D122" s="131">
        <v>1500</v>
      </c>
      <c r="E122" s="133" t="s">
        <v>2009</v>
      </c>
      <c r="F122" s="133">
        <v>46002</v>
      </c>
      <c r="G122" s="134" t="s">
        <v>2010</v>
      </c>
      <c r="H122" s="134" t="s">
        <v>2013</v>
      </c>
      <c r="I122" s="135"/>
    </row>
    <row r="123" spans="2:9" x14ac:dyDescent="0.25">
      <c r="B123" s="136" t="s">
        <v>453</v>
      </c>
      <c r="C123" s="137" t="s">
        <v>454</v>
      </c>
      <c r="D123" s="138">
        <v>2000</v>
      </c>
      <c r="E123" s="139" t="s">
        <v>2009</v>
      </c>
      <c r="F123" s="139">
        <v>46002</v>
      </c>
      <c r="G123" s="140" t="s">
        <v>2010</v>
      </c>
      <c r="H123" s="140" t="s">
        <v>2018</v>
      </c>
      <c r="I123" s="141"/>
    </row>
    <row r="124" spans="2:9" x14ac:dyDescent="0.25">
      <c r="B124" s="129" t="s">
        <v>658</v>
      </c>
      <c r="C124" s="142" t="s">
        <v>659</v>
      </c>
      <c r="D124" s="131">
        <v>2800</v>
      </c>
      <c r="E124" s="133" t="s">
        <v>2009</v>
      </c>
      <c r="F124" s="133">
        <v>46002</v>
      </c>
      <c r="G124" s="134" t="s">
        <v>2010</v>
      </c>
      <c r="H124" s="134" t="s">
        <v>2011</v>
      </c>
      <c r="I124" s="135"/>
    </row>
    <row r="125" spans="2:9" x14ac:dyDescent="0.25">
      <c r="B125" s="136" t="s">
        <v>458</v>
      </c>
      <c r="C125" s="137" t="s">
        <v>459</v>
      </c>
      <c r="D125" s="138">
        <v>2000</v>
      </c>
      <c r="E125" s="139" t="s">
        <v>2009</v>
      </c>
      <c r="F125" s="139">
        <v>46002</v>
      </c>
      <c r="G125" s="140" t="s">
        <v>2010</v>
      </c>
      <c r="H125" s="140" t="s">
        <v>2012</v>
      </c>
      <c r="I125" s="141"/>
    </row>
    <row r="126" spans="2:9" x14ac:dyDescent="0.25">
      <c r="B126" s="129" t="s">
        <v>460</v>
      </c>
      <c r="C126" s="142" t="s">
        <v>461</v>
      </c>
      <c r="D126" s="131">
        <v>1500</v>
      </c>
      <c r="E126" s="133" t="s">
        <v>2009</v>
      </c>
      <c r="F126" s="133">
        <v>46002</v>
      </c>
      <c r="G126" s="134" t="s">
        <v>2010</v>
      </c>
      <c r="H126" s="134" t="s">
        <v>2013</v>
      </c>
      <c r="I126" s="135"/>
    </row>
    <row r="127" spans="2:9" x14ac:dyDescent="0.25">
      <c r="B127" s="136" t="s">
        <v>351</v>
      </c>
      <c r="C127" s="137" t="s">
        <v>352</v>
      </c>
      <c r="D127" s="138">
        <v>2800</v>
      </c>
      <c r="E127" s="139" t="s">
        <v>2009</v>
      </c>
      <c r="F127" s="139">
        <v>46002</v>
      </c>
      <c r="G127" s="140" t="s">
        <v>2010</v>
      </c>
      <c r="H127" s="140" t="s">
        <v>2011</v>
      </c>
      <c r="I127" s="141"/>
    </row>
    <row r="128" spans="2:9" x14ac:dyDescent="0.25">
      <c r="B128" s="129" t="s">
        <v>465</v>
      </c>
      <c r="C128" s="142" t="s">
        <v>1813</v>
      </c>
      <c r="D128" s="131">
        <v>600</v>
      </c>
      <c r="E128" s="133" t="s">
        <v>2009</v>
      </c>
      <c r="F128" s="133">
        <v>46002</v>
      </c>
      <c r="G128" s="134" t="s">
        <v>2010</v>
      </c>
      <c r="H128" s="134" t="s">
        <v>2012</v>
      </c>
      <c r="I128" s="135"/>
    </row>
    <row r="129" spans="2:9" x14ac:dyDescent="0.25">
      <c r="B129" s="136" t="s">
        <v>709</v>
      </c>
      <c r="C129" s="137" t="s">
        <v>710</v>
      </c>
      <c r="D129" s="138">
        <v>250</v>
      </c>
      <c r="E129" s="139" t="s">
        <v>2009</v>
      </c>
      <c r="F129" s="139">
        <v>46002</v>
      </c>
      <c r="G129" s="140" t="s">
        <v>2010</v>
      </c>
      <c r="H129" s="140" t="s">
        <v>2012</v>
      </c>
      <c r="I129" s="141"/>
    </row>
    <row r="130" spans="2:9" x14ac:dyDescent="0.25">
      <c r="B130" s="129" t="s">
        <v>522</v>
      </c>
      <c r="C130" s="142" t="s">
        <v>523</v>
      </c>
      <c r="D130" s="131">
        <v>1500</v>
      </c>
      <c r="E130" s="133" t="s">
        <v>2009</v>
      </c>
      <c r="F130" s="133">
        <v>46002</v>
      </c>
      <c r="G130" s="134" t="s">
        <v>2010</v>
      </c>
      <c r="H130" s="134" t="s">
        <v>2012</v>
      </c>
      <c r="I130" s="135"/>
    </row>
    <row r="131" spans="2:9" x14ac:dyDescent="0.25">
      <c r="B131" s="136" t="s">
        <v>94</v>
      </c>
      <c r="C131" s="137" t="s">
        <v>95</v>
      </c>
      <c r="D131" s="138">
        <v>2000</v>
      </c>
      <c r="E131" s="139" t="s">
        <v>2009</v>
      </c>
      <c r="F131" s="139">
        <v>46002</v>
      </c>
      <c r="G131" s="140" t="s">
        <v>2010</v>
      </c>
      <c r="H131" s="140" t="s">
        <v>2015</v>
      </c>
      <c r="I131" s="141"/>
    </row>
    <row r="132" spans="2:9" x14ac:dyDescent="0.25">
      <c r="B132" s="129" t="s">
        <v>469</v>
      </c>
      <c r="C132" s="142" t="s">
        <v>470</v>
      </c>
      <c r="D132" s="131">
        <v>2500</v>
      </c>
      <c r="E132" s="133" t="s">
        <v>2009</v>
      </c>
      <c r="F132" s="133">
        <v>46002</v>
      </c>
      <c r="G132" s="134" t="s">
        <v>2010</v>
      </c>
      <c r="H132" s="134" t="s">
        <v>2014</v>
      </c>
      <c r="I132" s="135"/>
    </row>
    <row r="133" spans="2:9" x14ac:dyDescent="0.25">
      <c r="B133" s="136" t="s">
        <v>472</v>
      </c>
      <c r="C133" s="137" t="s">
        <v>473</v>
      </c>
      <c r="D133" s="138">
        <v>3200</v>
      </c>
      <c r="E133" s="139" t="s">
        <v>2009</v>
      </c>
      <c r="F133" s="139">
        <v>46002</v>
      </c>
      <c r="G133" s="140" t="s">
        <v>2010</v>
      </c>
      <c r="H133" s="140" t="s">
        <v>2014</v>
      </c>
      <c r="I133" s="141"/>
    </row>
    <row r="134" spans="2:9" x14ac:dyDescent="0.25">
      <c r="B134" s="129" t="s">
        <v>474</v>
      </c>
      <c r="C134" s="142" t="s">
        <v>475</v>
      </c>
      <c r="D134" s="131">
        <v>1500</v>
      </c>
      <c r="E134" s="133" t="s">
        <v>2009</v>
      </c>
      <c r="F134" s="133">
        <v>46002</v>
      </c>
      <c r="G134" s="134" t="s">
        <v>2010</v>
      </c>
      <c r="H134" s="134" t="s">
        <v>2018</v>
      </c>
      <c r="I134" s="135"/>
    </row>
    <row r="135" spans="2:9" x14ac:dyDescent="0.25">
      <c r="B135" s="136" t="s">
        <v>477</v>
      </c>
      <c r="C135" s="137" t="s">
        <v>478</v>
      </c>
      <c r="D135" s="138">
        <v>5700</v>
      </c>
      <c r="E135" s="139" t="s">
        <v>2009</v>
      </c>
      <c r="F135" s="139">
        <v>46002</v>
      </c>
      <c r="G135" s="140" t="s">
        <v>2010</v>
      </c>
      <c r="H135" s="140" t="s">
        <v>2014</v>
      </c>
      <c r="I135" s="141"/>
    </row>
    <row r="136" spans="2:9" x14ac:dyDescent="0.25">
      <c r="B136" s="129" t="s">
        <v>480</v>
      </c>
      <c r="C136" s="142" t="s">
        <v>481</v>
      </c>
      <c r="D136" s="131">
        <v>120</v>
      </c>
      <c r="E136" s="133" t="s">
        <v>2009</v>
      </c>
      <c r="F136" s="133">
        <v>46002</v>
      </c>
      <c r="G136" s="134" t="s">
        <v>2010</v>
      </c>
      <c r="H136" s="134" t="s">
        <v>2011</v>
      </c>
      <c r="I136" s="135"/>
    </row>
    <row r="137" spans="2:9" x14ac:dyDescent="0.25">
      <c r="B137" s="136" t="s">
        <v>308</v>
      </c>
      <c r="C137" s="137" t="s">
        <v>309</v>
      </c>
      <c r="D137" s="138">
        <v>4000</v>
      </c>
      <c r="E137" s="139" t="s">
        <v>2009</v>
      </c>
      <c r="F137" s="139">
        <v>46002</v>
      </c>
      <c r="G137" s="140" t="s">
        <v>2010</v>
      </c>
      <c r="H137" s="140" t="s">
        <v>2014</v>
      </c>
      <c r="I137" s="141"/>
    </row>
    <row r="138" spans="2:9" x14ac:dyDescent="0.25">
      <c r="B138" s="129" t="s">
        <v>96</v>
      </c>
      <c r="C138" s="142" t="s">
        <v>97</v>
      </c>
      <c r="D138" s="131">
        <v>1000</v>
      </c>
      <c r="E138" s="133" t="s">
        <v>2009</v>
      </c>
      <c r="F138" s="133">
        <v>46002</v>
      </c>
      <c r="G138" s="134" t="s">
        <v>2010</v>
      </c>
      <c r="H138" s="134" t="s">
        <v>2015</v>
      </c>
      <c r="I138" s="135"/>
    </row>
    <row r="139" spans="2:9" x14ac:dyDescent="0.25">
      <c r="B139" s="136" t="s">
        <v>482</v>
      </c>
      <c r="C139" s="137" t="s">
        <v>483</v>
      </c>
      <c r="D139" s="138">
        <v>800</v>
      </c>
      <c r="E139" s="139" t="s">
        <v>2009</v>
      </c>
      <c r="F139" s="139">
        <v>46002</v>
      </c>
      <c r="G139" s="140" t="s">
        <v>2010</v>
      </c>
      <c r="H139" s="140" t="s">
        <v>2012</v>
      </c>
      <c r="I139" s="141"/>
    </row>
    <row r="140" spans="2:9" x14ac:dyDescent="0.25">
      <c r="B140" s="129" t="s">
        <v>484</v>
      </c>
      <c r="C140" s="142" t="s">
        <v>485</v>
      </c>
      <c r="D140" s="131">
        <v>100</v>
      </c>
      <c r="E140" s="133" t="s">
        <v>2009</v>
      </c>
      <c r="F140" s="133">
        <v>46002</v>
      </c>
      <c r="G140" s="134" t="s">
        <v>2010</v>
      </c>
      <c r="H140" s="134" t="s">
        <v>2017</v>
      </c>
      <c r="I140" s="135"/>
    </row>
    <row r="141" spans="2:9" x14ac:dyDescent="0.25">
      <c r="B141" s="136" t="s">
        <v>98</v>
      </c>
      <c r="C141" s="137" t="s">
        <v>99</v>
      </c>
      <c r="D141" s="138">
        <v>1000</v>
      </c>
      <c r="E141" s="139" t="s">
        <v>2009</v>
      </c>
      <c r="F141" s="139">
        <v>46002</v>
      </c>
      <c r="G141" s="140" t="s">
        <v>2010</v>
      </c>
      <c r="H141" s="140" t="s">
        <v>2020</v>
      </c>
      <c r="I141" s="141"/>
    </row>
    <row r="142" spans="2:9" x14ac:dyDescent="0.25">
      <c r="B142" s="129" t="s">
        <v>489</v>
      </c>
      <c r="C142" s="142" t="s">
        <v>490</v>
      </c>
      <c r="D142" s="131">
        <v>120</v>
      </c>
      <c r="E142" s="133" t="s">
        <v>2009</v>
      </c>
      <c r="F142" s="133">
        <v>46002</v>
      </c>
      <c r="G142" s="134" t="s">
        <v>2010</v>
      </c>
      <c r="H142" s="134" t="s">
        <v>2017</v>
      </c>
      <c r="I142" s="135"/>
    </row>
    <row r="143" spans="2:9" x14ac:dyDescent="0.25">
      <c r="B143" s="136" t="s">
        <v>491</v>
      </c>
      <c r="C143" s="137" t="s">
        <v>492</v>
      </c>
      <c r="D143" s="138">
        <v>800</v>
      </c>
      <c r="E143" s="139" t="s">
        <v>2009</v>
      </c>
      <c r="F143" s="139">
        <v>46002</v>
      </c>
      <c r="G143" s="140" t="s">
        <v>2010</v>
      </c>
      <c r="H143" s="140" t="s">
        <v>2012</v>
      </c>
      <c r="I143" s="141"/>
    </row>
    <row r="144" spans="2:9" x14ac:dyDescent="0.25">
      <c r="B144" s="129" t="s">
        <v>101</v>
      </c>
      <c r="C144" s="142" t="s">
        <v>102</v>
      </c>
      <c r="D144" s="131">
        <v>250</v>
      </c>
      <c r="E144" s="133" t="s">
        <v>2009</v>
      </c>
      <c r="F144" s="133">
        <v>46002</v>
      </c>
      <c r="G144" s="134" t="s">
        <v>2010</v>
      </c>
      <c r="H144" s="134" t="s">
        <v>2015</v>
      </c>
      <c r="I144" s="135"/>
    </row>
    <row r="145" spans="2:9" x14ac:dyDescent="0.25">
      <c r="B145" s="136" t="s">
        <v>493</v>
      </c>
      <c r="C145" s="137" t="s">
        <v>494</v>
      </c>
      <c r="D145" s="138">
        <v>500</v>
      </c>
      <c r="E145" s="139" t="s">
        <v>2009</v>
      </c>
      <c r="F145" s="139">
        <v>46002</v>
      </c>
      <c r="G145" s="140" t="s">
        <v>2010</v>
      </c>
      <c r="H145" s="140" t="s">
        <v>2016</v>
      </c>
      <c r="I145" s="141"/>
    </row>
    <row r="146" spans="2:9" x14ac:dyDescent="0.25">
      <c r="B146" s="129" t="s">
        <v>496</v>
      </c>
      <c r="C146" s="142" t="s">
        <v>1832</v>
      </c>
      <c r="D146" s="131">
        <v>500</v>
      </c>
      <c r="E146" s="133" t="s">
        <v>2009</v>
      </c>
      <c r="F146" s="133">
        <v>46002</v>
      </c>
      <c r="G146" s="134" t="s">
        <v>2010</v>
      </c>
      <c r="H146" s="134" t="s">
        <v>2013</v>
      </c>
      <c r="I146" s="135"/>
    </row>
    <row r="147" spans="2:9" x14ac:dyDescent="0.25">
      <c r="B147" s="136" t="s">
        <v>211</v>
      </c>
      <c r="C147" s="137" t="s">
        <v>212</v>
      </c>
      <c r="D147" s="138">
        <v>500</v>
      </c>
      <c r="E147" s="139" t="s">
        <v>2009</v>
      </c>
      <c r="F147" s="139">
        <v>46002</v>
      </c>
      <c r="G147" s="140" t="s">
        <v>2010</v>
      </c>
      <c r="H147" s="140" t="s">
        <v>2015</v>
      </c>
      <c r="I147" s="141"/>
    </row>
    <row r="148" spans="2:9" x14ac:dyDescent="0.25">
      <c r="B148" s="129" t="s">
        <v>104</v>
      </c>
      <c r="C148" s="142" t="s">
        <v>105</v>
      </c>
      <c r="D148" s="131">
        <v>2000</v>
      </c>
      <c r="E148" s="133" t="s">
        <v>2009</v>
      </c>
      <c r="F148" s="133">
        <v>46002</v>
      </c>
      <c r="G148" s="134" t="s">
        <v>2010</v>
      </c>
      <c r="H148" s="134" t="s">
        <v>2015</v>
      </c>
      <c r="I148" s="135"/>
    </row>
    <row r="149" spans="2:9" x14ac:dyDescent="0.25">
      <c r="B149" s="136" t="s">
        <v>107</v>
      </c>
      <c r="C149" s="137" t="s">
        <v>108</v>
      </c>
      <c r="D149" s="138">
        <v>1000</v>
      </c>
      <c r="E149" s="139" t="s">
        <v>2009</v>
      </c>
      <c r="F149" s="139">
        <v>46002</v>
      </c>
      <c r="G149" s="140" t="s">
        <v>2010</v>
      </c>
      <c r="H149" s="140" t="s">
        <v>2020</v>
      </c>
      <c r="I149" s="141"/>
    </row>
    <row r="150" spans="2:9" x14ac:dyDescent="0.25">
      <c r="B150" s="129" t="s">
        <v>502</v>
      </c>
      <c r="C150" s="142" t="s">
        <v>503</v>
      </c>
      <c r="D150" s="131">
        <v>800</v>
      </c>
      <c r="E150" s="133" t="s">
        <v>2009</v>
      </c>
      <c r="F150" s="133">
        <v>46002</v>
      </c>
      <c r="G150" s="134" t="s">
        <v>2010</v>
      </c>
      <c r="H150" s="134" t="s">
        <v>2012</v>
      </c>
      <c r="I150" s="135"/>
    </row>
    <row r="151" spans="2:9" x14ac:dyDescent="0.25">
      <c r="B151" s="136" t="s">
        <v>504</v>
      </c>
      <c r="C151" s="137" t="s">
        <v>505</v>
      </c>
      <c r="D151" s="138">
        <v>100</v>
      </c>
      <c r="E151" s="139" t="s">
        <v>2009</v>
      </c>
      <c r="F151" s="139">
        <v>46002</v>
      </c>
      <c r="G151" s="140" t="s">
        <v>2010</v>
      </c>
      <c r="H151" s="140" t="s">
        <v>2011</v>
      </c>
      <c r="I151" s="141"/>
    </row>
    <row r="152" spans="2:9" x14ac:dyDescent="0.25">
      <c r="B152" s="129" t="s">
        <v>506</v>
      </c>
      <c r="C152" s="142" t="s">
        <v>507</v>
      </c>
      <c r="D152" s="131">
        <v>1000</v>
      </c>
      <c r="E152" s="133" t="s">
        <v>2009</v>
      </c>
      <c r="F152" s="133">
        <v>46002</v>
      </c>
      <c r="G152" s="134" t="s">
        <v>2010</v>
      </c>
      <c r="H152" s="134" t="s">
        <v>2015</v>
      </c>
      <c r="I152" s="135"/>
    </row>
    <row r="153" spans="2:9" x14ac:dyDescent="0.25">
      <c r="B153" s="136" t="s">
        <v>509</v>
      </c>
      <c r="C153" s="137" t="s">
        <v>510</v>
      </c>
      <c r="D153" s="138">
        <v>500</v>
      </c>
      <c r="E153" s="139" t="s">
        <v>2009</v>
      </c>
      <c r="F153" s="139">
        <v>46002</v>
      </c>
      <c r="G153" s="140" t="s">
        <v>2010</v>
      </c>
      <c r="H153" s="140" t="s">
        <v>2016</v>
      </c>
      <c r="I153" s="141"/>
    </row>
    <row r="154" spans="2:9" x14ac:dyDescent="0.25">
      <c r="B154" s="129" t="s">
        <v>511</v>
      </c>
      <c r="C154" s="142" t="s">
        <v>512</v>
      </c>
      <c r="D154" s="131">
        <v>1200</v>
      </c>
      <c r="E154" s="133" t="s">
        <v>2009</v>
      </c>
      <c r="F154" s="133">
        <v>46002</v>
      </c>
      <c r="G154" s="134" t="s">
        <v>2010</v>
      </c>
      <c r="H154" s="134" t="s">
        <v>2012</v>
      </c>
      <c r="I154" s="135"/>
    </row>
    <row r="155" spans="2:9" x14ac:dyDescent="0.25">
      <c r="B155" s="136" t="s">
        <v>514</v>
      </c>
      <c r="C155" s="137" t="s">
        <v>515</v>
      </c>
      <c r="D155" s="138">
        <v>500</v>
      </c>
      <c r="E155" s="139" t="s">
        <v>2009</v>
      </c>
      <c r="F155" s="139">
        <v>46002</v>
      </c>
      <c r="G155" s="140" t="s">
        <v>2010</v>
      </c>
      <c r="H155" s="140" t="s">
        <v>2013</v>
      </c>
      <c r="I155" s="141"/>
    </row>
    <row r="156" spans="2:9" x14ac:dyDescent="0.25">
      <c r="B156" s="129" t="s">
        <v>285</v>
      </c>
      <c r="C156" s="142" t="s">
        <v>286</v>
      </c>
      <c r="D156" s="131">
        <v>500</v>
      </c>
      <c r="E156" s="133" t="s">
        <v>2009</v>
      </c>
      <c r="F156" s="133">
        <v>46002</v>
      </c>
      <c r="G156" s="134" t="s">
        <v>2010</v>
      </c>
      <c r="H156" s="134" t="s">
        <v>2016</v>
      </c>
      <c r="I156" s="135"/>
    </row>
    <row r="157" spans="2:9" x14ac:dyDescent="0.25">
      <c r="B157" s="136" t="s">
        <v>517</v>
      </c>
      <c r="C157" s="137" t="s">
        <v>518</v>
      </c>
      <c r="D157" s="138">
        <v>150</v>
      </c>
      <c r="E157" s="139" t="s">
        <v>2009</v>
      </c>
      <c r="F157" s="139">
        <v>46002</v>
      </c>
      <c r="G157" s="140" t="s">
        <v>2010</v>
      </c>
      <c r="H157" s="140" t="s">
        <v>2017</v>
      </c>
      <c r="I157" s="141"/>
    </row>
    <row r="158" spans="2:9" x14ac:dyDescent="0.25">
      <c r="B158" s="129" t="s">
        <v>113</v>
      </c>
      <c r="C158" s="142" t="s">
        <v>114</v>
      </c>
      <c r="D158" s="131">
        <v>1500</v>
      </c>
      <c r="E158" s="133" t="s">
        <v>2009</v>
      </c>
      <c r="F158" s="133">
        <v>46002</v>
      </c>
      <c r="G158" s="134" t="s">
        <v>2010</v>
      </c>
      <c r="H158" s="134" t="s">
        <v>2015</v>
      </c>
      <c r="I158" s="135"/>
    </row>
    <row r="159" spans="2:9" x14ac:dyDescent="0.25">
      <c r="B159" s="136" t="s">
        <v>519</v>
      </c>
      <c r="C159" s="137" t="s">
        <v>1848</v>
      </c>
      <c r="D159" s="138">
        <v>500</v>
      </c>
      <c r="E159" s="139" t="s">
        <v>2009</v>
      </c>
      <c r="F159" s="139">
        <v>46002</v>
      </c>
      <c r="G159" s="140" t="s">
        <v>2010</v>
      </c>
      <c r="H159" s="140" t="s">
        <v>2015</v>
      </c>
      <c r="I159" s="141"/>
    </row>
    <row r="160" spans="2:9" x14ac:dyDescent="0.25">
      <c r="B160" s="129" t="s">
        <v>520</v>
      </c>
      <c r="C160" s="142" t="s">
        <v>521</v>
      </c>
      <c r="D160" s="131">
        <v>800</v>
      </c>
      <c r="E160" s="133" t="s">
        <v>2009</v>
      </c>
      <c r="F160" s="133">
        <v>46002</v>
      </c>
      <c r="G160" s="134" t="s">
        <v>2010</v>
      </c>
      <c r="H160" s="134" t="s">
        <v>2012</v>
      </c>
      <c r="I160" s="135"/>
    </row>
    <row r="161" spans="2:9" x14ac:dyDescent="0.25">
      <c r="B161" s="136" t="s">
        <v>525</v>
      </c>
      <c r="C161" s="137" t="s">
        <v>526</v>
      </c>
      <c r="D161" s="138">
        <v>500</v>
      </c>
      <c r="E161" s="139" t="s">
        <v>2009</v>
      </c>
      <c r="F161" s="139">
        <v>46002</v>
      </c>
      <c r="G161" s="140" t="s">
        <v>2010</v>
      </c>
      <c r="H161" s="140" t="s">
        <v>2012</v>
      </c>
      <c r="I161" s="141"/>
    </row>
    <row r="162" spans="2:9" x14ac:dyDescent="0.25">
      <c r="B162" s="129" t="s">
        <v>527</v>
      </c>
      <c r="C162" s="142" t="s">
        <v>528</v>
      </c>
      <c r="D162" s="131">
        <v>800</v>
      </c>
      <c r="E162" s="133" t="s">
        <v>2009</v>
      </c>
      <c r="F162" s="133">
        <v>46002</v>
      </c>
      <c r="G162" s="134" t="s">
        <v>2010</v>
      </c>
      <c r="H162" s="134" t="s">
        <v>2012</v>
      </c>
      <c r="I162" s="135"/>
    </row>
    <row r="163" spans="2:9" x14ac:dyDescent="0.25">
      <c r="B163" s="136" t="s">
        <v>115</v>
      </c>
      <c r="C163" s="137" t="s">
        <v>116</v>
      </c>
      <c r="D163" s="138">
        <v>7000</v>
      </c>
      <c r="E163" s="139" t="s">
        <v>2009</v>
      </c>
      <c r="F163" s="139">
        <v>46002</v>
      </c>
      <c r="G163" s="140" t="s">
        <v>2010</v>
      </c>
      <c r="H163" s="140" t="s">
        <v>2016</v>
      </c>
      <c r="I163" s="141"/>
    </row>
    <row r="164" spans="2:9" x14ac:dyDescent="0.25">
      <c r="B164" s="129" t="s">
        <v>529</v>
      </c>
      <c r="C164" s="142" t="s">
        <v>530</v>
      </c>
      <c r="D164" s="131">
        <v>2800</v>
      </c>
      <c r="E164" s="133" t="s">
        <v>2009</v>
      </c>
      <c r="F164" s="133">
        <v>46002</v>
      </c>
      <c r="G164" s="134" t="s">
        <v>2010</v>
      </c>
      <c r="H164" s="134" t="s">
        <v>2011</v>
      </c>
      <c r="I164" s="135"/>
    </row>
    <row r="165" spans="2:9" x14ac:dyDescent="0.25">
      <c r="B165" s="136" t="s">
        <v>532</v>
      </c>
      <c r="C165" s="137" t="s">
        <v>533</v>
      </c>
      <c r="D165" s="138">
        <v>1700</v>
      </c>
      <c r="E165" s="139" t="s">
        <v>2009</v>
      </c>
      <c r="F165" s="139">
        <v>46002</v>
      </c>
      <c r="G165" s="140" t="s">
        <v>2010</v>
      </c>
      <c r="H165" s="140" t="s">
        <v>2014</v>
      </c>
      <c r="I165" s="141"/>
    </row>
    <row r="166" spans="2:9" x14ac:dyDescent="0.25">
      <c r="B166" s="129" t="s">
        <v>534</v>
      </c>
      <c r="C166" s="142" t="s">
        <v>535</v>
      </c>
      <c r="D166" s="131">
        <v>1200</v>
      </c>
      <c r="E166" s="133" t="s">
        <v>2009</v>
      </c>
      <c r="F166" s="133">
        <v>46002</v>
      </c>
      <c r="G166" s="134" t="s">
        <v>2010</v>
      </c>
      <c r="H166" s="134" t="s">
        <v>2014</v>
      </c>
      <c r="I166" s="135"/>
    </row>
    <row r="167" spans="2:9" x14ac:dyDescent="0.25">
      <c r="B167" s="136" t="s">
        <v>214</v>
      </c>
      <c r="C167" s="137" t="s">
        <v>215</v>
      </c>
      <c r="D167" s="138">
        <v>750</v>
      </c>
      <c r="E167" s="139" t="s">
        <v>2009</v>
      </c>
      <c r="F167" s="139">
        <v>46002</v>
      </c>
      <c r="G167" s="140" t="s">
        <v>2010</v>
      </c>
      <c r="H167" s="140" t="s">
        <v>2015</v>
      </c>
      <c r="I167" s="141"/>
    </row>
    <row r="168" spans="2:9" x14ac:dyDescent="0.25">
      <c r="B168" s="129" t="s">
        <v>539</v>
      </c>
      <c r="C168" s="142" t="s">
        <v>540</v>
      </c>
      <c r="D168" s="131">
        <v>240</v>
      </c>
      <c r="E168" s="133" t="s">
        <v>2009</v>
      </c>
      <c r="F168" s="133">
        <v>46002</v>
      </c>
      <c r="G168" s="134" t="s">
        <v>2010</v>
      </c>
      <c r="H168" s="134" t="s">
        <v>2012</v>
      </c>
      <c r="I168" s="135"/>
    </row>
    <row r="169" spans="2:9" x14ac:dyDescent="0.25">
      <c r="B169" s="136" t="s">
        <v>541</v>
      </c>
      <c r="C169" s="137" t="s">
        <v>542</v>
      </c>
      <c r="D169" s="138">
        <v>800</v>
      </c>
      <c r="E169" s="139" t="s">
        <v>2009</v>
      </c>
      <c r="F169" s="139">
        <v>46002</v>
      </c>
      <c r="G169" s="140" t="s">
        <v>2010</v>
      </c>
      <c r="H169" s="140" t="s">
        <v>2012</v>
      </c>
      <c r="I169" s="141"/>
    </row>
    <row r="170" spans="2:9" x14ac:dyDescent="0.25">
      <c r="B170" s="129" t="s">
        <v>543</v>
      </c>
      <c r="C170" s="142" t="s">
        <v>544</v>
      </c>
      <c r="D170" s="131">
        <v>800</v>
      </c>
      <c r="E170" s="133" t="s">
        <v>2009</v>
      </c>
      <c r="F170" s="133">
        <v>46002</v>
      </c>
      <c r="G170" s="134" t="s">
        <v>2010</v>
      </c>
      <c r="H170" s="134" t="s">
        <v>2012</v>
      </c>
      <c r="I170" s="135"/>
    </row>
    <row r="171" spans="2:9" x14ac:dyDescent="0.25">
      <c r="B171" s="136" t="s">
        <v>545</v>
      </c>
      <c r="C171" s="137" t="s">
        <v>546</v>
      </c>
      <c r="D171" s="138">
        <v>1000</v>
      </c>
      <c r="E171" s="139" t="s">
        <v>2009</v>
      </c>
      <c r="F171" s="139">
        <v>46002</v>
      </c>
      <c r="G171" s="140" t="s">
        <v>2010</v>
      </c>
      <c r="H171" s="140" t="s">
        <v>2018</v>
      </c>
      <c r="I171" s="141"/>
    </row>
    <row r="172" spans="2:9" x14ac:dyDescent="0.25">
      <c r="B172" s="129" t="s">
        <v>118</v>
      </c>
      <c r="C172" s="142" t="s">
        <v>119</v>
      </c>
      <c r="D172" s="131">
        <v>3000</v>
      </c>
      <c r="E172" s="133" t="s">
        <v>2009</v>
      </c>
      <c r="F172" s="133">
        <v>46002</v>
      </c>
      <c r="G172" s="134" t="s">
        <v>2010</v>
      </c>
      <c r="H172" s="134" t="s">
        <v>2013</v>
      </c>
      <c r="I172" s="135"/>
    </row>
    <row r="173" spans="2:9" x14ac:dyDescent="0.25">
      <c r="B173" s="136" t="s">
        <v>743</v>
      </c>
      <c r="C173" s="137" t="s">
        <v>744</v>
      </c>
      <c r="D173" s="138">
        <v>800</v>
      </c>
      <c r="E173" s="139" t="s">
        <v>2009</v>
      </c>
      <c r="F173" s="139">
        <v>46002</v>
      </c>
      <c r="G173" s="140" t="s">
        <v>2010</v>
      </c>
      <c r="H173" s="140" t="s">
        <v>2012</v>
      </c>
      <c r="I173" s="141"/>
    </row>
    <row r="174" spans="2:9" x14ac:dyDescent="0.25">
      <c r="B174" s="129" t="s">
        <v>549</v>
      </c>
      <c r="C174" s="142" t="s">
        <v>550</v>
      </c>
      <c r="D174" s="131">
        <v>1000</v>
      </c>
      <c r="E174" s="133" t="s">
        <v>2009</v>
      </c>
      <c r="F174" s="133">
        <v>46002</v>
      </c>
      <c r="G174" s="134" t="s">
        <v>2010</v>
      </c>
      <c r="H174" s="134" t="s">
        <v>2012</v>
      </c>
      <c r="I174" s="135"/>
    </row>
    <row r="175" spans="2:9" x14ac:dyDescent="0.25">
      <c r="B175" s="136" t="s">
        <v>551</v>
      </c>
      <c r="C175" s="137" t="s">
        <v>552</v>
      </c>
      <c r="D175" s="138">
        <v>100</v>
      </c>
      <c r="E175" s="139" t="s">
        <v>2009</v>
      </c>
      <c r="F175" s="139">
        <v>46002</v>
      </c>
      <c r="G175" s="140" t="s">
        <v>2010</v>
      </c>
      <c r="H175" s="140" t="s">
        <v>2017</v>
      </c>
      <c r="I175" s="141"/>
    </row>
    <row r="176" spans="2:9" x14ac:dyDescent="0.25">
      <c r="B176" s="129" t="s">
        <v>121</v>
      </c>
      <c r="C176" s="142" t="s">
        <v>122</v>
      </c>
      <c r="D176" s="131">
        <v>5000</v>
      </c>
      <c r="E176" s="133" t="s">
        <v>2009</v>
      </c>
      <c r="F176" s="133">
        <v>46002</v>
      </c>
      <c r="G176" s="134" t="s">
        <v>2010</v>
      </c>
      <c r="H176" s="134" t="s">
        <v>2016</v>
      </c>
      <c r="I176" s="135"/>
    </row>
    <row r="177" spans="2:9" x14ac:dyDescent="0.25">
      <c r="B177" s="136" t="s">
        <v>217</v>
      </c>
      <c r="C177" s="137" t="s">
        <v>218</v>
      </c>
      <c r="D177" s="138">
        <v>1750</v>
      </c>
      <c r="E177" s="139" t="s">
        <v>2009</v>
      </c>
      <c r="F177" s="139">
        <v>46002</v>
      </c>
      <c r="G177" s="140" t="s">
        <v>2010</v>
      </c>
      <c r="H177" s="140" t="s">
        <v>2015</v>
      </c>
      <c r="I177" s="141"/>
    </row>
    <row r="178" spans="2:9" x14ac:dyDescent="0.25">
      <c r="B178" s="129" t="s">
        <v>553</v>
      </c>
      <c r="C178" s="142" t="s">
        <v>554</v>
      </c>
      <c r="D178" s="131">
        <v>100</v>
      </c>
      <c r="E178" s="133" t="s">
        <v>2009</v>
      </c>
      <c r="F178" s="133">
        <v>46002</v>
      </c>
      <c r="G178" s="134" t="s">
        <v>2010</v>
      </c>
      <c r="H178" s="134" t="s">
        <v>2017</v>
      </c>
      <c r="I178" s="135"/>
    </row>
    <row r="179" spans="2:9" x14ac:dyDescent="0.25">
      <c r="B179" s="136" t="s">
        <v>500</v>
      </c>
      <c r="C179" s="137" t="s">
        <v>501</v>
      </c>
      <c r="D179" s="138">
        <v>500</v>
      </c>
      <c r="E179" s="139" t="s">
        <v>2009</v>
      </c>
      <c r="F179" s="139">
        <v>46002</v>
      </c>
      <c r="G179" s="140" t="s">
        <v>2010</v>
      </c>
      <c r="H179" s="140" t="s">
        <v>2011</v>
      </c>
      <c r="I179" s="141"/>
    </row>
    <row r="180" spans="2:9" x14ac:dyDescent="0.25">
      <c r="B180" s="129" t="s">
        <v>124</v>
      </c>
      <c r="C180" s="142" t="s">
        <v>125</v>
      </c>
      <c r="D180" s="131">
        <v>1500</v>
      </c>
      <c r="E180" s="133" t="s">
        <v>2009</v>
      </c>
      <c r="F180" s="133">
        <v>46002</v>
      </c>
      <c r="G180" s="134" t="s">
        <v>2010</v>
      </c>
      <c r="H180" s="134" t="s">
        <v>2015</v>
      </c>
      <c r="I180" s="135"/>
    </row>
    <row r="181" spans="2:9" x14ac:dyDescent="0.25">
      <c r="B181" s="136" t="s">
        <v>127</v>
      </c>
      <c r="C181" s="137" t="s">
        <v>128</v>
      </c>
      <c r="D181" s="138">
        <v>6000</v>
      </c>
      <c r="E181" s="139" t="s">
        <v>2009</v>
      </c>
      <c r="F181" s="139">
        <v>46002</v>
      </c>
      <c r="G181" s="140" t="s">
        <v>2010</v>
      </c>
      <c r="H181" s="140" t="s">
        <v>2013</v>
      </c>
      <c r="I181" s="141"/>
    </row>
    <row r="182" spans="2:9" x14ac:dyDescent="0.25">
      <c r="B182" s="129" t="s">
        <v>547</v>
      </c>
      <c r="C182" s="142" t="s">
        <v>548</v>
      </c>
      <c r="D182" s="131">
        <v>100</v>
      </c>
      <c r="E182" s="133" t="s">
        <v>2009</v>
      </c>
      <c r="F182" s="133">
        <v>46002</v>
      </c>
      <c r="G182" s="134" t="s">
        <v>2010</v>
      </c>
      <c r="H182" s="134" t="s">
        <v>2017</v>
      </c>
      <c r="I182" s="135"/>
    </row>
    <row r="183" spans="2:9" x14ac:dyDescent="0.25">
      <c r="B183" s="136" t="s">
        <v>813</v>
      </c>
      <c r="C183" s="137" t="s">
        <v>814</v>
      </c>
      <c r="D183" s="138">
        <v>1500</v>
      </c>
      <c r="E183" s="139" t="s">
        <v>2009</v>
      </c>
      <c r="F183" s="139">
        <v>46002</v>
      </c>
      <c r="G183" s="140" t="s">
        <v>2010</v>
      </c>
      <c r="H183" s="140" t="s">
        <v>2014</v>
      </c>
      <c r="I183" s="141"/>
    </row>
    <row r="184" spans="2:9" x14ac:dyDescent="0.25">
      <c r="B184" s="129" t="s">
        <v>557</v>
      </c>
      <c r="C184" s="142" t="s">
        <v>558</v>
      </c>
      <c r="D184" s="131">
        <v>1000</v>
      </c>
      <c r="E184" s="133" t="s">
        <v>2009</v>
      </c>
      <c r="F184" s="133">
        <v>46002</v>
      </c>
      <c r="G184" s="134" t="s">
        <v>2010</v>
      </c>
      <c r="H184" s="134" t="s">
        <v>2012</v>
      </c>
      <c r="I184" s="135"/>
    </row>
    <row r="185" spans="2:9" x14ac:dyDescent="0.25">
      <c r="B185" s="136" t="s">
        <v>559</v>
      </c>
      <c r="C185" s="137" t="s">
        <v>560</v>
      </c>
      <c r="D185" s="138">
        <v>50</v>
      </c>
      <c r="E185" s="139" t="s">
        <v>2009</v>
      </c>
      <c r="F185" s="139">
        <v>46002</v>
      </c>
      <c r="G185" s="140" t="s">
        <v>2010</v>
      </c>
      <c r="H185" s="140" t="s">
        <v>2017</v>
      </c>
      <c r="I185" s="141"/>
    </row>
    <row r="186" spans="2:9" x14ac:dyDescent="0.25">
      <c r="B186" s="129" t="s">
        <v>572</v>
      </c>
      <c r="C186" s="142" t="s">
        <v>573</v>
      </c>
      <c r="D186" s="131">
        <v>100</v>
      </c>
      <c r="E186" s="133" t="s">
        <v>2009</v>
      </c>
      <c r="F186" s="133">
        <v>46002</v>
      </c>
      <c r="G186" s="134" t="s">
        <v>2010</v>
      </c>
      <c r="H186" s="134" t="s">
        <v>2017</v>
      </c>
      <c r="I186" s="135"/>
    </row>
    <row r="187" spans="2:9" x14ac:dyDescent="0.25">
      <c r="B187" s="136" t="s">
        <v>563</v>
      </c>
      <c r="C187" s="137" t="s">
        <v>564</v>
      </c>
      <c r="D187" s="138">
        <v>900</v>
      </c>
      <c r="E187" s="139" t="s">
        <v>2009</v>
      </c>
      <c r="F187" s="139">
        <v>46002</v>
      </c>
      <c r="G187" s="140" t="s">
        <v>2010</v>
      </c>
      <c r="H187" s="140" t="s">
        <v>2011</v>
      </c>
      <c r="I187" s="141"/>
    </row>
    <row r="188" spans="2:9" x14ac:dyDescent="0.25">
      <c r="B188" s="129" t="s">
        <v>565</v>
      </c>
      <c r="C188" s="142" t="s">
        <v>566</v>
      </c>
      <c r="D188" s="131">
        <v>1000</v>
      </c>
      <c r="E188" s="133" t="s">
        <v>2009</v>
      </c>
      <c r="F188" s="133">
        <v>46002</v>
      </c>
      <c r="G188" s="134" t="s">
        <v>2010</v>
      </c>
      <c r="H188" s="134" t="s">
        <v>2015</v>
      </c>
      <c r="I188" s="135"/>
    </row>
    <row r="189" spans="2:9" x14ac:dyDescent="0.25">
      <c r="B189" s="136" t="s">
        <v>567</v>
      </c>
      <c r="C189" s="137" t="s">
        <v>568</v>
      </c>
      <c r="D189" s="138">
        <v>500</v>
      </c>
      <c r="E189" s="139" t="s">
        <v>2009</v>
      </c>
      <c r="F189" s="139">
        <v>46002</v>
      </c>
      <c r="G189" s="140" t="s">
        <v>2010</v>
      </c>
      <c r="H189" s="140" t="s">
        <v>2015</v>
      </c>
      <c r="I189" s="141"/>
    </row>
    <row r="190" spans="2:9" x14ac:dyDescent="0.25">
      <c r="B190" s="129" t="s">
        <v>456</v>
      </c>
      <c r="C190" s="142" t="s">
        <v>457</v>
      </c>
      <c r="D190" s="131">
        <v>350</v>
      </c>
      <c r="E190" s="133" t="s">
        <v>2009</v>
      </c>
      <c r="F190" s="133">
        <v>46002</v>
      </c>
      <c r="G190" s="134" t="s">
        <v>2010</v>
      </c>
      <c r="H190" s="134" t="s">
        <v>2012</v>
      </c>
      <c r="I190" s="135"/>
    </row>
    <row r="191" spans="2:9" x14ac:dyDescent="0.25">
      <c r="B191" s="136" t="s">
        <v>604</v>
      </c>
      <c r="C191" s="137" t="s">
        <v>605</v>
      </c>
      <c r="D191" s="138">
        <v>4520</v>
      </c>
      <c r="E191" s="139" t="s">
        <v>2009</v>
      </c>
      <c r="F191" s="139">
        <v>46002</v>
      </c>
      <c r="G191" s="140" t="s">
        <v>2010</v>
      </c>
      <c r="H191" s="140" t="s">
        <v>2014</v>
      </c>
      <c r="I191" s="141"/>
    </row>
    <row r="192" spans="2:9" x14ac:dyDescent="0.25">
      <c r="B192" s="129" t="s">
        <v>574</v>
      </c>
      <c r="C192" s="142" t="s">
        <v>575</v>
      </c>
      <c r="D192" s="131">
        <v>100</v>
      </c>
      <c r="E192" s="133" t="s">
        <v>2009</v>
      </c>
      <c r="F192" s="133">
        <v>46002</v>
      </c>
      <c r="G192" s="134" t="s">
        <v>2010</v>
      </c>
      <c r="H192" s="134" t="s">
        <v>2017</v>
      </c>
      <c r="I192" s="135"/>
    </row>
    <row r="193" spans="2:9" x14ac:dyDescent="0.25">
      <c r="B193" s="136" t="s">
        <v>576</v>
      </c>
      <c r="C193" s="137" t="s">
        <v>577</v>
      </c>
      <c r="D193" s="138">
        <v>800</v>
      </c>
      <c r="E193" s="139" t="s">
        <v>2009</v>
      </c>
      <c r="F193" s="139">
        <v>46002</v>
      </c>
      <c r="G193" s="140" t="s">
        <v>2010</v>
      </c>
      <c r="H193" s="140" t="s">
        <v>2012</v>
      </c>
      <c r="I193" s="141"/>
    </row>
    <row r="194" spans="2:9" x14ac:dyDescent="0.25">
      <c r="B194" s="129" t="s">
        <v>129</v>
      </c>
      <c r="C194" s="142" t="s">
        <v>130</v>
      </c>
      <c r="D194" s="131">
        <v>1000</v>
      </c>
      <c r="E194" s="133" t="s">
        <v>2009</v>
      </c>
      <c r="F194" s="133">
        <v>46002</v>
      </c>
      <c r="G194" s="134" t="s">
        <v>2010</v>
      </c>
      <c r="H194" s="134" t="s">
        <v>2016</v>
      </c>
      <c r="I194" s="135"/>
    </row>
    <row r="195" spans="2:9" x14ac:dyDescent="0.25">
      <c r="B195" s="136" t="s">
        <v>433</v>
      </c>
      <c r="C195" s="137" t="s">
        <v>434</v>
      </c>
      <c r="D195" s="138">
        <v>3500</v>
      </c>
      <c r="E195" s="139" t="s">
        <v>2009</v>
      </c>
      <c r="F195" s="139">
        <v>46002</v>
      </c>
      <c r="G195" s="140" t="s">
        <v>2010</v>
      </c>
      <c r="H195" s="140" t="s">
        <v>2012</v>
      </c>
      <c r="I195" s="141"/>
    </row>
    <row r="196" spans="2:9" x14ac:dyDescent="0.25">
      <c r="B196" s="129" t="s">
        <v>581</v>
      </c>
      <c r="C196" s="142" t="s">
        <v>582</v>
      </c>
      <c r="D196" s="131">
        <v>500</v>
      </c>
      <c r="E196" s="133" t="s">
        <v>2009</v>
      </c>
      <c r="F196" s="133">
        <v>46002</v>
      </c>
      <c r="G196" s="134" t="s">
        <v>2010</v>
      </c>
      <c r="H196" s="134" t="s">
        <v>2012</v>
      </c>
      <c r="I196" s="135"/>
    </row>
    <row r="197" spans="2:9" x14ac:dyDescent="0.25">
      <c r="B197" s="136" t="s">
        <v>583</v>
      </c>
      <c r="C197" s="137" t="s">
        <v>584</v>
      </c>
      <c r="D197" s="138">
        <v>100</v>
      </c>
      <c r="E197" s="139" t="s">
        <v>2009</v>
      </c>
      <c r="F197" s="139">
        <v>46002</v>
      </c>
      <c r="G197" s="140" t="s">
        <v>2010</v>
      </c>
      <c r="H197" s="140" t="s">
        <v>2017</v>
      </c>
      <c r="I197" s="141"/>
    </row>
    <row r="198" spans="2:9" x14ac:dyDescent="0.25">
      <c r="B198" s="129" t="s">
        <v>585</v>
      </c>
      <c r="C198" s="142" t="s">
        <v>586</v>
      </c>
      <c r="D198" s="131">
        <v>800</v>
      </c>
      <c r="E198" s="133" t="s">
        <v>2009</v>
      </c>
      <c r="F198" s="133">
        <v>46002</v>
      </c>
      <c r="G198" s="134" t="s">
        <v>2010</v>
      </c>
      <c r="H198" s="134" t="s">
        <v>2013</v>
      </c>
      <c r="I198" s="135"/>
    </row>
    <row r="199" spans="2:9" x14ac:dyDescent="0.25">
      <c r="B199" s="136" t="s">
        <v>587</v>
      </c>
      <c r="C199" s="137" t="s">
        <v>588</v>
      </c>
      <c r="D199" s="138">
        <v>700</v>
      </c>
      <c r="E199" s="139" t="s">
        <v>2009</v>
      </c>
      <c r="F199" s="139">
        <v>46002</v>
      </c>
      <c r="G199" s="140" t="s">
        <v>2010</v>
      </c>
      <c r="H199" s="140" t="s">
        <v>2016</v>
      </c>
      <c r="I199" s="141"/>
    </row>
    <row r="200" spans="2:9" x14ac:dyDescent="0.25">
      <c r="B200" s="129" t="s">
        <v>589</v>
      </c>
      <c r="C200" s="142" t="s">
        <v>590</v>
      </c>
      <c r="D200" s="131">
        <v>700</v>
      </c>
      <c r="E200" s="133" t="s">
        <v>2009</v>
      </c>
      <c r="F200" s="133">
        <v>46002</v>
      </c>
      <c r="G200" s="134" t="s">
        <v>2010</v>
      </c>
      <c r="H200" s="134" t="s">
        <v>2012</v>
      </c>
      <c r="I200" s="135"/>
    </row>
    <row r="201" spans="2:9" x14ac:dyDescent="0.25">
      <c r="B201" s="136" t="s">
        <v>131</v>
      </c>
      <c r="C201" s="137" t="s">
        <v>132</v>
      </c>
      <c r="D201" s="138">
        <v>4000</v>
      </c>
      <c r="E201" s="139" t="s">
        <v>2009</v>
      </c>
      <c r="F201" s="139">
        <v>46002</v>
      </c>
      <c r="G201" s="140" t="s">
        <v>2010</v>
      </c>
      <c r="H201" s="140" t="s">
        <v>2013</v>
      </c>
      <c r="I201" s="141"/>
    </row>
    <row r="202" spans="2:9" x14ac:dyDescent="0.25">
      <c r="B202" s="129" t="s">
        <v>281</v>
      </c>
      <c r="C202" s="142" t="s">
        <v>282</v>
      </c>
      <c r="D202" s="131">
        <v>500</v>
      </c>
      <c r="E202" s="133" t="s">
        <v>2009</v>
      </c>
      <c r="F202" s="133">
        <v>46002</v>
      </c>
      <c r="G202" s="134" t="s">
        <v>2010</v>
      </c>
      <c r="H202" s="134" t="s">
        <v>2018</v>
      </c>
      <c r="I202" s="135"/>
    </row>
    <row r="203" spans="2:9" x14ac:dyDescent="0.25">
      <c r="B203" s="136" t="s">
        <v>134</v>
      </c>
      <c r="C203" s="137" t="s">
        <v>135</v>
      </c>
      <c r="D203" s="138">
        <v>500</v>
      </c>
      <c r="E203" s="139" t="s">
        <v>2009</v>
      </c>
      <c r="F203" s="139">
        <v>46002</v>
      </c>
      <c r="G203" s="140" t="s">
        <v>2010</v>
      </c>
      <c r="H203" s="140" t="s">
        <v>2013</v>
      </c>
      <c r="I203" s="141"/>
    </row>
    <row r="204" spans="2:9" x14ac:dyDescent="0.25">
      <c r="B204" s="129" t="s">
        <v>596</v>
      </c>
      <c r="C204" s="142" t="s">
        <v>597</v>
      </c>
      <c r="D204" s="131">
        <v>1000</v>
      </c>
      <c r="E204" s="133" t="s">
        <v>2009</v>
      </c>
      <c r="F204" s="133">
        <v>46002</v>
      </c>
      <c r="G204" s="134" t="s">
        <v>2010</v>
      </c>
      <c r="H204" s="134" t="s">
        <v>2012</v>
      </c>
      <c r="I204" s="135"/>
    </row>
    <row r="205" spans="2:9" x14ac:dyDescent="0.25">
      <c r="B205" s="136" t="s">
        <v>822</v>
      </c>
      <c r="C205" s="137" t="s">
        <v>823</v>
      </c>
      <c r="D205" s="138">
        <v>1000</v>
      </c>
      <c r="E205" s="139" t="s">
        <v>2009</v>
      </c>
      <c r="F205" s="139">
        <v>46002</v>
      </c>
      <c r="G205" s="140" t="s">
        <v>2010</v>
      </c>
      <c r="H205" s="140" t="s">
        <v>2015</v>
      </c>
      <c r="I205" s="141"/>
    </row>
    <row r="206" spans="2:9" x14ac:dyDescent="0.25">
      <c r="B206" s="129" t="s">
        <v>220</v>
      </c>
      <c r="C206" s="142" t="s">
        <v>221</v>
      </c>
      <c r="D206" s="131">
        <v>1000</v>
      </c>
      <c r="E206" s="133" t="s">
        <v>2009</v>
      </c>
      <c r="F206" s="133">
        <v>46002</v>
      </c>
      <c r="G206" s="134" t="s">
        <v>2010</v>
      </c>
      <c r="H206" s="134" t="s">
        <v>2015</v>
      </c>
      <c r="I206" s="135"/>
    </row>
    <row r="207" spans="2:9" x14ac:dyDescent="0.25">
      <c r="B207" s="136" t="s">
        <v>136</v>
      </c>
      <c r="C207" s="137" t="s">
        <v>137</v>
      </c>
      <c r="D207" s="138">
        <v>1000</v>
      </c>
      <c r="E207" s="139" t="s">
        <v>2009</v>
      </c>
      <c r="F207" s="139">
        <v>46002</v>
      </c>
      <c r="G207" s="140" t="s">
        <v>2010</v>
      </c>
      <c r="H207" s="140" t="s">
        <v>2015</v>
      </c>
      <c r="I207" s="141"/>
    </row>
    <row r="208" spans="2:9" x14ac:dyDescent="0.25">
      <c r="B208" s="129" t="s">
        <v>600</v>
      </c>
      <c r="C208" s="142" t="s">
        <v>601</v>
      </c>
      <c r="D208" s="131">
        <v>800</v>
      </c>
      <c r="E208" s="133" t="s">
        <v>2009</v>
      </c>
      <c r="F208" s="133">
        <v>46002</v>
      </c>
      <c r="G208" s="134" t="s">
        <v>2010</v>
      </c>
      <c r="H208" s="134" t="s">
        <v>2012</v>
      </c>
      <c r="I208" s="135"/>
    </row>
    <row r="209" spans="2:9" x14ac:dyDescent="0.25">
      <c r="B209" s="136" t="s">
        <v>602</v>
      </c>
      <c r="C209" s="137" t="s">
        <v>603</v>
      </c>
      <c r="D209" s="138">
        <v>800</v>
      </c>
      <c r="E209" s="139" t="s">
        <v>2009</v>
      </c>
      <c r="F209" s="139">
        <v>46002</v>
      </c>
      <c r="G209" s="140" t="s">
        <v>2010</v>
      </c>
      <c r="H209" s="140" t="s">
        <v>2012</v>
      </c>
      <c r="I209" s="141"/>
    </row>
    <row r="210" spans="2:9" x14ac:dyDescent="0.25">
      <c r="B210" s="129" t="s">
        <v>428</v>
      </c>
      <c r="C210" s="142" t="s">
        <v>429</v>
      </c>
      <c r="D210" s="131">
        <v>120</v>
      </c>
      <c r="E210" s="133" t="s">
        <v>2009</v>
      </c>
      <c r="F210" s="133">
        <v>46002</v>
      </c>
      <c r="G210" s="134" t="s">
        <v>2010</v>
      </c>
      <c r="H210" s="134" t="s">
        <v>2017</v>
      </c>
      <c r="I210" s="135"/>
    </row>
    <row r="211" spans="2:9" x14ac:dyDescent="0.25">
      <c r="B211" s="136" t="s">
        <v>606</v>
      </c>
      <c r="C211" s="137" t="s">
        <v>607</v>
      </c>
      <c r="D211" s="138">
        <v>100</v>
      </c>
      <c r="E211" s="139" t="s">
        <v>2009</v>
      </c>
      <c r="F211" s="139">
        <v>46002</v>
      </c>
      <c r="G211" s="140" t="s">
        <v>2010</v>
      </c>
      <c r="H211" s="140" t="s">
        <v>2017</v>
      </c>
      <c r="I211" s="141"/>
    </row>
    <row r="212" spans="2:9" x14ac:dyDescent="0.25">
      <c r="B212" s="129" t="s">
        <v>815</v>
      </c>
      <c r="C212" s="142" t="s">
        <v>816</v>
      </c>
      <c r="D212" s="131">
        <v>6000</v>
      </c>
      <c r="E212" s="132" t="s">
        <v>2009</v>
      </c>
      <c r="F212" s="133">
        <v>46002</v>
      </c>
      <c r="G212" s="134" t="s">
        <v>2010</v>
      </c>
      <c r="H212" s="134" t="s">
        <v>2015</v>
      </c>
      <c r="I212" s="135"/>
    </row>
    <row r="213" spans="2:9" x14ac:dyDescent="0.25">
      <c r="B213" s="136" t="s">
        <v>608</v>
      </c>
      <c r="C213" s="137" t="s">
        <v>609</v>
      </c>
      <c r="D213" s="138">
        <v>1500</v>
      </c>
      <c r="E213" s="139" t="s">
        <v>2009</v>
      </c>
      <c r="F213" s="139">
        <v>46002</v>
      </c>
      <c r="G213" s="140" t="s">
        <v>2010</v>
      </c>
      <c r="H213" s="140" t="s">
        <v>2016</v>
      </c>
      <c r="I213" s="141"/>
    </row>
    <row r="214" spans="2:9" x14ac:dyDescent="0.25">
      <c r="B214" s="129" t="s">
        <v>138</v>
      </c>
      <c r="C214" s="142" t="s">
        <v>139</v>
      </c>
      <c r="D214" s="131">
        <v>3000</v>
      </c>
      <c r="E214" s="133" t="s">
        <v>2009</v>
      </c>
      <c r="F214" s="133">
        <v>46002</v>
      </c>
      <c r="G214" s="134" t="s">
        <v>2010</v>
      </c>
      <c r="H214" s="134" t="s">
        <v>2016</v>
      </c>
      <c r="I214" s="135"/>
    </row>
    <row r="215" spans="2:9" x14ac:dyDescent="0.25">
      <c r="B215" s="136" t="s">
        <v>611</v>
      </c>
      <c r="C215" s="137" t="s">
        <v>612</v>
      </c>
      <c r="D215" s="138">
        <v>100</v>
      </c>
      <c r="E215" s="139" t="s">
        <v>2009</v>
      </c>
      <c r="F215" s="139">
        <v>46002</v>
      </c>
      <c r="G215" s="140" t="s">
        <v>2010</v>
      </c>
      <c r="H215" s="140" t="s">
        <v>2017</v>
      </c>
      <c r="I215" s="141"/>
    </row>
    <row r="216" spans="2:9" x14ac:dyDescent="0.25">
      <c r="B216" s="129" t="s">
        <v>613</v>
      </c>
      <c r="C216" s="142" t="s">
        <v>614</v>
      </c>
      <c r="D216" s="131">
        <v>50</v>
      </c>
      <c r="E216" s="133" t="s">
        <v>2009</v>
      </c>
      <c r="F216" s="133">
        <v>46002</v>
      </c>
      <c r="G216" s="134" t="s">
        <v>2010</v>
      </c>
      <c r="H216" s="134" t="s">
        <v>2017</v>
      </c>
      <c r="I216" s="135"/>
    </row>
    <row r="217" spans="2:9" x14ac:dyDescent="0.25">
      <c r="B217" s="136" t="s">
        <v>615</v>
      </c>
      <c r="C217" s="137" t="s">
        <v>616</v>
      </c>
      <c r="D217" s="138">
        <v>4000</v>
      </c>
      <c r="E217" s="139" t="s">
        <v>2009</v>
      </c>
      <c r="F217" s="139">
        <v>46002</v>
      </c>
      <c r="G217" s="140" t="s">
        <v>2010</v>
      </c>
      <c r="H217" s="140" t="s">
        <v>2018</v>
      </c>
      <c r="I217" s="141"/>
    </row>
    <row r="218" spans="2:9" x14ac:dyDescent="0.25">
      <c r="B218" s="129" t="s">
        <v>617</v>
      </c>
      <c r="C218" s="142" t="s">
        <v>618</v>
      </c>
      <c r="D218" s="131">
        <v>6500</v>
      </c>
      <c r="E218" s="133" t="s">
        <v>2009</v>
      </c>
      <c r="F218" s="133">
        <v>46002</v>
      </c>
      <c r="G218" s="134" t="s">
        <v>2010</v>
      </c>
      <c r="H218" s="134" t="s">
        <v>2012</v>
      </c>
      <c r="I218" s="135"/>
    </row>
    <row r="219" spans="2:9" x14ac:dyDescent="0.25">
      <c r="B219" s="136" t="s">
        <v>619</v>
      </c>
      <c r="C219" s="137" t="s">
        <v>620</v>
      </c>
      <c r="D219" s="138">
        <v>150</v>
      </c>
      <c r="E219" s="139" t="s">
        <v>2009</v>
      </c>
      <c r="F219" s="139">
        <v>46002</v>
      </c>
      <c r="G219" s="140" t="s">
        <v>2010</v>
      </c>
      <c r="H219" s="140" t="s">
        <v>2017</v>
      </c>
      <c r="I219" s="141"/>
    </row>
    <row r="220" spans="2:9" x14ac:dyDescent="0.25">
      <c r="B220" s="129" t="s">
        <v>537</v>
      </c>
      <c r="C220" s="142" t="s">
        <v>538</v>
      </c>
      <c r="D220" s="131">
        <v>800</v>
      </c>
      <c r="E220" s="133" t="s">
        <v>2009</v>
      </c>
      <c r="F220" s="133">
        <v>46002</v>
      </c>
      <c r="G220" s="134" t="s">
        <v>2010</v>
      </c>
      <c r="H220" s="134" t="s">
        <v>2012</v>
      </c>
      <c r="I220" s="135"/>
    </row>
    <row r="221" spans="2:9" x14ac:dyDescent="0.25">
      <c r="B221" s="136" t="s">
        <v>140</v>
      </c>
      <c r="C221" s="137" t="s">
        <v>141</v>
      </c>
      <c r="D221" s="138">
        <v>1000</v>
      </c>
      <c r="E221" s="139" t="s">
        <v>2009</v>
      </c>
      <c r="F221" s="139">
        <v>46002</v>
      </c>
      <c r="G221" s="140" t="s">
        <v>2010</v>
      </c>
      <c r="H221" s="140" t="s">
        <v>2013</v>
      </c>
      <c r="I221" s="141"/>
    </row>
    <row r="222" spans="2:9" x14ac:dyDescent="0.25">
      <c r="B222" s="129" t="s">
        <v>624</v>
      </c>
      <c r="C222" s="142" t="s">
        <v>625</v>
      </c>
      <c r="D222" s="131">
        <v>800</v>
      </c>
      <c r="E222" s="133" t="s">
        <v>2009</v>
      </c>
      <c r="F222" s="133">
        <v>46002</v>
      </c>
      <c r="G222" s="134" t="s">
        <v>2010</v>
      </c>
      <c r="H222" s="134" t="s">
        <v>2014</v>
      </c>
      <c r="I222" s="135"/>
    </row>
    <row r="223" spans="2:9" x14ac:dyDescent="0.25">
      <c r="B223" s="136" t="s">
        <v>222</v>
      </c>
      <c r="C223" s="137" t="s">
        <v>223</v>
      </c>
      <c r="D223" s="138">
        <v>1500</v>
      </c>
      <c r="E223" s="139" t="s">
        <v>2009</v>
      </c>
      <c r="F223" s="139">
        <v>46002</v>
      </c>
      <c r="G223" s="140" t="s">
        <v>2010</v>
      </c>
      <c r="H223" s="140" t="s">
        <v>2015</v>
      </c>
      <c r="I223" s="141"/>
    </row>
    <row r="224" spans="2:9" x14ac:dyDescent="0.25">
      <c r="B224" s="129" t="s">
        <v>142</v>
      </c>
      <c r="C224" s="142" t="s">
        <v>143</v>
      </c>
      <c r="D224" s="131">
        <v>800</v>
      </c>
      <c r="E224" s="133" t="s">
        <v>2009</v>
      </c>
      <c r="F224" s="133">
        <v>46002</v>
      </c>
      <c r="G224" s="134" t="s">
        <v>2010</v>
      </c>
      <c r="H224" s="134" t="s">
        <v>2013</v>
      </c>
      <c r="I224" s="135"/>
    </row>
    <row r="225" spans="2:9" x14ac:dyDescent="0.25">
      <c r="B225" s="136" t="s">
        <v>626</v>
      </c>
      <c r="C225" s="137" t="s">
        <v>627</v>
      </c>
      <c r="D225" s="138">
        <v>1000</v>
      </c>
      <c r="E225" s="139" t="s">
        <v>2009</v>
      </c>
      <c r="F225" s="139">
        <v>46002</v>
      </c>
      <c r="G225" s="140" t="s">
        <v>2010</v>
      </c>
      <c r="H225" s="140" t="s">
        <v>2016</v>
      </c>
      <c r="I225" s="141"/>
    </row>
    <row r="226" spans="2:9" x14ac:dyDescent="0.25">
      <c r="B226" s="129" t="s">
        <v>144</v>
      </c>
      <c r="C226" s="142" t="s">
        <v>145</v>
      </c>
      <c r="D226" s="131">
        <v>2000</v>
      </c>
      <c r="E226" s="133" t="s">
        <v>2009</v>
      </c>
      <c r="F226" s="133">
        <v>46002</v>
      </c>
      <c r="G226" s="134" t="s">
        <v>2010</v>
      </c>
      <c r="H226" s="134" t="s">
        <v>2013</v>
      </c>
      <c r="I226" s="135"/>
    </row>
    <row r="227" spans="2:9" x14ac:dyDescent="0.25">
      <c r="B227" s="136" t="s">
        <v>147</v>
      </c>
      <c r="C227" s="137" t="s">
        <v>148</v>
      </c>
      <c r="D227" s="138">
        <v>500</v>
      </c>
      <c r="E227" s="139" t="s">
        <v>2009</v>
      </c>
      <c r="F227" s="139">
        <v>46002</v>
      </c>
      <c r="G227" s="140" t="s">
        <v>2010</v>
      </c>
      <c r="H227" s="140" t="s">
        <v>2013</v>
      </c>
      <c r="I227" s="141"/>
    </row>
    <row r="228" spans="2:9" x14ac:dyDescent="0.25">
      <c r="B228" s="129" t="s">
        <v>150</v>
      </c>
      <c r="C228" s="142" t="s">
        <v>151</v>
      </c>
      <c r="D228" s="131">
        <v>1000</v>
      </c>
      <c r="E228" s="133" t="s">
        <v>2009</v>
      </c>
      <c r="F228" s="133">
        <v>46002</v>
      </c>
      <c r="G228" s="134" t="s">
        <v>2010</v>
      </c>
      <c r="H228" s="134" t="s">
        <v>2016</v>
      </c>
      <c r="I228" s="135"/>
    </row>
    <row r="229" spans="2:9" x14ac:dyDescent="0.25">
      <c r="B229" s="136" t="s">
        <v>628</v>
      </c>
      <c r="C229" s="137" t="s">
        <v>629</v>
      </c>
      <c r="D229" s="138">
        <v>700</v>
      </c>
      <c r="E229" s="139" t="s">
        <v>2009</v>
      </c>
      <c r="F229" s="139">
        <v>46002</v>
      </c>
      <c r="G229" s="140" t="s">
        <v>2010</v>
      </c>
      <c r="H229" s="140" t="s">
        <v>2018</v>
      </c>
      <c r="I229" s="141"/>
    </row>
    <row r="230" spans="2:9" x14ac:dyDescent="0.25">
      <c r="B230" s="129" t="s">
        <v>631</v>
      </c>
      <c r="C230" s="142" t="s">
        <v>632</v>
      </c>
      <c r="D230" s="131">
        <v>250</v>
      </c>
      <c r="E230" s="133" t="s">
        <v>2009</v>
      </c>
      <c r="F230" s="133">
        <v>46002</v>
      </c>
      <c r="G230" s="134" t="s">
        <v>2010</v>
      </c>
      <c r="H230" s="134" t="s">
        <v>2012</v>
      </c>
      <c r="I230" s="135"/>
    </row>
    <row r="231" spans="2:9" x14ac:dyDescent="0.25">
      <c r="B231" s="136" t="s">
        <v>633</v>
      </c>
      <c r="C231" s="137" t="s">
        <v>634</v>
      </c>
      <c r="D231" s="138">
        <v>500</v>
      </c>
      <c r="E231" s="139" t="s">
        <v>2009</v>
      </c>
      <c r="F231" s="139">
        <v>46002</v>
      </c>
      <c r="G231" s="140" t="s">
        <v>2010</v>
      </c>
      <c r="H231" s="140" t="s">
        <v>2012</v>
      </c>
      <c r="I231" s="141"/>
    </row>
    <row r="232" spans="2:9" x14ac:dyDescent="0.25">
      <c r="B232" s="129" t="s">
        <v>825</v>
      </c>
      <c r="C232" s="142" t="s">
        <v>826</v>
      </c>
      <c r="D232" s="131">
        <v>5000</v>
      </c>
      <c r="E232" s="133" t="s">
        <v>2009</v>
      </c>
      <c r="F232" s="133">
        <v>46002</v>
      </c>
      <c r="G232" s="134" t="s">
        <v>2010</v>
      </c>
      <c r="H232" s="134" t="s">
        <v>2014</v>
      </c>
      <c r="I232" s="135"/>
    </row>
    <row r="233" spans="2:9" x14ac:dyDescent="0.25">
      <c r="B233" s="136" t="s">
        <v>152</v>
      </c>
      <c r="C233" s="137" t="s">
        <v>153</v>
      </c>
      <c r="D233" s="138">
        <v>2000</v>
      </c>
      <c r="E233" s="139" t="s">
        <v>2009</v>
      </c>
      <c r="F233" s="139">
        <v>46002</v>
      </c>
      <c r="G233" s="140" t="s">
        <v>2010</v>
      </c>
      <c r="H233" s="140" t="s">
        <v>2016</v>
      </c>
      <c r="I233" s="141"/>
    </row>
    <row r="234" spans="2:9" x14ac:dyDescent="0.25">
      <c r="B234" s="129" t="s">
        <v>638</v>
      </c>
      <c r="C234" s="142" t="s">
        <v>639</v>
      </c>
      <c r="D234" s="131">
        <v>50</v>
      </c>
      <c r="E234" s="133" t="s">
        <v>2009</v>
      </c>
      <c r="F234" s="133">
        <v>46002</v>
      </c>
      <c r="G234" s="134" t="s">
        <v>2010</v>
      </c>
      <c r="H234" s="134" t="s">
        <v>2017</v>
      </c>
      <c r="I234" s="135"/>
    </row>
    <row r="235" spans="2:9" x14ac:dyDescent="0.25">
      <c r="B235" s="136" t="s">
        <v>640</v>
      </c>
      <c r="C235" s="137" t="s">
        <v>641</v>
      </c>
      <c r="D235" s="138">
        <v>1000</v>
      </c>
      <c r="E235" s="139" t="s">
        <v>2009</v>
      </c>
      <c r="F235" s="139">
        <v>46002</v>
      </c>
      <c r="G235" s="140" t="s">
        <v>2010</v>
      </c>
      <c r="H235" s="140" t="s">
        <v>2012</v>
      </c>
      <c r="I235" s="141"/>
    </row>
    <row r="236" spans="2:9" x14ac:dyDescent="0.25">
      <c r="B236" s="129" t="s">
        <v>678</v>
      </c>
      <c r="C236" s="142" t="s">
        <v>679</v>
      </c>
      <c r="D236" s="131">
        <v>1840</v>
      </c>
      <c r="E236" s="133" t="s">
        <v>2009</v>
      </c>
      <c r="F236" s="133">
        <v>46002</v>
      </c>
      <c r="G236" s="134" t="s">
        <v>2010</v>
      </c>
      <c r="H236" s="134" t="s">
        <v>2012</v>
      </c>
      <c r="I236" s="135"/>
    </row>
    <row r="237" spans="2:9" x14ac:dyDescent="0.25">
      <c r="B237" s="136" t="s">
        <v>645</v>
      </c>
      <c r="C237" s="137" t="s">
        <v>646</v>
      </c>
      <c r="D237" s="138">
        <v>5000</v>
      </c>
      <c r="E237" s="139" t="s">
        <v>2009</v>
      </c>
      <c r="F237" s="139">
        <v>46002</v>
      </c>
      <c r="G237" s="140" t="s">
        <v>2010</v>
      </c>
      <c r="H237" s="140" t="s">
        <v>2014</v>
      </c>
      <c r="I237" s="141"/>
    </row>
    <row r="238" spans="2:9" x14ac:dyDescent="0.25">
      <c r="B238" s="129" t="s">
        <v>155</v>
      </c>
      <c r="C238" s="142" t="s">
        <v>156</v>
      </c>
      <c r="D238" s="131">
        <v>1000</v>
      </c>
      <c r="E238" s="133" t="s">
        <v>2009</v>
      </c>
      <c r="F238" s="133">
        <v>46002</v>
      </c>
      <c r="G238" s="134" t="s">
        <v>2010</v>
      </c>
      <c r="H238" s="134" t="s">
        <v>2016</v>
      </c>
      <c r="I238" s="135"/>
    </row>
    <row r="239" spans="2:9" x14ac:dyDescent="0.25">
      <c r="B239" s="136" t="s">
        <v>647</v>
      </c>
      <c r="C239" s="137" t="s">
        <v>648</v>
      </c>
      <c r="D239" s="138">
        <v>2000</v>
      </c>
      <c r="E239" s="139" t="s">
        <v>2009</v>
      </c>
      <c r="F239" s="139">
        <v>46002</v>
      </c>
      <c r="G239" s="140" t="s">
        <v>2010</v>
      </c>
      <c r="H239" s="140" t="s">
        <v>2012</v>
      </c>
      <c r="I239" s="141"/>
    </row>
    <row r="240" spans="2:9" x14ac:dyDescent="0.25">
      <c r="B240" s="129" t="s">
        <v>649</v>
      </c>
      <c r="C240" s="142" t="s">
        <v>650</v>
      </c>
      <c r="D240" s="131">
        <v>200</v>
      </c>
      <c r="E240" s="133" t="s">
        <v>2009</v>
      </c>
      <c r="F240" s="133">
        <v>46002</v>
      </c>
      <c r="G240" s="134" t="s">
        <v>2010</v>
      </c>
      <c r="H240" s="134" t="s">
        <v>2011</v>
      </c>
      <c r="I240" s="135"/>
    </row>
    <row r="241" spans="2:9" x14ac:dyDescent="0.25">
      <c r="B241" s="136" t="s">
        <v>652</v>
      </c>
      <c r="C241" s="137" t="s">
        <v>653</v>
      </c>
      <c r="D241" s="138">
        <v>200</v>
      </c>
      <c r="E241" s="139" t="s">
        <v>2009</v>
      </c>
      <c r="F241" s="139">
        <v>46002</v>
      </c>
      <c r="G241" s="140" t="s">
        <v>2010</v>
      </c>
      <c r="H241" s="140" t="s">
        <v>2011</v>
      </c>
      <c r="I241" s="141"/>
    </row>
    <row r="242" spans="2:9" x14ac:dyDescent="0.25">
      <c r="B242" s="129" t="s">
        <v>654</v>
      </c>
      <c r="C242" s="142" t="s">
        <v>655</v>
      </c>
      <c r="D242" s="131">
        <v>100</v>
      </c>
      <c r="E242" s="133" t="s">
        <v>2009</v>
      </c>
      <c r="F242" s="133">
        <v>46002</v>
      </c>
      <c r="G242" s="134" t="s">
        <v>2010</v>
      </c>
      <c r="H242" s="134" t="s">
        <v>2017</v>
      </c>
      <c r="I242" s="135"/>
    </row>
    <row r="243" spans="2:9" x14ac:dyDescent="0.25">
      <c r="B243" s="136" t="s">
        <v>157</v>
      </c>
      <c r="C243" s="137" t="s">
        <v>158</v>
      </c>
      <c r="D243" s="138">
        <v>3350</v>
      </c>
      <c r="E243" s="139" t="s">
        <v>2009</v>
      </c>
      <c r="F243" s="139">
        <v>46002</v>
      </c>
      <c r="G243" s="140" t="s">
        <v>2010</v>
      </c>
      <c r="H243" s="140" t="s">
        <v>2013</v>
      </c>
      <c r="I243" s="141"/>
    </row>
    <row r="244" spans="2:9" x14ac:dyDescent="0.25">
      <c r="B244" s="129" t="s">
        <v>656</v>
      </c>
      <c r="C244" s="142" t="s">
        <v>657</v>
      </c>
      <c r="D244" s="131">
        <v>120</v>
      </c>
      <c r="E244" s="133" t="s">
        <v>2009</v>
      </c>
      <c r="F244" s="133">
        <v>46002</v>
      </c>
      <c r="G244" s="134" t="s">
        <v>2010</v>
      </c>
      <c r="H244" s="134" t="s">
        <v>2017</v>
      </c>
      <c r="I244" s="135"/>
    </row>
    <row r="245" spans="2:9" x14ac:dyDescent="0.25">
      <c r="B245" s="136" t="s">
        <v>160</v>
      </c>
      <c r="C245" s="137" t="s">
        <v>161</v>
      </c>
      <c r="D245" s="138">
        <v>1000</v>
      </c>
      <c r="E245" s="139" t="s">
        <v>2009</v>
      </c>
      <c r="F245" s="139">
        <v>46002</v>
      </c>
      <c r="G245" s="140" t="s">
        <v>2010</v>
      </c>
      <c r="H245" s="140" t="s">
        <v>2016</v>
      </c>
      <c r="I245" s="141"/>
    </row>
    <row r="246" spans="2:9" x14ac:dyDescent="0.25">
      <c r="B246" s="129" t="s">
        <v>621</v>
      </c>
      <c r="C246" s="142" t="s">
        <v>622</v>
      </c>
      <c r="D246" s="131">
        <v>350</v>
      </c>
      <c r="E246" s="133" t="s">
        <v>2009</v>
      </c>
      <c r="F246" s="133">
        <v>46002</v>
      </c>
      <c r="G246" s="134" t="s">
        <v>2010</v>
      </c>
      <c r="H246" s="134" t="s">
        <v>2014</v>
      </c>
      <c r="I246" s="135"/>
    </row>
    <row r="247" spans="2:9" x14ac:dyDescent="0.25">
      <c r="B247" s="136" t="s">
        <v>326</v>
      </c>
      <c r="C247" s="137" t="s">
        <v>327</v>
      </c>
      <c r="D247" s="138">
        <v>1000</v>
      </c>
      <c r="E247" s="139" t="s">
        <v>2009</v>
      </c>
      <c r="F247" s="139">
        <v>46002</v>
      </c>
      <c r="G247" s="140" t="s">
        <v>2010</v>
      </c>
      <c r="H247" s="140" t="s">
        <v>2014</v>
      </c>
      <c r="I247" s="141"/>
    </row>
    <row r="248" spans="2:9" x14ac:dyDescent="0.25">
      <c r="B248" s="129" t="s">
        <v>162</v>
      </c>
      <c r="C248" s="142" t="s">
        <v>163</v>
      </c>
      <c r="D248" s="131">
        <v>300</v>
      </c>
      <c r="E248" s="133" t="s">
        <v>2009</v>
      </c>
      <c r="F248" s="133">
        <v>46002</v>
      </c>
      <c r="G248" s="134" t="s">
        <v>2010</v>
      </c>
      <c r="H248" s="134" t="s">
        <v>2016</v>
      </c>
      <c r="I248" s="135"/>
    </row>
    <row r="249" spans="2:9" x14ac:dyDescent="0.25">
      <c r="B249" s="136" t="s">
        <v>663</v>
      </c>
      <c r="C249" s="137" t="s">
        <v>664</v>
      </c>
      <c r="D249" s="138">
        <v>1000</v>
      </c>
      <c r="E249" s="139" t="s">
        <v>2009</v>
      </c>
      <c r="F249" s="139">
        <v>46002</v>
      </c>
      <c r="G249" s="140" t="s">
        <v>2010</v>
      </c>
      <c r="H249" s="140" t="s">
        <v>2012</v>
      </c>
      <c r="I249" s="141"/>
    </row>
    <row r="250" spans="2:9" x14ac:dyDescent="0.25">
      <c r="B250" s="129" t="s">
        <v>164</v>
      </c>
      <c r="C250" s="142" t="s">
        <v>165</v>
      </c>
      <c r="D250" s="131">
        <v>2000</v>
      </c>
      <c r="E250" s="133" t="s">
        <v>2009</v>
      </c>
      <c r="F250" s="133">
        <v>46002</v>
      </c>
      <c r="G250" s="134" t="s">
        <v>2010</v>
      </c>
      <c r="H250" s="134" t="s">
        <v>2016</v>
      </c>
      <c r="I250" s="135"/>
    </row>
    <row r="251" spans="2:9" x14ac:dyDescent="0.25">
      <c r="B251" s="136" t="s">
        <v>666</v>
      </c>
      <c r="C251" s="137" t="s">
        <v>667</v>
      </c>
      <c r="D251" s="138">
        <v>120</v>
      </c>
      <c r="E251" s="139" t="s">
        <v>2009</v>
      </c>
      <c r="F251" s="139">
        <v>46002</v>
      </c>
      <c r="G251" s="140" t="s">
        <v>2010</v>
      </c>
      <c r="H251" s="140" t="s">
        <v>2017</v>
      </c>
      <c r="I251" s="141"/>
    </row>
    <row r="252" spans="2:9" x14ac:dyDescent="0.25">
      <c r="B252" s="129" t="s">
        <v>668</v>
      </c>
      <c r="C252" s="142" t="s">
        <v>669</v>
      </c>
      <c r="D252" s="131">
        <v>50</v>
      </c>
      <c r="E252" s="133" t="s">
        <v>2009</v>
      </c>
      <c r="F252" s="133">
        <v>46002</v>
      </c>
      <c r="G252" s="134" t="s">
        <v>2010</v>
      </c>
      <c r="H252" s="134" t="s">
        <v>2017</v>
      </c>
      <c r="I252" s="135"/>
    </row>
    <row r="253" spans="2:9" x14ac:dyDescent="0.25">
      <c r="B253" s="136" t="s">
        <v>463</v>
      </c>
      <c r="C253" s="137" t="s">
        <v>464</v>
      </c>
      <c r="D253" s="138">
        <v>600</v>
      </c>
      <c r="E253" s="139" t="s">
        <v>2009</v>
      </c>
      <c r="F253" s="139">
        <v>46002</v>
      </c>
      <c r="G253" s="140" t="s">
        <v>2010</v>
      </c>
      <c r="H253" s="140" t="s">
        <v>2012</v>
      </c>
      <c r="I253" s="141"/>
    </row>
    <row r="254" spans="2:9" x14ac:dyDescent="0.25">
      <c r="B254" s="129" t="s">
        <v>670</v>
      </c>
      <c r="C254" s="142" t="s">
        <v>671</v>
      </c>
      <c r="D254" s="131">
        <v>800</v>
      </c>
      <c r="E254" s="133" t="s">
        <v>2009</v>
      </c>
      <c r="F254" s="133">
        <v>46002</v>
      </c>
      <c r="G254" s="134" t="s">
        <v>2010</v>
      </c>
      <c r="H254" s="134" t="s">
        <v>2012</v>
      </c>
      <c r="I254" s="135"/>
    </row>
    <row r="255" spans="2:9" x14ac:dyDescent="0.25">
      <c r="B255" s="136" t="s">
        <v>166</v>
      </c>
      <c r="C255" s="137" t="s">
        <v>167</v>
      </c>
      <c r="D255" s="138">
        <v>4000</v>
      </c>
      <c r="E255" s="139" t="s">
        <v>2009</v>
      </c>
      <c r="F255" s="139">
        <v>46002</v>
      </c>
      <c r="G255" s="140" t="s">
        <v>2010</v>
      </c>
      <c r="H255" s="140" t="s">
        <v>2013</v>
      </c>
      <c r="I255" s="141"/>
    </row>
    <row r="256" spans="2:9" x14ac:dyDescent="0.25">
      <c r="B256" s="129" t="s">
        <v>792</v>
      </c>
      <c r="C256" s="142" t="s">
        <v>793</v>
      </c>
      <c r="D256" s="131">
        <v>800</v>
      </c>
      <c r="E256" s="133" t="s">
        <v>2009</v>
      </c>
      <c r="F256" s="133">
        <v>46002</v>
      </c>
      <c r="G256" s="134" t="s">
        <v>2010</v>
      </c>
      <c r="H256" s="134" t="s">
        <v>2012</v>
      </c>
      <c r="I256" s="135"/>
    </row>
    <row r="257" spans="2:9" x14ac:dyDescent="0.25">
      <c r="B257" s="136" t="s">
        <v>675</v>
      </c>
      <c r="C257" s="137" t="s">
        <v>676</v>
      </c>
      <c r="D257" s="138">
        <v>1200</v>
      </c>
      <c r="E257" s="139" t="s">
        <v>2009</v>
      </c>
      <c r="F257" s="139">
        <v>46002</v>
      </c>
      <c r="G257" s="140" t="s">
        <v>2010</v>
      </c>
      <c r="H257" s="140" t="s">
        <v>2012</v>
      </c>
      <c r="I257" s="141"/>
    </row>
    <row r="258" spans="2:9" x14ac:dyDescent="0.25">
      <c r="B258" s="129" t="s">
        <v>701</v>
      </c>
      <c r="C258" s="142" t="s">
        <v>702</v>
      </c>
      <c r="D258" s="131">
        <v>1400</v>
      </c>
      <c r="E258" s="133" t="s">
        <v>2009</v>
      </c>
      <c r="F258" s="133">
        <v>46002</v>
      </c>
      <c r="G258" s="134" t="s">
        <v>2010</v>
      </c>
      <c r="H258" s="134" t="s">
        <v>2012</v>
      </c>
      <c r="I258" s="135"/>
    </row>
    <row r="259" spans="2:9" x14ac:dyDescent="0.25">
      <c r="B259" s="136" t="s">
        <v>681</v>
      </c>
      <c r="C259" s="137" t="s">
        <v>682</v>
      </c>
      <c r="D259" s="138">
        <v>2500</v>
      </c>
      <c r="E259" s="139" t="s">
        <v>2009</v>
      </c>
      <c r="F259" s="139">
        <v>46002</v>
      </c>
      <c r="G259" s="140" t="s">
        <v>2010</v>
      </c>
      <c r="H259" s="140" t="s">
        <v>2012</v>
      </c>
      <c r="I259" s="141"/>
    </row>
    <row r="260" spans="2:9" x14ac:dyDescent="0.25">
      <c r="B260" s="129" t="s">
        <v>747</v>
      </c>
      <c r="C260" s="142" t="s">
        <v>748</v>
      </c>
      <c r="D260" s="131">
        <v>1200</v>
      </c>
      <c r="E260" s="133" t="s">
        <v>2009</v>
      </c>
      <c r="F260" s="133">
        <v>46002</v>
      </c>
      <c r="G260" s="134" t="s">
        <v>2010</v>
      </c>
      <c r="H260" s="134" t="s">
        <v>2012</v>
      </c>
      <c r="I260" s="135"/>
    </row>
    <row r="261" spans="2:9" x14ac:dyDescent="0.25">
      <c r="B261" s="136" t="s">
        <v>168</v>
      </c>
      <c r="C261" s="137" t="s">
        <v>169</v>
      </c>
      <c r="D261" s="138">
        <v>750</v>
      </c>
      <c r="E261" s="139" t="s">
        <v>2009</v>
      </c>
      <c r="F261" s="139">
        <v>46002</v>
      </c>
      <c r="G261" s="140" t="s">
        <v>2010</v>
      </c>
      <c r="H261" s="140" t="s">
        <v>2016</v>
      </c>
      <c r="I261" s="141"/>
    </row>
    <row r="262" spans="2:9" x14ac:dyDescent="0.25">
      <c r="B262" s="129" t="s">
        <v>686</v>
      </c>
      <c r="C262" s="142" t="s">
        <v>687</v>
      </c>
      <c r="D262" s="131">
        <v>150</v>
      </c>
      <c r="E262" s="133" t="s">
        <v>2009</v>
      </c>
      <c r="F262" s="133">
        <v>46002</v>
      </c>
      <c r="G262" s="134" t="s">
        <v>2010</v>
      </c>
      <c r="H262" s="134" t="s">
        <v>2013</v>
      </c>
      <c r="I262" s="135"/>
    </row>
    <row r="263" spans="2:9" x14ac:dyDescent="0.25">
      <c r="B263" s="136" t="s">
        <v>689</v>
      </c>
      <c r="C263" s="137" t="s">
        <v>690</v>
      </c>
      <c r="D263" s="138">
        <v>3000</v>
      </c>
      <c r="E263" s="139" t="s">
        <v>2009</v>
      </c>
      <c r="F263" s="139">
        <v>46002</v>
      </c>
      <c r="G263" s="140" t="s">
        <v>2010</v>
      </c>
      <c r="H263" s="140" t="s">
        <v>2011</v>
      </c>
      <c r="I263" s="141"/>
    </row>
    <row r="264" spans="2:9" x14ac:dyDescent="0.25">
      <c r="B264" s="129" t="s">
        <v>693</v>
      </c>
      <c r="C264" s="142" t="s">
        <v>694</v>
      </c>
      <c r="D264" s="131">
        <v>100</v>
      </c>
      <c r="E264" s="133" t="s">
        <v>2009</v>
      </c>
      <c r="F264" s="133">
        <v>46002</v>
      </c>
      <c r="G264" s="134" t="s">
        <v>2010</v>
      </c>
      <c r="H264" s="134" t="s">
        <v>2017</v>
      </c>
      <c r="I264" s="135"/>
    </row>
    <row r="265" spans="2:9" x14ac:dyDescent="0.25">
      <c r="B265" s="136" t="s">
        <v>818</v>
      </c>
      <c r="C265" s="137" t="s">
        <v>819</v>
      </c>
      <c r="D265" s="138">
        <v>2000</v>
      </c>
      <c r="E265" s="139" t="s">
        <v>2009</v>
      </c>
      <c r="F265" s="139">
        <v>46002</v>
      </c>
      <c r="G265" s="140" t="s">
        <v>2010</v>
      </c>
      <c r="H265" s="140" t="s">
        <v>2015</v>
      </c>
      <c r="I265" s="141"/>
    </row>
    <row r="266" spans="2:9" x14ac:dyDescent="0.25">
      <c r="B266" s="129" t="s">
        <v>225</v>
      </c>
      <c r="C266" s="142" t="s">
        <v>226</v>
      </c>
      <c r="D266" s="131">
        <v>16000</v>
      </c>
      <c r="E266" s="133" t="s">
        <v>2009</v>
      </c>
      <c r="F266" s="133">
        <v>46002</v>
      </c>
      <c r="G266" s="134" t="s">
        <v>2010</v>
      </c>
      <c r="H266" s="134" t="s">
        <v>2015</v>
      </c>
      <c r="I266" s="135"/>
    </row>
    <row r="267" spans="2:9" x14ac:dyDescent="0.25">
      <c r="B267" s="136" t="s">
        <v>773</v>
      </c>
      <c r="C267" s="137" t="s">
        <v>774</v>
      </c>
      <c r="D267" s="138">
        <v>600</v>
      </c>
      <c r="E267" s="139" t="s">
        <v>2009</v>
      </c>
      <c r="F267" s="139">
        <v>46002</v>
      </c>
      <c r="G267" s="140" t="s">
        <v>2010</v>
      </c>
      <c r="H267" s="140" t="s">
        <v>2012</v>
      </c>
      <c r="I267" s="141"/>
    </row>
    <row r="268" spans="2:9" x14ac:dyDescent="0.25">
      <c r="B268" s="129" t="s">
        <v>695</v>
      </c>
      <c r="C268" s="142" t="s">
        <v>696</v>
      </c>
      <c r="D268" s="131">
        <v>800</v>
      </c>
      <c r="E268" s="133" t="s">
        <v>2009</v>
      </c>
      <c r="F268" s="133">
        <v>46002</v>
      </c>
      <c r="G268" s="134" t="s">
        <v>2010</v>
      </c>
      <c r="H268" s="134" t="s">
        <v>2012</v>
      </c>
      <c r="I268" s="135"/>
    </row>
    <row r="269" spans="2:9" x14ac:dyDescent="0.25">
      <c r="B269" s="136" t="s">
        <v>697</v>
      </c>
      <c r="C269" s="137" t="s">
        <v>698</v>
      </c>
      <c r="D269" s="138">
        <v>800</v>
      </c>
      <c r="E269" s="139" t="s">
        <v>2009</v>
      </c>
      <c r="F269" s="139">
        <v>46002</v>
      </c>
      <c r="G269" s="140" t="s">
        <v>2010</v>
      </c>
      <c r="H269" s="140" t="s">
        <v>2016</v>
      </c>
      <c r="I269" s="141"/>
    </row>
    <row r="270" spans="2:9" x14ac:dyDescent="0.25">
      <c r="B270" s="129" t="s">
        <v>699</v>
      </c>
      <c r="C270" s="142" t="s">
        <v>700</v>
      </c>
      <c r="D270" s="131">
        <v>3000</v>
      </c>
      <c r="E270" s="133" t="s">
        <v>2009</v>
      </c>
      <c r="F270" s="133">
        <v>46002</v>
      </c>
      <c r="G270" s="134" t="s">
        <v>2010</v>
      </c>
      <c r="H270" s="134" t="s">
        <v>2011</v>
      </c>
      <c r="I270" s="135"/>
    </row>
    <row r="271" spans="2:9" x14ac:dyDescent="0.25">
      <c r="B271" s="136" t="s">
        <v>170</v>
      </c>
      <c r="C271" s="137" t="s">
        <v>171</v>
      </c>
      <c r="D271" s="138">
        <v>1500</v>
      </c>
      <c r="E271" s="139" t="s">
        <v>2009</v>
      </c>
      <c r="F271" s="139">
        <v>46002</v>
      </c>
      <c r="G271" s="140" t="s">
        <v>2010</v>
      </c>
      <c r="H271" s="140" t="s">
        <v>2013</v>
      </c>
      <c r="I271" s="141"/>
    </row>
    <row r="272" spans="2:9" x14ac:dyDescent="0.25">
      <c r="B272" s="129" t="s">
        <v>396</v>
      </c>
      <c r="C272" s="142" t="s">
        <v>397</v>
      </c>
      <c r="D272" s="131">
        <v>640</v>
      </c>
      <c r="E272" s="133" t="s">
        <v>2009</v>
      </c>
      <c r="F272" s="133">
        <v>46002</v>
      </c>
      <c r="G272" s="134" t="s">
        <v>2010</v>
      </c>
      <c r="H272" s="134" t="s">
        <v>2014</v>
      </c>
      <c r="I272" s="135"/>
    </row>
    <row r="273" spans="2:9" x14ac:dyDescent="0.25">
      <c r="B273" s="136" t="s">
        <v>703</v>
      </c>
      <c r="C273" s="137" t="s">
        <v>704</v>
      </c>
      <c r="D273" s="138">
        <v>800</v>
      </c>
      <c r="E273" s="139" t="s">
        <v>2009</v>
      </c>
      <c r="F273" s="139">
        <v>46002</v>
      </c>
      <c r="G273" s="140" t="s">
        <v>2010</v>
      </c>
      <c r="H273" s="140" t="s">
        <v>2012</v>
      </c>
      <c r="I273" s="141"/>
    </row>
    <row r="274" spans="2:9" x14ac:dyDescent="0.25">
      <c r="B274" s="129" t="s">
        <v>705</v>
      </c>
      <c r="C274" s="142" t="s">
        <v>706</v>
      </c>
      <c r="D274" s="131">
        <v>800</v>
      </c>
      <c r="E274" s="133" t="s">
        <v>2009</v>
      </c>
      <c r="F274" s="133">
        <v>46002</v>
      </c>
      <c r="G274" s="134" t="s">
        <v>2010</v>
      </c>
      <c r="H274" s="134" t="s">
        <v>2016</v>
      </c>
      <c r="I274" s="135"/>
    </row>
    <row r="275" spans="2:9" x14ac:dyDescent="0.25">
      <c r="B275" s="136" t="s">
        <v>707</v>
      </c>
      <c r="C275" s="137" t="s">
        <v>708</v>
      </c>
      <c r="D275" s="138">
        <v>120</v>
      </c>
      <c r="E275" s="139" t="s">
        <v>2009</v>
      </c>
      <c r="F275" s="139">
        <v>46002</v>
      </c>
      <c r="G275" s="140" t="s">
        <v>2010</v>
      </c>
      <c r="H275" s="140" t="s">
        <v>2017</v>
      </c>
      <c r="I275" s="141"/>
    </row>
    <row r="276" spans="2:9" x14ac:dyDescent="0.25">
      <c r="B276" s="129" t="s">
        <v>173</v>
      </c>
      <c r="C276" s="142" t="s">
        <v>174</v>
      </c>
      <c r="D276" s="131">
        <v>1800</v>
      </c>
      <c r="E276" s="133" t="s">
        <v>2009</v>
      </c>
      <c r="F276" s="133">
        <v>46002</v>
      </c>
      <c r="G276" s="134" t="s">
        <v>2010</v>
      </c>
      <c r="H276" s="134" t="s">
        <v>2013</v>
      </c>
      <c r="I276" s="135"/>
    </row>
    <row r="277" spans="2:9" x14ac:dyDescent="0.25">
      <c r="B277" s="136" t="s">
        <v>497</v>
      </c>
      <c r="C277" s="137" t="s">
        <v>498</v>
      </c>
      <c r="D277" s="138">
        <v>3000</v>
      </c>
      <c r="E277" s="139" t="s">
        <v>2009</v>
      </c>
      <c r="F277" s="139">
        <v>46002</v>
      </c>
      <c r="G277" s="140" t="s">
        <v>2010</v>
      </c>
      <c r="H277" s="140" t="s">
        <v>2011</v>
      </c>
      <c r="I277" s="141"/>
    </row>
    <row r="278" spans="2:9" x14ac:dyDescent="0.25">
      <c r="B278" s="129" t="s">
        <v>713</v>
      </c>
      <c r="C278" s="142" t="s">
        <v>714</v>
      </c>
      <c r="D278" s="131">
        <v>700</v>
      </c>
      <c r="E278" s="133" t="s">
        <v>2009</v>
      </c>
      <c r="F278" s="133">
        <v>46002</v>
      </c>
      <c r="G278" s="134" t="s">
        <v>2010</v>
      </c>
      <c r="H278" s="134" t="s">
        <v>2012</v>
      </c>
      <c r="I278" s="135"/>
    </row>
    <row r="279" spans="2:9" x14ac:dyDescent="0.25">
      <c r="B279" s="136" t="s">
        <v>555</v>
      </c>
      <c r="C279" s="137" t="s">
        <v>556</v>
      </c>
      <c r="D279" s="138">
        <v>160</v>
      </c>
      <c r="E279" s="139" t="s">
        <v>2009</v>
      </c>
      <c r="F279" s="139">
        <v>46002</v>
      </c>
      <c r="G279" s="140" t="s">
        <v>2010</v>
      </c>
      <c r="H279" s="140" t="s">
        <v>2017</v>
      </c>
      <c r="I279" s="141"/>
    </row>
    <row r="280" spans="2:9" x14ac:dyDescent="0.25">
      <c r="B280" s="129" t="s">
        <v>718</v>
      </c>
      <c r="C280" s="142" t="s">
        <v>719</v>
      </c>
      <c r="D280" s="131">
        <v>120</v>
      </c>
      <c r="E280" s="133" t="s">
        <v>2009</v>
      </c>
      <c r="F280" s="133">
        <v>46002</v>
      </c>
      <c r="G280" s="134" t="s">
        <v>2010</v>
      </c>
      <c r="H280" s="134" t="s">
        <v>2017</v>
      </c>
      <c r="I280" s="135"/>
    </row>
    <row r="281" spans="2:9" x14ac:dyDescent="0.25">
      <c r="B281" s="136" t="s">
        <v>720</v>
      </c>
      <c r="C281" s="137" t="s">
        <v>721</v>
      </c>
      <c r="D281" s="138">
        <v>160</v>
      </c>
      <c r="E281" s="139" t="s">
        <v>2009</v>
      </c>
      <c r="F281" s="139">
        <v>46002</v>
      </c>
      <c r="G281" s="140" t="s">
        <v>2010</v>
      </c>
      <c r="H281" s="140" t="s">
        <v>2017</v>
      </c>
      <c r="I281" s="141"/>
    </row>
    <row r="282" spans="2:9" x14ac:dyDescent="0.25">
      <c r="B282" s="129" t="s">
        <v>722</v>
      </c>
      <c r="C282" s="142" t="s">
        <v>723</v>
      </c>
      <c r="D282" s="131">
        <v>1200</v>
      </c>
      <c r="E282" s="133" t="s">
        <v>2009</v>
      </c>
      <c r="F282" s="133">
        <v>46002</v>
      </c>
      <c r="G282" s="134" t="s">
        <v>2010</v>
      </c>
      <c r="H282" s="134" t="s">
        <v>2014</v>
      </c>
      <c r="I282" s="135"/>
    </row>
    <row r="283" spans="2:9" x14ac:dyDescent="0.25">
      <c r="B283" s="136" t="s">
        <v>724</v>
      </c>
      <c r="C283" s="137" t="s">
        <v>725</v>
      </c>
      <c r="D283" s="138">
        <v>700</v>
      </c>
      <c r="E283" s="139" t="s">
        <v>2009</v>
      </c>
      <c r="F283" s="139">
        <v>46002</v>
      </c>
      <c r="G283" s="140" t="s">
        <v>2010</v>
      </c>
      <c r="H283" s="140" t="s">
        <v>2015</v>
      </c>
      <c r="I283" s="141"/>
    </row>
    <row r="284" spans="2:9" x14ac:dyDescent="0.25">
      <c r="B284" s="129" t="s">
        <v>726</v>
      </c>
      <c r="C284" s="142" t="s">
        <v>727</v>
      </c>
      <c r="D284" s="131">
        <v>800</v>
      </c>
      <c r="E284" s="133" t="s">
        <v>2009</v>
      </c>
      <c r="F284" s="133">
        <v>46002</v>
      </c>
      <c r="G284" s="134" t="s">
        <v>2010</v>
      </c>
      <c r="H284" s="134" t="s">
        <v>2012</v>
      </c>
      <c r="I284" s="135"/>
    </row>
    <row r="285" spans="2:9" x14ac:dyDescent="0.25">
      <c r="B285" s="136" t="s">
        <v>591</v>
      </c>
      <c r="C285" s="137" t="s">
        <v>592</v>
      </c>
      <c r="D285" s="138">
        <v>50</v>
      </c>
      <c r="E285" s="139" t="s">
        <v>2009</v>
      </c>
      <c r="F285" s="139">
        <v>46002</v>
      </c>
      <c r="G285" s="140" t="s">
        <v>2010</v>
      </c>
      <c r="H285" s="140" t="s">
        <v>2017</v>
      </c>
      <c r="I285" s="141"/>
    </row>
    <row r="286" spans="2:9" x14ac:dyDescent="0.25">
      <c r="B286" s="129" t="s">
        <v>730</v>
      </c>
      <c r="C286" s="142" t="s">
        <v>731</v>
      </c>
      <c r="D286" s="131">
        <v>200</v>
      </c>
      <c r="E286" s="133" t="s">
        <v>2009</v>
      </c>
      <c r="F286" s="133">
        <v>46002</v>
      </c>
      <c r="G286" s="134" t="s">
        <v>2010</v>
      </c>
      <c r="H286" s="134" t="s">
        <v>2011</v>
      </c>
      <c r="I286" s="135"/>
    </row>
    <row r="287" spans="2:9" x14ac:dyDescent="0.25">
      <c r="B287" s="136" t="s">
        <v>733</v>
      </c>
      <c r="C287" s="137" t="s">
        <v>734</v>
      </c>
      <c r="D287" s="138">
        <v>1500</v>
      </c>
      <c r="E287" s="139" t="s">
        <v>2009</v>
      </c>
      <c r="F287" s="139">
        <v>46002</v>
      </c>
      <c r="G287" s="140" t="s">
        <v>2010</v>
      </c>
      <c r="H287" s="140" t="s">
        <v>2012</v>
      </c>
      <c r="I287" s="141"/>
    </row>
    <row r="288" spans="2:9" x14ac:dyDescent="0.25">
      <c r="B288" s="129" t="s">
        <v>715</v>
      </c>
      <c r="C288" s="142" t="s">
        <v>716</v>
      </c>
      <c r="D288" s="131">
        <v>500</v>
      </c>
      <c r="E288" s="133" t="s">
        <v>2009</v>
      </c>
      <c r="F288" s="133">
        <v>46002</v>
      </c>
      <c r="G288" s="134" t="s">
        <v>2010</v>
      </c>
      <c r="H288" s="134" t="s">
        <v>2012</v>
      </c>
      <c r="I288" s="135"/>
    </row>
    <row r="289" spans="2:9" x14ac:dyDescent="0.25">
      <c r="B289" s="136" t="s">
        <v>738</v>
      </c>
      <c r="C289" s="137" t="s">
        <v>739</v>
      </c>
      <c r="D289" s="138">
        <v>2000</v>
      </c>
      <c r="E289" s="139" t="s">
        <v>2009</v>
      </c>
      <c r="F289" s="139">
        <v>46002</v>
      </c>
      <c r="G289" s="140" t="s">
        <v>2010</v>
      </c>
      <c r="H289" s="140" t="s">
        <v>2018</v>
      </c>
      <c r="I289" s="141"/>
    </row>
    <row r="290" spans="2:9" x14ac:dyDescent="0.25">
      <c r="B290" s="129" t="s">
        <v>741</v>
      </c>
      <c r="C290" s="142" t="s">
        <v>742</v>
      </c>
      <c r="D290" s="131">
        <v>2800</v>
      </c>
      <c r="E290" s="133" t="s">
        <v>2009</v>
      </c>
      <c r="F290" s="133">
        <v>46002</v>
      </c>
      <c r="G290" s="134" t="s">
        <v>2010</v>
      </c>
      <c r="H290" s="134" t="s">
        <v>2011</v>
      </c>
      <c r="I290" s="135"/>
    </row>
    <row r="291" spans="2:9" x14ac:dyDescent="0.25">
      <c r="B291" s="136" t="s">
        <v>378</v>
      </c>
      <c r="C291" s="137" t="s">
        <v>379</v>
      </c>
      <c r="D291" s="138">
        <v>800</v>
      </c>
      <c r="E291" s="139" t="s">
        <v>2009</v>
      </c>
      <c r="F291" s="139">
        <v>46002</v>
      </c>
      <c r="G291" s="140" t="s">
        <v>2010</v>
      </c>
      <c r="H291" s="140" t="s">
        <v>2011</v>
      </c>
      <c r="I291" s="141"/>
    </row>
    <row r="292" spans="2:9" x14ac:dyDescent="0.25">
      <c r="B292" s="129" t="s">
        <v>175</v>
      </c>
      <c r="C292" s="142" t="s">
        <v>176</v>
      </c>
      <c r="D292" s="131">
        <v>500</v>
      </c>
      <c r="E292" s="133" t="s">
        <v>2009</v>
      </c>
      <c r="F292" s="133">
        <v>46002</v>
      </c>
      <c r="G292" s="134" t="s">
        <v>2010</v>
      </c>
      <c r="H292" s="134" t="s">
        <v>2016</v>
      </c>
      <c r="I292" s="135"/>
    </row>
    <row r="293" spans="2:9" x14ac:dyDescent="0.25">
      <c r="B293" s="136" t="s">
        <v>177</v>
      </c>
      <c r="C293" s="137" t="s">
        <v>178</v>
      </c>
      <c r="D293" s="138">
        <v>4000</v>
      </c>
      <c r="E293" s="139" t="s">
        <v>2009</v>
      </c>
      <c r="F293" s="139">
        <v>46002</v>
      </c>
      <c r="G293" s="140" t="s">
        <v>2010</v>
      </c>
      <c r="H293" s="140" t="s">
        <v>2013</v>
      </c>
      <c r="I293" s="141"/>
    </row>
    <row r="294" spans="2:9" x14ac:dyDescent="0.25">
      <c r="B294" s="129" t="s">
        <v>745</v>
      </c>
      <c r="C294" s="142" t="s">
        <v>746</v>
      </c>
      <c r="D294" s="131">
        <v>1000</v>
      </c>
      <c r="E294" s="133" t="s">
        <v>2009</v>
      </c>
      <c r="F294" s="133">
        <v>46002</v>
      </c>
      <c r="G294" s="134" t="s">
        <v>2010</v>
      </c>
      <c r="H294" s="134" t="s">
        <v>2013</v>
      </c>
      <c r="I294" s="135"/>
    </row>
    <row r="295" spans="2:9" x14ac:dyDescent="0.25">
      <c r="B295" s="136" t="s">
        <v>390</v>
      </c>
      <c r="C295" s="137" t="s">
        <v>391</v>
      </c>
      <c r="D295" s="138">
        <v>200</v>
      </c>
      <c r="E295" s="139" t="s">
        <v>2009</v>
      </c>
      <c r="F295" s="139">
        <v>46002</v>
      </c>
      <c r="G295" s="140" t="s">
        <v>2010</v>
      </c>
      <c r="H295" s="140" t="s">
        <v>2011</v>
      </c>
      <c r="I295" s="141"/>
    </row>
    <row r="296" spans="2:9" x14ac:dyDescent="0.25">
      <c r="B296" s="129" t="s">
        <v>749</v>
      </c>
      <c r="C296" s="142" t="s">
        <v>750</v>
      </c>
      <c r="D296" s="131">
        <v>4240</v>
      </c>
      <c r="E296" s="133" t="s">
        <v>2009</v>
      </c>
      <c r="F296" s="133">
        <v>46002</v>
      </c>
      <c r="G296" s="134" t="s">
        <v>2010</v>
      </c>
      <c r="H296" s="134" t="s">
        <v>2012</v>
      </c>
      <c r="I296" s="135"/>
    </row>
    <row r="297" spans="2:9" x14ac:dyDescent="0.25">
      <c r="B297" s="136" t="s">
        <v>751</v>
      </c>
      <c r="C297" s="137" t="s">
        <v>752</v>
      </c>
      <c r="D297" s="138">
        <v>4000</v>
      </c>
      <c r="E297" s="139" t="s">
        <v>2009</v>
      </c>
      <c r="F297" s="139">
        <v>46002</v>
      </c>
      <c r="G297" s="140" t="s">
        <v>2010</v>
      </c>
      <c r="H297" s="140" t="s">
        <v>2013</v>
      </c>
      <c r="I297" s="141"/>
    </row>
    <row r="298" spans="2:9" x14ac:dyDescent="0.25">
      <c r="B298" s="129" t="s">
        <v>753</v>
      </c>
      <c r="C298" s="142" t="s">
        <v>754</v>
      </c>
      <c r="D298" s="131">
        <v>500</v>
      </c>
      <c r="E298" s="133" t="s">
        <v>2009</v>
      </c>
      <c r="F298" s="133">
        <v>46002</v>
      </c>
      <c r="G298" s="134" t="s">
        <v>2010</v>
      </c>
      <c r="H298" s="134" t="s">
        <v>2015</v>
      </c>
      <c r="I298" s="135"/>
    </row>
    <row r="299" spans="2:9" x14ac:dyDescent="0.25">
      <c r="B299" s="136" t="s">
        <v>179</v>
      </c>
      <c r="C299" s="137" t="s">
        <v>180</v>
      </c>
      <c r="D299" s="138">
        <v>1500</v>
      </c>
      <c r="E299" s="139" t="s">
        <v>2009</v>
      </c>
      <c r="F299" s="139">
        <v>46002</v>
      </c>
      <c r="G299" s="140" t="s">
        <v>2010</v>
      </c>
      <c r="H299" s="140" t="s">
        <v>2013</v>
      </c>
      <c r="I299" s="141"/>
    </row>
    <row r="300" spans="2:9" x14ac:dyDescent="0.25">
      <c r="B300" s="129" t="s">
        <v>182</v>
      </c>
      <c r="C300" s="142" t="s">
        <v>183</v>
      </c>
      <c r="D300" s="131">
        <v>5750</v>
      </c>
      <c r="E300" s="133" t="s">
        <v>2009</v>
      </c>
      <c r="F300" s="133">
        <v>46002</v>
      </c>
      <c r="G300" s="134" t="s">
        <v>2010</v>
      </c>
      <c r="H300" s="134" t="s">
        <v>2013</v>
      </c>
      <c r="I300" s="135"/>
    </row>
    <row r="301" spans="2:9" x14ac:dyDescent="0.25">
      <c r="B301" s="136" t="s">
        <v>755</v>
      </c>
      <c r="C301" s="137" t="s">
        <v>756</v>
      </c>
      <c r="D301" s="138">
        <v>120</v>
      </c>
      <c r="E301" s="139" t="s">
        <v>2009</v>
      </c>
      <c r="F301" s="139">
        <v>46002</v>
      </c>
      <c r="G301" s="140" t="s">
        <v>2010</v>
      </c>
      <c r="H301" s="140" t="s">
        <v>2017</v>
      </c>
      <c r="I301" s="141"/>
    </row>
    <row r="302" spans="2:9" x14ac:dyDescent="0.25">
      <c r="B302" s="129" t="s">
        <v>757</v>
      </c>
      <c r="C302" s="142" t="s">
        <v>758</v>
      </c>
      <c r="D302" s="131">
        <v>800</v>
      </c>
      <c r="E302" s="133" t="s">
        <v>2009</v>
      </c>
      <c r="F302" s="133">
        <v>46002</v>
      </c>
      <c r="G302" s="134" t="s">
        <v>2010</v>
      </c>
      <c r="H302" s="134" t="s">
        <v>2012</v>
      </c>
      <c r="I302" s="135"/>
    </row>
    <row r="303" spans="2:9" x14ac:dyDescent="0.25">
      <c r="B303" s="136" t="s">
        <v>759</v>
      </c>
      <c r="C303" s="137" t="s">
        <v>760</v>
      </c>
      <c r="D303" s="138">
        <v>500</v>
      </c>
      <c r="E303" s="139" t="s">
        <v>2009</v>
      </c>
      <c r="F303" s="139">
        <v>46002</v>
      </c>
      <c r="G303" s="140" t="s">
        <v>2010</v>
      </c>
      <c r="H303" s="140" t="s">
        <v>2012</v>
      </c>
      <c r="I303" s="141"/>
    </row>
    <row r="304" spans="2:9" x14ac:dyDescent="0.25">
      <c r="B304" s="129" t="s">
        <v>762</v>
      </c>
      <c r="C304" s="142" t="s">
        <v>763</v>
      </c>
      <c r="D304" s="131">
        <v>120</v>
      </c>
      <c r="E304" s="133" t="s">
        <v>2009</v>
      </c>
      <c r="F304" s="133">
        <v>46002</v>
      </c>
      <c r="G304" s="134" t="s">
        <v>2010</v>
      </c>
      <c r="H304" s="134" t="s">
        <v>2017</v>
      </c>
      <c r="I304" s="135"/>
    </row>
    <row r="305" spans="2:9" x14ac:dyDescent="0.25">
      <c r="B305" s="136" t="s">
        <v>820</v>
      </c>
      <c r="C305" s="137" t="s">
        <v>821</v>
      </c>
      <c r="D305" s="138">
        <v>2000</v>
      </c>
      <c r="E305" s="139" t="s">
        <v>2009</v>
      </c>
      <c r="F305" s="139">
        <v>46002</v>
      </c>
      <c r="G305" s="140" t="s">
        <v>2010</v>
      </c>
      <c r="H305" s="140" t="s">
        <v>2015</v>
      </c>
      <c r="I305" s="141"/>
    </row>
    <row r="306" spans="2:9" x14ac:dyDescent="0.25">
      <c r="B306" s="129" t="s">
        <v>187</v>
      </c>
      <c r="C306" s="142" t="s">
        <v>188</v>
      </c>
      <c r="D306" s="131">
        <v>800</v>
      </c>
      <c r="E306" s="133" t="s">
        <v>2009</v>
      </c>
      <c r="F306" s="133">
        <v>46002</v>
      </c>
      <c r="G306" s="134" t="s">
        <v>2010</v>
      </c>
      <c r="H306" s="134" t="s">
        <v>2013</v>
      </c>
      <c r="I306" s="135"/>
    </row>
    <row r="307" spans="2:9" x14ac:dyDescent="0.25">
      <c r="B307" s="136" t="s">
        <v>354</v>
      </c>
      <c r="C307" s="137" t="s">
        <v>355</v>
      </c>
      <c r="D307" s="138">
        <v>500</v>
      </c>
      <c r="E307" s="139" t="s">
        <v>2009</v>
      </c>
      <c r="F307" s="139">
        <v>46002</v>
      </c>
      <c r="G307" s="140" t="s">
        <v>2010</v>
      </c>
      <c r="H307" s="140" t="s">
        <v>2018</v>
      </c>
      <c r="I307" s="141"/>
    </row>
    <row r="308" spans="2:9" x14ac:dyDescent="0.25">
      <c r="B308" s="129" t="s">
        <v>189</v>
      </c>
      <c r="C308" s="142" t="s">
        <v>190</v>
      </c>
      <c r="D308" s="131">
        <v>1500</v>
      </c>
      <c r="E308" s="133" t="s">
        <v>2009</v>
      </c>
      <c r="F308" s="133">
        <v>46002</v>
      </c>
      <c r="G308" s="134" t="s">
        <v>2010</v>
      </c>
      <c r="H308" s="134" t="s">
        <v>2013</v>
      </c>
      <c r="I308" s="135"/>
    </row>
    <row r="309" spans="2:9" x14ac:dyDescent="0.25">
      <c r="B309" s="136" t="s">
        <v>769</v>
      </c>
      <c r="C309" s="137" t="s">
        <v>770</v>
      </c>
      <c r="D309" s="138">
        <v>1800</v>
      </c>
      <c r="E309" s="139" t="s">
        <v>2009</v>
      </c>
      <c r="F309" s="139">
        <v>46002</v>
      </c>
      <c r="G309" s="140" t="s">
        <v>2010</v>
      </c>
      <c r="H309" s="140" t="s">
        <v>2015</v>
      </c>
      <c r="I309" s="141"/>
    </row>
    <row r="310" spans="2:9" x14ac:dyDescent="0.25">
      <c r="B310" s="129" t="s">
        <v>191</v>
      </c>
      <c r="C310" s="142" t="s">
        <v>192</v>
      </c>
      <c r="D310" s="131">
        <v>1500</v>
      </c>
      <c r="E310" s="133" t="s">
        <v>2009</v>
      </c>
      <c r="F310" s="133">
        <v>46002</v>
      </c>
      <c r="G310" s="134" t="s">
        <v>2010</v>
      </c>
      <c r="H310" s="134" t="s">
        <v>2015</v>
      </c>
      <c r="I310" s="135"/>
    </row>
    <row r="311" spans="2:9" x14ac:dyDescent="0.25">
      <c r="B311" s="136" t="s">
        <v>771</v>
      </c>
      <c r="C311" s="137" t="s">
        <v>772</v>
      </c>
      <c r="D311" s="138">
        <v>800</v>
      </c>
      <c r="E311" s="139" t="s">
        <v>2009</v>
      </c>
      <c r="F311" s="139">
        <v>46002</v>
      </c>
      <c r="G311" s="140" t="s">
        <v>2010</v>
      </c>
      <c r="H311" s="140" t="s">
        <v>2013</v>
      </c>
      <c r="I311" s="141"/>
    </row>
    <row r="312" spans="2:9" x14ac:dyDescent="0.25">
      <c r="B312" s="129" t="s">
        <v>419</v>
      </c>
      <c r="C312" s="142" t="s">
        <v>420</v>
      </c>
      <c r="D312" s="131">
        <v>600</v>
      </c>
      <c r="E312" s="133" t="s">
        <v>2009</v>
      </c>
      <c r="F312" s="133">
        <v>46002</v>
      </c>
      <c r="G312" s="134" t="s">
        <v>2010</v>
      </c>
      <c r="H312" s="134" t="s">
        <v>2012</v>
      </c>
      <c r="I312" s="135"/>
    </row>
    <row r="313" spans="2:9" x14ac:dyDescent="0.25">
      <c r="B313" s="136" t="s">
        <v>228</v>
      </c>
      <c r="C313" s="137" t="s">
        <v>229</v>
      </c>
      <c r="D313" s="138">
        <v>800</v>
      </c>
      <c r="E313" s="139" t="s">
        <v>2009</v>
      </c>
      <c r="F313" s="139">
        <v>46002</v>
      </c>
      <c r="G313" s="140" t="s">
        <v>2010</v>
      </c>
      <c r="H313" s="140" t="s">
        <v>2015</v>
      </c>
      <c r="I313" s="141"/>
    </row>
    <row r="314" spans="2:9" x14ac:dyDescent="0.25">
      <c r="B314" s="129" t="s">
        <v>193</v>
      </c>
      <c r="C314" s="142" t="s">
        <v>194</v>
      </c>
      <c r="D314" s="131">
        <v>1000</v>
      </c>
      <c r="E314" s="133" t="s">
        <v>2009</v>
      </c>
      <c r="F314" s="133">
        <v>46002</v>
      </c>
      <c r="G314" s="134" t="s">
        <v>2010</v>
      </c>
      <c r="H314" s="134" t="s">
        <v>2016</v>
      </c>
      <c r="I314" s="135"/>
    </row>
    <row r="315" spans="2:9" x14ac:dyDescent="0.25">
      <c r="B315" s="136" t="s">
        <v>775</v>
      </c>
      <c r="C315" s="137" t="s">
        <v>776</v>
      </c>
      <c r="D315" s="138">
        <v>6000</v>
      </c>
      <c r="E315" s="139" t="s">
        <v>2009</v>
      </c>
      <c r="F315" s="139">
        <v>46002</v>
      </c>
      <c r="G315" s="140" t="s">
        <v>2010</v>
      </c>
      <c r="H315" s="140" t="s">
        <v>2012</v>
      </c>
      <c r="I315" s="141"/>
    </row>
    <row r="316" spans="2:9" x14ac:dyDescent="0.25">
      <c r="B316" s="129" t="s">
        <v>777</v>
      </c>
      <c r="C316" s="142" t="s">
        <v>778</v>
      </c>
      <c r="D316" s="131">
        <v>750</v>
      </c>
      <c r="E316" s="133" t="s">
        <v>2009</v>
      </c>
      <c r="F316" s="133">
        <v>46002</v>
      </c>
      <c r="G316" s="134" t="s">
        <v>2010</v>
      </c>
      <c r="H316" s="134" t="s">
        <v>2016</v>
      </c>
      <c r="I316" s="135"/>
    </row>
    <row r="317" spans="2:9" x14ac:dyDescent="0.25">
      <c r="B317" s="136" t="s">
        <v>1967</v>
      </c>
      <c r="C317" s="137" t="s">
        <v>1968</v>
      </c>
      <c r="D317" s="138">
        <v>500</v>
      </c>
      <c r="E317" s="139" t="s">
        <v>2009</v>
      </c>
      <c r="F317" s="139">
        <v>46002</v>
      </c>
      <c r="G317" s="140" t="s">
        <v>2010</v>
      </c>
      <c r="H317" s="140" t="s">
        <v>2015</v>
      </c>
      <c r="I317" s="141"/>
    </row>
    <row r="318" spans="2:9" x14ac:dyDescent="0.25">
      <c r="B318" s="129" t="s">
        <v>780</v>
      </c>
      <c r="C318" s="142" t="s">
        <v>781</v>
      </c>
      <c r="D318" s="131">
        <v>1150</v>
      </c>
      <c r="E318" s="133" t="s">
        <v>2009</v>
      </c>
      <c r="F318" s="133">
        <v>46002</v>
      </c>
      <c r="G318" s="134" t="s">
        <v>2010</v>
      </c>
      <c r="H318" s="134" t="s">
        <v>2020</v>
      </c>
      <c r="I318" s="135"/>
    </row>
    <row r="319" spans="2:9" x14ac:dyDescent="0.25">
      <c r="B319" s="136" t="s">
        <v>386</v>
      </c>
      <c r="C319" s="137" t="s">
        <v>387</v>
      </c>
      <c r="D319" s="138">
        <v>240</v>
      </c>
      <c r="E319" s="139" t="s">
        <v>2009</v>
      </c>
      <c r="F319" s="139">
        <v>46002</v>
      </c>
      <c r="G319" s="140" t="s">
        <v>2010</v>
      </c>
      <c r="H319" s="140" t="s">
        <v>2017</v>
      </c>
      <c r="I319" s="141"/>
    </row>
    <row r="320" spans="2:9" x14ac:dyDescent="0.25">
      <c r="B320" s="129" t="s">
        <v>784</v>
      </c>
      <c r="C320" s="142" t="s">
        <v>785</v>
      </c>
      <c r="D320" s="131">
        <v>5000</v>
      </c>
      <c r="E320" s="133" t="s">
        <v>2009</v>
      </c>
      <c r="F320" s="133">
        <v>46002</v>
      </c>
      <c r="G320" s="134" t="s">
        <v>2010</v>
      </c>
      <c r="H320" s="134" t="s">
        <v>2014</v>
      </c>
      <c r="I320" s="135"/>
    </row>
    <row r="321" spans="2:9" x14ac:dyDescent="0.25">
      <c r="B321" s="136" t="s">
        <v>196</v>
      </c>
      <c r="C321" s="137" t="s">
        <v>197</v>
      </c>
      <c r="D321" s="138">
        <v>800</v>
      </c>
      <c r="E321" s="139" t="s">
        <v>2009</v>
      </c>
      <c r="F321" s="139">
        <v>46002</v>
      </c>
      <c r="G321" s="140" t="s">
        <v>2010</v>
      </c>
      <c r="H321" s="140" t="s">
        <v>2013</v>
      </c>
      <c r="I321" s="141"/>
    </row>
    <row r="322" spans="2:9" x14ac:dyDescent="0.25">
      <c r="B322" s="129" t="s">
        <v>796</v>
      </c>
      <c r="C322" s="142" t="s">
        <v>797</v>
      </c>
      <c r="D322" s="131">
        <v>800</v>
      </c>
      <c r="E322" s="133" t="s">
        <v>2009</v>
      </c>
      <c r="F322" s="133">
        <v>46002</v>
      </c>
      <c r="G322" s="134" t="s">
        <v>2010</v>
      </c>
      <c r="H322" s="134" t="s">
        <v>2012</v>
      </c>
      <c r="I322" s="135"/>
    </row>
    <row r="323" spans="2:9" x14ac:dyDescent="0.25">
      <c r="B323" s="136" t="s">
        <v>198</v>
      </c>
      <c r="C323" s="137" t="s">
        <v>199</v>
      </c>
      <c r="D323" s="138">
        <v>5000</v>
      </c>
      <c r="E323" s="139" t="s">
        <v>2009</v>
      </c>
      <c r="F323" s="139">
        <v>46002</v>
      </c>
      <c r="G323" s="140" t="s">
        <v>2010</v>
      </c>
      <c r="H323" s="140" t="s">
        <v>2013</v>
      </c>
      <c r="I323" s="141"/>
    </row>
    <row r="324" spans="2:9" x14ac:dyDescent="0.25">
      <c r="B324" s="129" t="s">
        <v>788</v>
      </c>
      <c r="C324" s="142" t="s">
        <v>789</v>
      </c>
      <c r="D324" s="131">
        <v>300</v>
      </c>
      <c r="E324" s="133" t="s">
        <v>2009</v>
      </c>
      <c r="F324" s="133">
        <v>46002</v>
      </c>
      <c r="G324" s="134" t="s">
        <v>2010</v>
      </c>
      <c r="H324" s="134" t="s">
        <v>2012</v>
      </c>
      <c r="I324" s="135"/>
    </row>
    <row r="325" spans="2:9" x14ac:dyDescent="0.25">
      <c r="B325" s="136" t="s">
        <v>411</v>
      </c>
      <c r="C325" s="137" t="s">
        <v>2021</v>
      </c>
      <c r="D325" s="138">
        <v>750</v>
      </c>
      <c r="E325" s="139" t="s">
        <v>2009</v>
      </c>
      <c r="F325" s="139">
        <v>46002</v>
      </c>
      <c r="G325" s="140" t="s">
        <v>2010</v>
      </c>
      <c r="H325" s="140" t="s">
        <v>2012</v>
      </c>
      <c r="I325" s="141"/>
    </row>
    <row r="326" spans="2:9" x14ac:dyDescent="0.25">
      <c r="B326" s="129" t="s">
        <v>766</v>
      </c>
      <c r="C326" s="142" t="s">
        <v>767</v>
      </c>
      <c r="D326" s="131">
        <v>500</v>
      </c>
      <c r="E326" s="133" t="s">
        <v>2009</v>
      </c>
      <c r="F326" s="133">
        <v>46002</v>
      </c>
      <c r="G326" s="134" t="s">
        <v>2010</v>
      </c>
      <c r="H326" s="134" t="s">
        <v>2012</v>
      </c>
      <c r="I326" s="135"/>
    </row>
    <row r="327" spans="2:9" x14ac:dyDescent="0.25">
      <c r="B327" s="136" t="s">
        <v>794</v>
      </c>
      <c r="C327" s="137" t="s">
        <v>795</v>
      </c>
      <c r="D327" s="138">
        <v>180</v>
      </c>
      <c r="E327" s="139" t="s">
        <v>2009</v>
      </c>
      <c r="F327" s="139">
        <v>46002</v>
      </c>
      <c r="G327" s="140" t="s">
        <v>2010</v>
      </c>
      <c r="H327" s="140" t="s">
        <v>2017</v>
      </c>
      <c r="I327" s="141"/>
    </row>
    <row r="328" spans="2:9" x14ac:dyDescent="0.25">
      <c r="B328" s="129" t="s">
        <v>466</v>
      </c>
      <c r="C328" s="142" t="s">
        <v>467</v>
      </c>
      <c r="D328" s="131">
        <v>5600</v>
      </c>
      <c r="E328" s="133" t="s">
        <v>2009</v>
      </c>
      <c r="F328" s="133">
        <v>46002</v>
      </c>
      <c r="G328" s="134" t="s">
        <v>2010</v>
      </c>
      <c r="H328" s="134" t="s">
        <v>2017</v>
      </c>
      <c r="I328" s="135"/>
    </row>
    <row r="329" spans="2:9" x14ac:dyDescent="0.25">
      <c r="B329" s="136" t="s">
        <v>798</v>
      </c>
      <c r="C329" s="137" t="s">
        <v>799</v>
      </c>
      <c r="D329" s="138">
        <v>800</v>
      </c>
      <c r="E329" s="139" t="s">
        <v>2009</v>
      </c>
      <c r="F329" s="139">
        <v>46002</v>
      </c>
      <c r="G329" s="140" t="s">
        <v>2010</v>
      </c>
      <c r="H329" s="140" t="s">
        <v>2014</v>
      </c>
      <c r="I329" s="141"/>
    </row>
    <row r="330" spans="2:9" x14ac:dyDescent="0.25">
      <c r="B330" s="129" t="s">
        <v>200</v>
      </c>
      <c r="C330" s="142" t="s">
        <v>201</v>
      </c>
      <c r="D330" s="131">
        <v>1500</v>
      </c>
      <c r="E330" s="133" t="s">
        <v>2009</v>
      </c>
      <c r="F330" s="133">
        <v>46002</v>
      </c>
      <c r="G330" s="134" t="s">
        <v>2010</v>
      </c>
      <c r="H330" s="134" t="s">
        <v>2016</v>
      </c>
      <c r="I330" s="135"/>
    </row>
    <row r="331" spans="2:9" x14ac:dyDescent="0.25">
      <c r="B331" s="136" t="s">
        <v>764</v>
      </c>
      <c r="C331" s="137" t="s">
        <v>765</v>
      </c>
      <c r="D331" s="138">
        <v>800</v>
      </c>
      <c r="E331" s="139" t="s">
        <v>2009</v>
      </c>
      <c r="F331" s="139">
        <v>46002</v>
      </c>
      <c r="G331" s="140" t="s">
        <v>2010</v>
      </c>
      <c r="H331" s="140" t="s">
        <v>2012</v>
      </c>
      <c r="I331" s="141"/>
    </row>
    <row r="332" spans="2:9" x14ac:dyDescent="0.25">
      <c r="B332" s="129" t="s">
        <v>804</v>
      </c>
      <c r="C332" s="142" t="s">
        <v>805</v>
      </c>
      <c r="D332" s="131">
        <v>800</v>
      </c>
      <c r="E332" s="133" t="s">
        <v>2009</v>
      </c>
      <c r="F332" s="133">
        <v>46002</v>
      </c>
      <c r="G332" s="134" t="s">
        <v>2010</v>
      </c>
      <c r="H332" s="134" t="s">
        <v>2012</v>
      </c>
      <c r="I332" s="135"/>
    </row>
    <row r="333" spans="2:9" x14ac:dyDescent="0.25">
      <c r="B333" s="136" t="s">
        <v>806</v>
      </c>
      <c r="C333" s="137" t="s">
        <v>807</v>
      </c>
      <c r="D333" s="138">
        <v>2700</v>
      </c>
      <c r="E333" s="139" t="s">
        <v>2009</v>
      </c>
      <c r="F333" s="139">
        <v>46002</v>
      </c>
      <c r="G333" s="140" t="s">
        <v>2010</v>
      </c>
      <c r="H333" s="140" t="s">
        <v>2011</v>
      </c>
      <c r="I333" s="141"/>
    </row>
    <row r="334" spans="2:9" x14ac:dyDescent="0.25">
      <c r="B334" s="129" t="s">
        <v>809</v>
      </c>
      <c r="C334" s="142" t="s">
        <v>810</v>
      </c>
      <c r="D334" s="131">
        <v>200</v>
      </c>
      <c r="E334" s="133" t="s">
        <v>2009</v>
      </c>
      <c r="F334" s="133">
        <v>46002</v>
      </c>
      <c r="G334" s="134" t="s">
        <v>2010</v>
      </c>
      <c r="H334" s="134" t="s">
        <v>2011</v>
      </c>
      <c r="I334" s="135"/>
    </row>
    <row r="335" spans="2:9" x14ac:dyDescent="0.25">
      <c r="B335" s="136" t="s">
        <v>811</v>
      </c>
      <c r="C335" s="137" t="s">
        <v>812</v>
      </c>
      <c r="D335" s="138">
        <v>500</v>
      </c>
      <c r="E335" s="139" t="s">
        <v>2009</v>
      </c>
      <c r="F335" s="139">
        <v>46002</v>
      </c>
      <c r="G335" s="140" t="s">
        <v>2010</v>
      </c>
      <c r="H335" s="140" t="s">
        <v>2011</v>
      </c>
      <c r="I335" s="141"/>
    </row>
    <row r="336" spans="2:9" x14ac:dyDescent="0.25">
      <c r="B336" s="129" t="s">
        <v>1835</v>
      </c>
      <c r="C336" s="142" t="s">
        <v>1836</v>
      </c>
      <c r="D336" s="131">
        <v>500</v>
      </c>
      <c r="E336" s="133" t="s">
        <v>2009</v>
      </c>
      <c r="F336" s="133">
        <v>46002</v>
      </c>
      <c r="G336" s="134" t="s">
        <v>2010</v>
      </c>
      <c r="H336" s="130" t="s">
        <v>2015</v>
      </c>
      <c r="I336" s="135"/>
    </row>
    <row r="337" spans="2:9" x14ac:dyDescent="0.25">
      <c r="B337" s="136" t="s">
        <v>1781</v>
      </c>
      <c r="C337" s="137" t="s">
        <v>1782</v>
      </c>
      <c r="D337" s="138">
        <v>750</v>
      </c>
      <c r="E337" s="139" t="s">
        <v>2009</v>
      </c>
      <c r="F337" s="139">
        <v>46002</v>
      </c>
      <c r="G337" s="140" t="s">
        <v>2010</v>
      </c>
      <c r="H337" s="140" t="s">
        <v>2016</v>
      </c>
      <c r="I337" s="141" t="s">
        <v>2022</v>
      </c>
    </row>
    <row r="338" spans="2:9" x14ac:dyDescent="0.25">
      <c r="B338" s="129" t="s">
        <v>1985</v>
      </c>
      <c r="C338" s="142" t="s">
        <v>1986</v>
      </c>
      <c r="D338" s="131">
        <v>750</v>
      </c>
      <c r="E338" s="133" t="s">
        <v>2009</v>
      </c>
      <c r="F338" s="133">
        <v>46002</v>
      </c>
      <c r="G338" s="134" t="s">
        <v>2010</v>
      </c>
      <c r="H338" s="134" t="s">
        <v>2016</v>
      </c>
      <c r="I338" s="135" t="s">
        <v>2022</v>
      </c>
    </row>
    <row r="339" spans="2:9" x14ac:dyDescent="0.25">
      <c r="B339" s="136" t="s">
        <v>1881</v>
      </c>
      <c r="C339" s="137" t="s">
        <v>1882</v>
      </c>
      <c r="D339" s="138">
        <v>1000</v>
      </c>
      <c r="E339" s="139" t="s">
        <v>2009</v>
      </c>
      <c r="F339" s="139">
        <v>46002</v>
      </c>
      <c r="G339" s="140" t="s">
        <v>2010</v>
      </c>
      <c r="H339" s="140" t="s">
        <v>2016</v>
      </c>
      <c r="I339" s="141" t="s">
        <v>2022</v>
      </c>
    </row>
  </sheetData>
  <conditionalFormatting sqref="B2:B339">
    <cfRule type="duplicateValues" dxfId="9" priority="6"/>
  </conditionalFormatting>
  <conditionalFormatting sqref="B9:B10">
    <cfRule type="duplicateValues" dxfId="8" priority="2"/>
    <cfRule type="duplicateValues" dxfId="7" priority="3"/>
    <cfRule type="duplicateValues" dxfId="6" priority="4"/>
  </conditionalFormatting>
  <conditionalFormatting sqref="C9:C10">
    <cfRule type="duplicateValues" dxfId="5" priority="5"/>
  </conditionalFormatting>
  <conditionalFormatting sqref="C11:C13">
    <cfRule type="duplicateValues" dxfId="4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8B9B-44BC-4676-B1D7-1DE8198BD864}">
  <dimension ref="B2:I543"/>
  <sheetViews>
    <sheetView workbookViewId="0">
      <selection activeCell="B59" sqref="B59"/>
    </sheetView>
  </sheetViews>
  <sheetFormatPr defaultRowHeight="15.75" x14ac:dyDescent="0.25"/>
  <sheetData>
    <row r="2" spans="2:9" x14ac:dyDescent="0.25">
      <c r="B2" s="55" t="s">
        <v>827</v>
      </c>
      <c r="C2" s="55" t="s">
        <v>828</v>
      </c>
      <c r="D2" s="55" t="s">
        <v>829</v>
      </c>
      <c r="E2" s="55" t="s">
        <v>830</v>
      </c>
      <c r="F2" s="55" t="s">
        <v>831</v>
      </c>
      <c r="G2" s="55" t="s">
        <v>832</v>
      </c>
      <c r="H2" s="55" t="s">
        <v>833</v>
      </c>
      <c r="I2" s="55" t="s">
        <v>834</v>
      </c>
    </row>
    <row r="3" spans="2:9" x14ac:dyDescent="0.25">
      <c r="B3" s="40"/>
      <c r="C3" s="42" t="s">
        <v>250</v>
      </c>
      <c r="D3" s="42" t="s">
        <v>835</v>
      </c>
      <c r="E3" s="42" t="s">
        <v>836</v>
      </c>
      <c r="F3" s="47" t="s">
        <v>21</v>
      </c>
      <c r="G3" s="42" t="s">
        <v>837</v>
      </c>
      <c r="H3" s="42" t="s">
        <v>838</v>
      </c>
      <c r="I3" s="43"/>
    </row>
    <row r="4" spans="2:9" x14ac:dyDescent="0.25">
      <c r="B4" s="40"/>
      <c r="C4" s="42" t="s">
        <v>202</v>
      </c>
      <c r="D4" s="42" t="s">
        <v>839</v>
      </c>
      <c r="E4" s="42" t="s">
        <v>836</v>
      </c>
      <c r="F4" s="47" t="s">
        <v>21</v>
      </c>
      <c r="G4" s="42" t="s">
        <v>837</v>
      </c>
      <c r="H4" s="42" t="s">
        <v>838</v>
      </c>
      <c r="I4" s="43"/>
    </row>
    <row r="5" spans="2:9" x14ac:dyDescent="0.25">
      <c r="B5" s="40"/>
      <c r="C5" s="42" t="s">
        <v>231</v>
      </c>
      <c r="D5" s="42" t="s">
        <v>840</v>
      </c>
      <c r="E5" s="42" t="s">
        <v>836</v>
      </c>
      <c r="F5" s="47" t="s">
        <v>21</v>
      </c>
      <c r="G5" s="42" t="s">
        <v>837</v>
      </c>
      <c r="H5" s="42" t="s">
        <v>838</v>
      </c>
      <c r="I5" s="43"/>
    </row>
    <row r="6" spans="2:9" x14ac:dyDescent="0.25">
      <c r="B6" s="40"/>
      <c r="C6" s="42" t="s">
        <v>247</v>
      </c>
      <c r="D6" s="42" t="s">
        <v>841</v>
      </c>
      <c r="E6" s="42" t="s">
        <v>836</v>
      </c>
      <c r="F6" s="47" t="s">
        <v>21</v>
      </c>
      <c r="G6" s="42" t="s">
        <v>837</v>
      </c>
      <c r="H6" s="42" t="s">
        <v>838</v>
      </c>
      <c r="I6" s="43"/>
    </row>
    <row r="7" spans="2:9" x14ac:dyDescent="0.25">
      <c r="B7" s="40"/>
      <c r="C7" s="42" t="s">
        <v>233</v>
      </c>
      <c r="D7" s="42" t="s">
        <v>842</v>
      </c>
      <c r="E7" s="42" t="s">
        <v>836</v>
      </c>
      <c r="F7" s="47" t="s">
        <v>21</v>
      </c>
      <c r="G7" s="42" t="s">
        <v>837</v>
      </c>
      <c r="H7" s="42" t="s">
        <v>838</v>
      </c>
      <c r="I7" s="43"/>
    </row>
    <row r="8" spans="2:9" x14ac:dyDescent="0.25">
      <c r="B8" s="40"/>
      <c r="C8" s="42" t="s">
        <v>843</v>
      </c>
      <c r="D8" s="42" t="s">
        <v>844</v>
      </c>
      <c r="E8" s="42" t="s">
        <v>845</v>
      </c>
      <c r="F8" s="48" t="s">
        <v>278</v>
      </c>
      <c r="G8" s="42" t="s">
        <v>837</v>
      </c>
      <c r="H8" s="42" t="s">
        <v>838</v>
      </c>
      <c r="I8" s="43"/>
    </row>
    <row r="9" spans="2:9" x14ac:dyDescent="0.25">
      <c r="B9" s="40"/>
      <c r="C9" s="42" t="s">
        <v>237</v>
      </c>
      <c r="D9" s="42" t="s">
        <v>846</v>
      </c>
      <c r="E9" s="42" t="s">
        <v>836</v>
      </c>
      <c r="F9" s="47" t="s">
        <v>21</v>
      </c>
      <c r="G9" s="42" t="s">
        <v>837</v>
      </c>
      <c r="H9" s="42" t="s">
        <v>838</v>
      </c>
      <c r="I9" s="43"/>
    </row>
    <row r="10" spans="2:9" x14ac:dyDescent="0.25">
      <c r="B10" s="40"/>
      <c r="C10" s="42" t="s">
        <v>241</v>
      </c>
      <c r="D10" s="42" t="s">
        <v>847</v>
      </c>
      <c r="E10" s="42" t="s">
        <v>836</v>
      </c>
      <c r="F10" s="47" t="s">
        <v>21</v>
      </c>
      <c r="G10" s="42" t="s">
        <v>837</v>
      </c>
      <c r="H10" s="42" t="s">
        <v>838</v>
      </c>
      <c r="I10" s="43"/>
    </row>
    <row r="11" spans="2:9" x14ac:dyDescent="0.25">
      <c r="B11" s="40"/>
      <c r="C11" s="42" t="s">
        <v>848</v>
      </c>
      <c r="D11" s="42" t="s">
        <v>849</v>
      </c>
      <c r="E11" s="42" t="s">
        <v>836</v>
      </c>
      <c r="F11" s="48" t="s">
        <v>278</v>
      </c>
      <c r="G11" s="42" t="s">
        <v>837</v>
      </c>
      <c r="H11" s="42" t="s">
        <v>838</v>
      </c>
      <c r="I11" s="43"/>
    </row>
    <row r="12" spans="2:9" x14ac:dyDescent="0.25">
      <c r="B12" s="40"/>
      <c r="C12" s="42" t="s">
        <v>850</v>
      </c>
      <c r="D12" s="42" t="s">
        <v>851</v>
      </c>
      <c r="E12" s="42" t="s">
        <v>836</v>
      </c>
      <c r="F12" s="49" t="s">
        <v>423</v>
      </c>
      <c r="G12" s="42" t="s">
        <v>837</v>
      </c>
      <c r="H12" s="42" t="s">
        <v>838</v>
      </c>
      <c r="I12" s="43"/>
    </row>
    <row r="13" spans="2:9" x14ac:dyDescent="0.25">
      <c r="B13" s="40"/>
      <c r="C13" s="42" t="s">
        <v>245</v>
      </c>
      <c r="D13" s="42" t="s">
        <v>852</v>
      </c>
      <c r="E13" s="42" t="s">
        <v>836</v>
      </c>
      <c r="F13" s="47" t="s">
        <v>21</v>
      </c>
      <c r="G13" s="42" t="s">
        <v>837</v>
      </c>
      <c r="H13" s="42" t="s">
        <v>838</v>
      </c>
      <c r="I13" s="43"/>
    </row>
    <row r="14" spans="2:9" x14ac:dyDescent="0.25">
      <c r="B14" s="40"/>
      <c r="C14" s="42" t="s">
        <v>15</v>
      </c>
      <c r="D14" s="42" t="s">
        <v>853</v>
      </c>
      <c r="E14" s="42" t="s">
        <v>836</v>
      </c>
      <c r="F14" s="47" t="s">
        <v>21</v>
      </c>
      <c r="G14" s="42" t="s">
        <v>837</v>
      </c>
      <c r="H14" s="42" t="s">
        <v>838</v>
      </c>
      <c r="I14" s="43"/>
    </row>
    <row r="15" spans="2:9" x14ac:dyDescent="0.25">
      <c r="B15" s="40"/>
      <c r="C15" s="42" t="s">
        <v>854</v>
      </c>
      <c r="D15" s="42" t="s">
        <v>855</v>
      </c>
      <c r="E15" s="42" t="s">
        <v>836</v>
      </c>
      <c r="F15" s="48" t="s">
        <v>278</v>
      </c>
      <c r="G15" s="42" t="s">
        <v>837</v>
      </c>
      <c r="H15" s="42" t="s">
        <v>838</v>
      </c>
      <c r="I15" s="43"/>
    </row>
    <row r="16" spans="2:9" x14ac:dyDescent="0.25">
      <c r="B16" s="40"/>
      <c r="C16" s="42" t="s">
        <v>22</v>
      </c>
      <c r="D16" s="42" t="s">
        <v>856</v>
      </c>
      <c r="E16" s="42" t="s">
        <v>836</v>
      </c>
      <c r="F16" s="47" t="s">
        <v>21</v>
      </c>
      <c r="G16" s="42" t="s">
        <v>837</v>
      </c>
      <c r="H16" s="42" t="s">
        <v>838</v>
      </c>
      <c r="I16" s="43"/>
    </row>
    <row r="17" spans="2:9" x14ac:dyDescent="0.25">
      <c r="B17" s="40"/>
      <c r="C17" s="42" t="s">
        <v>857</v>
      </c>
      <c r="D17" s="42" t="s">
        <v>858</v>
      </c>
      <c r="E17" s="42" t="s">
        <v>836</v>
      </c>
      <c r="F17" s="47" t="s">
        <v>21</v>
      </c>
      <c r="G17" s="42" t="s">
        <v>837</v>
      </c>
      <c r="H17" s="42" t="s">
        <v>838</v>
      </c>
      <c r="I17" s="43"/>
    </row>
    <row r="18" spans="2:9" x14ac:dyDescent="0.25">
      <c r="B18" s="40"/>
      <c r="C18" s="42" t="s">
        <v>859</v>
      </c>
      <c r="D18" s="42" t="s">
        <v>860</v>
      </c>
      <c r="E18" s="42" t="s">
        <v>836</v>
      </c>
      <c r="F18" s="49" t="s">
        <v>423</v>
      </c>
      <c r="G18" s="42" t="s">
        <v>837</v>
      </c>
      <c r="H18" s="42" t="s">
        <v>838</v>
      </c>
      <c r="I18" s="43"/>
    </row>
    <row r="19" spans="2:9" x14ac:dyDescent="0.25">
      <c r="B19" s="40"/>
      <c r="C19" s="42" t="s">
        <v>254</v>
      </c>
      <c r="D19" s="42" t="s">
        <v>861</v>
      </c>
      <c r="E19" s="42" t="s">
        <v>836</v>
      </c>
      <c r="F19" s="47" t="s">
        <v>21</v>
      </c>
      <c r="G19" s="42" t="s">
        <v>837</v>
      </c>
      <c r="H19" s="42" t="s">
        <v>838</v>
      </c>
      <c r="I19" s="43"/>
    </row>
    <row r="20" spans="2:9" x14ac:dyDescent="0.25">
      <c r="B20" s="40"/>
      <c r="C20" s="42" t="s">
        <v>862</v>
      </c>
      <c r="D20" s="42" t="s">
        <v>863</v>
      </c>
      <c r="E20" s="42" t="s">
        <v>836</v>
      </c>
      <c r="F20" s="48" t="s">
        <v>278</v>
      </c>
      <c r="G20" s="42" t="s">
        <v>837</v>
      </c>
      <c r="H20" s="42" t="s">
        <v>838</v>
      </c>
      <c r="I20" s="43"/>
    </row>
    <row r="21" spans="2:9" x14ac:dyDescent="0.25">
      <c r="B21" s="40"/>
      <c r="C21" s="42" t="s">
        <v>26</v>
      </c>
      <c r="D21" s="42" t="s">
        <v>864</v>
      </c>
      <c r="E21" s="42" t="s">
        <v>836</v>
      </c>
      <c r="F21" s="47" t="s">
        <v>21</v>
      </c>
      <c r="G21" s="42" t="s">
        <v>837</v>
      </c>
      <c r="H21" s="42" t="s">
        <v>838</v>
      </c>
      <c r="I21" s="43"/>
    </row>
    <row r="22" spans="2:9" x14ac:dyDescent="0.25">
      <c r="B22" s="40"/>
      <c r="C22" s="42" t="s">
        <v>865</v>
      </c>
      <c r="D22" s="42" t="s">
        <v>866</v>
      </c>
      <c r="E22" s="42" t="s">
        <v>836</v>
      </c>
      <c r="F22" s="48" t="s">
        <v>278</v>
      </c>
      <c r="G22" s="42" t="s">
        <v>837</v>
      </c>
      <c r="H22" s="42" t="s">
        <v>838</v>
      </c>
      <c r="I22" s="43"/>
    </row>
    <row r="23" spans="2:9" x14ac:dyDescent="0.25">
      <c r="B23" s="40"/>
      <c r="C23" s="42" t="s">
        <v>29</v>
      </c>
      <c r="D23" s="42" t="s">
        <v>867</v>
      </c>
      <c r="E23" s="42" t="s">
        <v>836</v>
      </c>
      <c r="F23" s="47" t="s">
        <v>21</v>
      </c>
      <c r="G23" s="42" t="s">
        <v>837</v>
      </c>
      <c r="H23" s="42" t="s">
        <v>838</v>
      </c>
      <c r="I23" s="43"/>
    </row>
    <row r="24" spans="2:9" x14ac:dyDescent="0.25">
      <c r="B24" s="40"/>
      <c r="C24" s="42" t="s">
        <v>257</v>
      </c>
      <c r="D24" s="42" t="s">
        <v>868</v>
      </c>
      <c r="E24" s="42" t="s">
        <v>836</v>
      </c>
      <c r="F24" s="47" t="s">
        <v>21</v>
      </c>
      <c r="G24" s="42" t="s">
        <v>837</v>
      </c>
      <c r="H24" s="42" t="s">
        <v>838</v>
      </c>
      <c r="I24" s="43"/>
    </row>
    <row r="25" spans="2:9" x14ac:dyDescent="0.25">
      <c r="B25" s="40"/>
      <c r="C25" s="42" t="s">
        <v>869</v>
      </c>
      <c r="D25" s="42" t="s">
        <v>870</v>
      </c>
      <c r="E25" s="42" t="s">
        <v>836</v>
      </c>
      <c r="F25" s="47" t="s">
        <v>21</v>
      </c>
      <c r="G25" s="42" t="s">
        <v>837</v>
      </c>
      <c r="H25" s="42" t="s">
        <v>838</v>
      </c>
      <c r="I25" s="43"/>
    </row>
    <row r="26" spans="2:9" x14ac:dyDescent="0.25">
      <c r="B26" s="40"/>
      <c r="C26" s="42" t="s">
        <v>260</v>
      </c>
      <c r="D26" s="42" t="s">
        <v>871</v>
      </c>
      <c r="E26" s="42" t="s">
        <v>836</v>
      </c>
      <c r="F26" s="47" t="s">
        <v>21</v>
      </c>
      <c r="G26" s="42" t="s">
        <v>837</v>
      </c>
      <c r="H26" s="42" t="s">
        <v>838</v>
      </c>
      <c r="I26" s="43"/>
    </row>
    <row r="27" spans="2:9" x14ac:dyDescent="0.25">
      <c r="B27" s="40"/>
      <c r="C27" s="42" t="s">
        <v>872</v>
      </c>
      <c r="D27" s="42" t="s">
        <v>873</v>
      </c>
      <c r="E27" s="42" t="s">
        <v>836</v>
      </c>
      <c r="F27" s="48" t="s">
        <v>278</v>
      </c>
      <c r="G27" s="42" t="s">
        <v>837</v>
      </c>
      <c r="H27" s="42" t="s">
        <v>838</v>
      </c>
      <c r="I27" s="43"/>
    </row>
    <row r="28" spans="2:9" x14ac:dyDescent="0.25">
      <c r="B28" s="40"/>
      <c r="C28" s="42" t="s">
        <v>263</v>
      </c>
      <c r="D28" s="42" t="s">
        <v>874</v>
      </c>
      <c r="E28" s="42" t="s">
        <v>845</v>
      </c>
      <c r="F28" s="47" t="s">
        <v>21</v>
      </c>
      <c r="G28" s="42" t="s">
        <v>837</v>
      </c>
      <c r="H28" s="42" t="s">
        <v>838</v>
      </c>
      <c r="I28" s="43"/>
    </row>
    <row r="29" spans="2:9" x14ac:dyDescent="0.25">
      <c r="B29" s="40"/>
      <c r="C29" s="42" t="s">
        <v>875</v>
      </c>
      <c r="D29" s="42" t="s">
        <v>876</v>
      </c>
      <c r="E29" s="42" t="s">
        <v>836</v>
      </c>
      <c r="F29" s="48" t="s">
        <v>278</v>
      </c>
      <c r="G29" s="42" t="s">
        <v>837</v>
      </c>
      <c r="H29" s="42" t="s">
        <v>838</v>
      </c>
      <c r="I29" s="43"/>
    </row>
    <row r="30" spans="2:9" x14ac:dyDescent="0.25">
      <c r="B30" s="40"/>
      <c r="C30" s="42" t="s">
        <v>877</v>
      </c>
      <c r="D30" s="42" t="s">
        <v>878</v>
      </c>
      <c r="E30" s="42" t="s">
        <v>836</v>
      </c>
      <c r="F30" s="47" t="s">
        <v>21</v>
      </c>
      <c r="G30" s="42" t="s">
        <v>837</v>
      </c>
      <c r="H30" s="42" t="s">
        <v>838</v>
      </c>
      <c r="I30" s="43"/>
    </row>
    <row r="31" spans="2:9" x14ac:dyDescent="0.25">
      <c r="B31" s="40"/>
      <c r="C31" s="42" t="s">
        <v>879</v>
      </c>
      <c r="D31" s="42" t="s">
        <v>880</v>
      </c>
      <c r="E31" s="42" t="s">
        <v>836</v>
      </c>
      <c r="F31" s="47" t="s">
        <v>21</v>
      </c>
      <c r="G31" s="42" t="s">
        <v>837</v>
      </c>
      <c r="H31" s="42" t="s">
        <v>838</v>
      </c>
      <c r="I31" s="43"/>
    </row>
    <row r="32" spans="2:9" x14ac:dyDescent="0.25">
      <c r="B32" s="40"/>
      <c r="C32" s="42" t="s">
        <v>266</v>
      </c>
      <c r="D32" s="42" t="s">
        <v>881</v>
      </c>
      <c r="E32" s="42" t="s">
        <v>836</v>
      </c>
      <c r="F32" s="47" t="s">
        <v>21</v>
      </c>
      <c r="G32" s="42" t="s">
        <v>837</v>
      </c>
      <c r="H32" s="42" t="s">
        <v>838</v>
      </c>
      <c r="I32" s="43"/>
    </row>
    <row r="33" spans="2:9" x14ac:dyDescent="0.25">
      <c r="B33" s="40"/>
      <c r="C33" s="42" t="s">
        <v>268</v>
      </c>
      <c r="D33" s="42" t="s">
        <v>882</v>
      </c>
      <c r="E33" s="42" t="s">
        <v>836</v>
      </c>
      <c r="F33" s="47" t="s">
        <v>21</v>
      </c>
      <c r="G33" s="42" t="s">
        <v>837</v>
      </c>
      <c r="H33" s="42" t="s">
        <v>838</v>
      </c>
      <c r="I33" s="43"/>
    </row>
    <row r="34" spans="2:9" x14ac:dyDescent="0.25">
      <c r="B34" s="40"/>
      <c r="C34" s="42" t="s">
        <v>593</v>
      </c>
      <c r="D34" s="42" t="s">
        <v>883</v>
      </c>
      <c r="E34" s="42" t="s">
        <v>845</v>
      </c>
      <c r="F34" s="47" t="s">
        <v>21</v>
      </c>
      <c r="G34" s="42" t="s">
        <v>837</v>
      </c>
      <c r="H34" s="42" t="s">
        <v>884</v>
      </c>
      <c r="I34" s="43"/>
    </row>
    <row r="35" spans="2:9" x14ac:dyDescent="0.25">
      <c r="B35" s="40"/>
      <c r="C35" s="42" t="s">
        <v>885</v>
      </c>
      <c r="D35" s="42" t="s">
        <v>886</v>
      </c>
      <c r="E35" s="42" t="s">
        <v>836</v>
      </c>
      <c r="F35" s="47" t="s">
        <v>21</v>
      </c>
      <c r="G35" s="42" t="s">
        <v>837</v>
      </c>
      <c r="H35" s="42" t="s">
        <v>838</v>
      </c>
      <c r="I35" s="43"/>
    </row>
    <row r="36" spans="2:9" x14ac:dyDescent="0.25">
      <c r="B36" s="40"/>
      <c r="C36" s="42" t="s">
        <v>273</v>
      </c>
      <c r="D36" s="42" t="s">
        <v>887</v>
      </c>
      <c r="E36" s="42" t="s">
        <v>836</v>
      </c>
      <c r="F36" s="47" t="s">
        <v>21</v>
      </c>
      <c r="G36" s="42" t="s">
        <v>837</v>
      </c>
      <c r="H36" s="42" t="s">
        <v>838</v>
      </c>
      <c r="I36" s="43"/>
    </row>
    <row r="37" spans="2:9" x14ac:dyDescent="0.25">
      <c r="B37" s="40"/>
      <c r="C37" s="42" t="s">
        <v>34</v>
      </c>
      <c r="D37" s="42" t="s">
        <v>888</v>
      </c>
      <c r="E37" s="42" t="s">
        <v>836</v>
      </c>
      <c r="F37" s="47" t="s">
        <v>21</v>
      </c>
      <c r="G37" s="42" t="s">
        <v>837</v>
      </c>
      <c r="H37" s="42" t="s">
        <v>838</v>
      </c>
      <c r="I37" s="43"/>
    </row>
    <row r="38" spans="2:9" x14ac:dyDescent="0.25">
      <c r="B38" s="40"/>
      <c r="C38" s="42" t="s">
        <v>889</v>
      </c>
      <c r="D38" s="42" t="s">
        <v>890</v>
      </c>
      <c r="E38" s="42" t="s">
        <v>836</v>
      </c>
      <c r="F38" s="48" t="s">
        <v>278</v>
      </c>
      <c r="G38" s="42" t="s">
        <v>837</v>
      </c>
      <c r="H38" s="42" t="s">
        <v>838</v>
      </c>
      <c r="I38" s="43"/>
    </row>
    <row r="39" spans="2:9" x14ac:dyDescent="0.25">
      <c r="B39" s="40"/>
      <c r="C39" s="42" t="s">
        <v>279</v>
      </c>
      <c r="D39" s="42" t="s">
        <v>891</v>
      </c>
      <c r="E39" s="42" t="s">
        <v>836</v>
      </c>
      <c r="F39" s="47" t="s">
        <v>21</v>
      </c>
      <c r="G39" s="42" t="s">
        <v>837</v>
      </c>
      <c r="H39" s="42" t="s">
        <v>838</v>
      </c>
      <c r="I39" s="43"/>
    </row>
    <row r="40" spans="2:9" x14ac:dyDescent="0.25">
      <c r="B40" s="40"/>
      <c r="C40" s="42" t="s">
        <v>892</v>
      </c>
      <c r="D40" s="42" t="s">
        <v>893</v>
      </c>
      <c r="E40" s="42" t="s">
        <v>836</v>
      </c>
      <c r="F40" s="47" t="s">
        <v>21</v>
      </c>
      <c r="G40" s="42" t="s">
        <v>837</v>
      </c>
      <c r="H40" s="42" t="s">
        <v>838</v>
      </c>
      <c r="I40" s="43"/>
    </row>
    <row r="41" spans="2:9" x14ac:dyDescent="0.25">
      <c r="B41" s="40"/>
      <c r="C41" s="42" t="s">
        <v>894</v>
      </c>
      <c r="D41" s="42" t="s">
        <v>895</v>
      </c>
      <c r="E41" s="42" t="s">
        <v>896</v>
      </c>
      <c r="F41" s="48" t="s">
        <v>278</v>
      </c>
      <c r="G41" s="42" t="s">
        <v>837</v>
      </c>
      <c r="H41" s="42" t="s">
        <v>884</v>
      </c>
      <c r="I41" s="43"/>
    </row>
    <row r="42" spans="2:9" x14ac:dyDescent="0.25">
      <c r="B42" s="40"/>
      <c r="C42" s="42" t="s">
        <v>486</v>
      </c>
      <c r="D42" s="42" t="s">
        <v>897</v>
      </c>
      <c r="E42" s="42" t="s">
        <v>836</v>
      </c>
      <c r="F42" s="47" t="s">
        <v>21</v>
      </c>
      <c r="G42" s="42" t="s">
        <v>837</v>
      </c>
      <c r="H42" s="42" t="s">
        <v>838</v>
      </c>
      <c r="I42" s="43"/>
    </row>
    <row r="43" spans="2:9" x14ac:dyDescent="0.25">
      <c r="B43" s="40"/>
      <c r="C43" s="42" t="s">
        <v>421</v>
      </c>
      <c r="D43" s="42" t="s">
        <v>898</v>
      </c>
      <c r="E43" s="42" t="s">
        <v>836</v>
      </c>
      <c r="F43" s="47" t="s">
        <v>21</v>
      </c>
      <c r="G43" s="42" t="s">
        <v>837</v>
      </c>
      <c r="H43" s="42" t="s">
        <v>838</v>
      </c>
      <c r="I43" s="43"/>
    </row>
    <row r="44" spans="2:9" x14ac:dyDescent="0.25">
      <c r="B44" s="40"/>
      <c r="C44" s="42" t="s">
        <v>287</v>
      </c>
      <c r="D44" s="42" t="s">
        <v>899</v>
      </c>
      <c r="E44" s="42" t="s">
        <v>836</v>
      </c>
      <c r="F44" s="47" t="s">
        <v>21</v>
      </c>
      <c r="G44" s="42" t="s">
        <v>837</v>
      </c>
      <c r="H44" s="42" t="s">
        <v>838</v>
      </c>
      <c r="I44" s="43"/>
    </row>
    <row r="45" spans="2:9" x14ac:dyDescent="0.25">
      <c r="B45" s="40"/>
      <c r="C45" s="42" t="s">
        <v>288</v>
      </c>
      <c r="D45" s="42" t="s">
        <v>900</v>
      </c>
      <c r="E45" s="42" t="s">
        <v>836</v>
      </c>
      <c r="F45" s="47" t="s">
        <v>21</v>
      </c>
      <c r="G45" s="42" t="s">
        <v>837</v>
      </c>
      <c r="H45" s="42" t="s">
        <v>838</v>
      </c>
      <c r="I45" s="43"/>
    </row>
    <row r="46" spans="2:9" x14ac:dyDescent="0.25">
      <c r="B46" s="40"/>
      <c r="C46" s="42" t="s">
        <v>901</v>
      </c>
      <c r="D46" s="42" t="s">
        <v>902</v>
      </c>
      <c r="E46" s="42" t="s">
        <v>836</v>
      </c>
      <c r="F46" s="47" t="s">
        <v>21</v>
      </c>
      <c r="G46" s="42" t="s">
        <v>837</v>
      </c>
      <c r="H46" s="42" t="s">
        <v>838</v>
      </c>
      <c r="I46" s="43"/>
    </row>
    <row r="47" spans="2:9" x14ac:dyDescent="0.25">
      <c r="B47" s="40"/>
      <c r="C47" s="42" t="s">
        <v>291</v>
      </c>
      <c r="D47" s="42" t="s">
        <v>903</v>
      </c>
      <c r="E47" s="42" t="s">
        <v>836</v>
      </c>
      <c r="F47" s="47" t="s">
        <v>21</v>
      </c>
      <c r="G47" s="42" t="s">
        <v>837</v>
      </c>
      <c r="H47" s="42" t="s">
        <v>838</v>
      </c>
      <c r="I47" s="43"/>
    </row>
    <row r="48" spans="2:9" x14ac:dyDescent="0.25">
      <c r="B48" s="40"/>
      <c r="C48" s="42" t="s">
        <v>904</v>
      </c>
      <c r="D48" s="42" t="s">
        <v>905</v>
      </c>
      <c r="E48" s="42" t="s">
        <v>836</v>
      </c>
      <c r="F48" s="48" t="s">
        <v>278</v>
      </c>
      <c r="G48" s="42" t="s">
        <v>837</v>
      </c>
      <c r="H48" s="42" t="s">
        <v>838</v>
      </c>
      <c r="I48" s="43"/>
    </row>
    <row r="49" spans="2:9" x14ac:dyDescent="0.25">
      <c r="B49" s="40"/>
      <c r="C49" s="42" t="s">
        <v>294</v>
      </c>
      <c r="D49" s="42" t="s">
        <v>906</v>
      </c>
      <c r="E49" s="42" t="s">
        <v>836</v>
      </c>
      <c r="F49" s="47" t="s">
        <v>21</v>
      </c>
      <c r="G49" s="42" t="s">
        <v>837</v>
      </c>
      <c r="H49" s="42" t="s">
        <v>838</v>
      </c>
      <c r="I49" s="43"/>
    </row>
    <row r="50" spans="2:9" x14ac:dyDescent="0.25">
      <c r="B50" s="40"/>
      <c r="C50" s="42" t="s">
        <v>297</v>
      </c>
      <c r="D50" s="42" t="s">
        <v>907</v>
      </c>
      <c r="E50" s="42" t="s">
        <v>836</v>
      </c>
      <c r="F50" s="47" t="s">
        <v>21</v>
      </c>
      <c r="G50" s="42" t="s">
        <v>837</v>
      </c>
      <c r="H50" s="42" t="s">
        <v>838</v>
      </c>
      <c r="I50" s="43"/>
    </row>
    <row r="51" spans="2:9" x14ac:dyDescent="0.25">
      <c r="B51" s="40"/>
      <c r="C51" s="42" t="s">
        <v>300</v>
      </c>
      <c r="D51" s="42" t="s">
        <v>908</v>
      </c>
      <c r="E51" s="42" t="s">
        <v>836</v>
      </c>
      <c r="F51" s="47" t="s">
        <v>21</v>
      </c>
      <c r="G51" s="42" t="s">
        <v>837</v>
      </c>
      <c r="H51" s="42" t="s">
        <v>838</v>
      </c>
      <c r="I51" s="43"/>
    </row>
    <row r="52" spans="2:9" x14ac:dyDescent="0.25">
      <c r="B52" s="40"/>
      <c r="C52" s="42" t="s">
        <v>909</v>
      </c>
      <c r="D52" s="42" t="s">
        <v>910</v>
      </c>
      <c r="E52" s="42" t="s">
        <v>836</v>
      </c>
      <c r="F52" s="47" t="s">
        <v>21</v>
      </c>
      <c r="G52" s="42" t="s">
        <v>837</v>
      </c>
      <c r="H52" s="42" t="s">
        <v>838</v>
      </c>
      <c r="I52" s="43"/>
    </row>
    <row r="53" spans="2:9" x14ac:dyDescent="0.25">
      <c r="B53" s="40"/>
      <c r="C53" s="42" t="s">
        <v>302</v>
      </c>
      <c r="D53" s="42" t="s">
        <v>911</v>
      </c>
      <c r="E53" s="42" t="s">
        <v>836</v>
      </c>
      <c r="F53" s="47" t="s">
        <v>21</v>
      </c>
      <c r="G53" s="42" t="s">
        <v>837</v>
      </c>
      <c r="H53" s="42" t="s">
        <v>838</v>
      </c>
      <c r="I53" s="43"/>
    </row>
    <row r="54" spans="2:9" x14ac:dyDescent="0.25">
      <c r="B54" s="40"/>
      <c r="C54" s="42" t="s">
        <v>912</v>
      </c>
      <c r="D54" s="42" t="s">
        <v>913</v>
      </c>
      <c r="E54" s="42" t="s">
        <v>896</v>
      </c>
      <c r="F54" s="48" t="s">
        <v>278</v>
      </c>
      <c r="G54" s="42" t="s">
        <v>837</v>
      </c>
      <c r="H54" s="42" t="s">
        <v>884</v>
      </c>
      <c r="I54" s="43"/>
    </row>
    <row r="55" spans="2:9" x14ac:dyDescent="0.25">
      <c r="B55" s="40"/>
      <c r="C55" s="42" t="s">
        <v>914</v>
      </c>
      <c r="D55" s="42" t="s">
        <v>915</v>
      </c>
      <c r="E55" s="42" t="s">
        <v>836</v>
      </c>
      <c r="F55" s="48" t="s">
        <v>278</v>
      </c>
      <c r="G55" s="42" t="s">
        <v>837</v>
      </c>
      <c r="H55" s="42" t="s">
        <v>838</v>
      </c>
      <c r="I55" s="43"/>
    </row>
    <row r="56" spans="2:9" x14ac:dyDescent="0.25">
      <c r="B56" s="40"/>
      <c r="C56" s="42" t="s">
        <v>916</v>
      </c>
      <c r="D56" s="42" t="s">
        <v>917</v>
      </c>
      <c r="E56" s="42" t="s">
        <v>836</v>
      </c>
      <c r="F56" s="47" t="s">
        <v>21</v>
      </c>
      <c r="G56" s="42" t="s">
        <v>837</v>
      </c>
      <c r="H56" s="42" t="s">
        <v>838</v>
      </c>
      <c r="I56" s="43"/>
    </row>
    <row r="57" spans="2:9" x14ac:dyDescent="0.25">
      <c r="B57" s="40"/>
      <c r="C57" s="42" t="s">
        <v>37</v>
      </c>
      <c r="D57" s="42" t="s">
        <v>918</v>
      </c>
      <c r="E57" s="42" t="s">
        <v>836</v>
      </c>
      <c r="F57" s="47" t="s">
        <v>21</v>
      </c>
      <c r="G57" s="42" t="s">
        <v>837</v>
      </c>
      <c r="H57" s="42" t="s">
        <v>838</v>
      </c>
      <c r="I57" s="43"/>
    </row>
    <row r="58" spans="2:9" x14ac:dyDescent="0.25">
      <c r="B58" s="40"/>
      <c r="C58" s="42" t="s">
        <v>305</v>
      </c>
      <c r="D58" s="42" t="s">
        <v>919</v>
      </c>
      <c r="E58" s="42" t="s">
        <v>836</v>
      </c>
      <c r="F58" s="47" t="s">
        <v>21</v>
      </c>
      <c r="G58" s="42" t="s">
        <v>837</v>
      </c>
      <c r="H58" s="42" t="s">
        <v>838</v>
      </c>
      <c r="I58" s="43"/>
    </row>
    <row r="59" spans="2:9" x14ac:dyDescent="0.25">
      <c r="B59" s="40"/>
      <c r="C59" s="42" t="s">
        <v>40</v>
      </c>
      <c r="D59" s="42" t="s">
        <v>920</v>
      </c>
      <c r="E59" s="42" t="s">
        <v>836</v>
      </c>
      <c r="F59" s="47" t="s">
        <v>21</v>
      </c>
      <c r="G59" s="42" t="s">
        <v>837</v>
      </c>
      <c r="H59" s="42" t="s">
        <v>838</v>
      </c>
      <c r="I59" s="43"/>
    </row>
    <row r="60" spans="2:9" x14ac:dyDescent="0.25">
      <c r="B60" s="40"/>
      <c r="C60" s="42" t="s">
        <v>684</v>
      </c>
      <c r="D60" s="42" t="s">
        <v>921</v>
      </c>
      <c r="E60" s="42" t="s">
        <v>836</v>
      </c>
      <c r="F60" s="47" t="s">
        <v>21</v>
      </c>
      <c r="G60" s="42" t="s">
        <v>837</v>
      </c>
      <c r="H60" s="42" t="s">
        <v>838</v>
      </c>
      <c r="I60" s="43"/>
    </row>
    <row r="61" spans="2:9" x14ac:dyDescent="0.25">
      <c r="B61" s="40"/>
      <c r="C61" s="42" t="s">
        <v>310</v>
      </c>
      <c r="D61" s="42" t="s">
        <v>922</v>
      </c>
      <c r="E61" s="42" t="s">
        <v>836</v>
      </c>
      <c r="F61" s="47" t="s">
        <v>21</v>
      </c>
      <c r="G61" s="42" t="s">
        <v>837</v>
      </c>
      <c r="H61" s="42" t="s">
        <v>838</v>
      </c>
      <c r="I61" s="43"/>
    </row>
    <row r="62" spans="2:9" x14ac:dyDescent="0.25">
      <c r="B62" s="40"/>
      <c r="C62" s="42" t="s">
        <v>43</v>
      </c>
      <c r="D62" s="42" t="s">
        <v>923</v>
      </c>
      <c r="E62" s="42" t="s">
        <v>836</v>
      </c>
      <c r="F62" s="47" t="s">
        <v>21</v>
      </c>
      <c r="G62" s="42" t="s">
        <v>837</v>
      </c>
      <c r="H62" s="42" t="s">
        <v>838</v>
      </c>
      <c r="I62" s="43"/>
    </row>
    <row r="63" spans="2:9" x14ac:dyDescent="0.25">
      <c r="B63" s="40"/>
      <c r="C63" s="42" t="s">
        <v>316</v>
      </c>
      <c r="D63" s="42" t="s">
        <v>924</v>
      </c>
      <c r="E63" s="42" t="s">
        <v>836</v>
      </c>
      <c r="F63" s="47" t="s">
        <v>21</v>
      </c>
      <c r="G63" s="42" t="s">
        <v>837</v>
      </c>
      <c r="H63" s="42" t="s">
        <v>838</v>
      </c>
      <c r="I63" s="43"/>
    </row>
    <row r="64" spans="2:9" x14ac:dyDescent="0.25">
      <c r="B64" s="40"/>
      <c r="C64" s="42" t="s">
        <v>925</v>
      </c>
      <c r="D64" s="42" t="s">
        <v>926</v>
      </c>
      <c r="E64" s="42" t="s">
        <v>836</v>
      </c>
      <c r="F64" s="48" t="s">
        <v>278</v>
      </c>
      <c r="G64" s="42" t="s">
        <v>837</v>
      </c>
      <c r="H64" s="42" t="s">
        <v>838</v>
      </c>
      <c r="I64" s="43"/>
    </row>
    <row r="65" spans="2:9" x14ac:dyDescent="0.25">
      <c r="B65" s="40"/>
      <c r="C65" s="42" t="s">
        <v>927</v>
      </c>
      <c r="D65" s="42" t="s">
        <v>928</v>
      </c>
      <c r="E65" s="42" t="s">
        <v>836</v>
      </c>
      <c r="F65" s="47" t="s">
        <v>21</v>
      </c>
      <c r="G65" s="42" t="s">
        <v>837</v>
      </c>
      <c r="H65" s="42" t="s">
        <v>838</v>
      </c>
      <c r="I65" s="43"/>
    </row>
    <row r="66" spans="2:9" x14ac:dyDescent="0.25">
      <c r="B66" s="40"/>
      <c r="C66" s="42" t="s">
        <v>318</v>
      </c>
      <c r="D66" s="42" t="s">
        <v>929</v>
      </c>
      <c r="E66" s="42" t="s">
        <v>836</v>
      </c>
      <c r="F66" s="47" t="s">
        <v>21</v>
      </c>
      <c r="G66" s="42" t="s">
        <v>837</v>
      </c>
      <c r="H66" s="42" t="s">
        <v>838</v>
      </c>
      <c r="I66" s="43"/>
    </row>
    <row r="67" spans="2:9" x14ac:dyDescent="0.25">
      <c r="B67" s="40"/>
      <c r="C67" s="42" t="s">
        <v>320</v>
      </c>
      <c r="D67" s="42" t="s">
        <v>930</v>
      </c>
      <c r="E67" s="42" t="s">
        <v>836</v>
      </c>
      <c r="F67" s="47" t="s">
        <v>21</v>
      </c>
      <c r="G67" s="42" t="s">
        <v>837</v>
      </c>
      <c r="H67" s="42" t="s">
        <v>838</v>
      </c>
      <c r="I67" s="43"/>
    </row>
    <row r="68" spans="2:9" x14ac:dyDescent="0.25">
      <c r="B68" s="40"/>
      <c r="C68" s="42" t="s">
        <v>322</v>
      </c>
      <c r="D68" s="42" t="s">
        <v>931</v>
      </c>
      <c r="E68" s="42" t="s">
        <v>836</v>
      </c>
      <c r="F68" s="47" t="s">
        <v>21</v>
      </c>
      <c r="G68" s="42" t="s">
        <v>837</v>
      </c>
      <c r="H68" s="42" t="s">
        <v>838</v>
      </c>
      <c r="I68" s="43"/>
    </row>
    <row r="69" spans="2:9" x14ac:dyDescent="0.25">
      <c r="B69" s="40"/>
      <c r="C69" s="42" t="s">
        <v>47</v>
      </c>
      <c r="D69" s="42" t="s">
        <v>932</v>
      </c>
      <c r="E69" s="42" t="s">
        <v>836</v>
      </c>
      <c r="F69" s="47" t="s">
        <v>21</v>
      </c>
      <c r="G69" s="42" t="s">
        <v>837</v>
      </c>
      <c r="H69" s="42" t="s">
        <v>838</v>
      </c>
      <c r="I69" s="43"/>
    </row>
    <row r="70" spans="2:9" x14ac:dyDescent="0.25">
      <c r="B70" s="40"/>
      <c r="C70" s="42" t="s">
        <v>324</v>
      </c>
      <c r="D70" s="42" t="s">
        <v>933</v>
      </c>
      <c r="E70" s="42" t="s">
        <v>836</v>
      </c>
      <c r="F70" s="48" t="s">
        <v>278</v>
      </c>
      <c r="G70" s="42" t="s">
        <v>837</v>
      </c>
      <c r="H70" s="42" t="s">
        <v>838</v>
      </c>
      <c r="I70" s="43"/>
    </row>
    <row r="71" spans="2:9" x14ac:dyDescent="0.25">
      <c r="B71" s="40"/>
      <c r="C71" s="42" t="s">
        <v>661</v>
      </c>
      <c r="D71" s="42" t="s">
        <v>934</v>
      </c>
      <c r="E71" s="42" t="s">
        <v>845</v>
      </c>
      <c r="F71" s="49" t="s">
        <v>423</v>
      </c>
      <c r="G71" s="42" t="s">
        <v>837</v>
      </c>
      <c r="H71" s="42" t="s">
        <v>838</v>
      </c>
      <c r="I71" s="43"/>
    </row>
    <row r="72" spans="2:9" x14ac:dyDescent="0.25">
      <c r="B72" s="40"/>
      <c r="C72" s="42" t="s">
        <v>328</v>
      </c>
      <c r="D72" s="42" t="s">
        <v>935</v>
      </c>
      <c r="E72" s="42" t="s">
        <v>836</v>
      </c>
      <c r="F72" s="47" t="s">
        <v>21</v>
      </c>
      <c r="G72" s="42" t="s">
        <v>837</v>
      </c>
      <c r="H72" s="42" t="s">
        <v>838</v>
      </c>
      <c r="I72" s="43"/>
    </row>
    <row r="73" spans="2:9" x14ac:dyDescent="0.25">
      <c r="B73" s="40"/>
      <c r="C73" s="42" t="s">
        <v>786</v>
      </c>
      <c r="D73" s="42" t="s">
        <v>936</v>
      </c>
      <c r="E73" s="42" t="s">
        <v>845</v>
      </c>
      <c r="F73" s="49" t="s">
        <v>423</v>
      </c>
      <c r="G73" s="42" t="s">
        <v>837</v>
      </c>
      <c r="H73" s="42" t="s">
        <v>838</v>
      </c>
      <c r="I73" s="43"/>
    </row>
    <row r="74" spans="2:9" x14ac:dyDescent="0.25">
      <c r="B74" s="40"/>
      <c r="C74" s="42" t="s">
        <v>52</v>
      </c>
      <c r="D74" s="42" t="s">
        <v>937</v>
      </c>
      <c r="E74" s="42" t="s">
        <v>836</v>
      </c>
      <c r="F74" s="47" t="s">
        <v>21</v>
      </c>
      <c r="G74" s="42" t="s">
        <v>837</v>
      </c>
      <c r="H74" s="42" t="s">
        <v>838</v>
      </c>
      <c r="I74" s="43"/>
    </row>
    <row r="75" spans="2:9" x14ac:dyDescent="0.25">
      <c r="B75" s="40"/>
      <c r="C75" s="42" t="s">
        <v>331</v>
      </c>
      <c r="D75" s="42" t="s">
        <v>938</v>
      </c>
      <c r="E75" s="42" t="s">
        <v>836</v>
      </c>
      <c r="F75" s="47" t="s">
        <v>21</v>
      </c>
      <c r="G75" s="42" t="s">
        <v>837</v>
      </c>
      <c r="H75" s="42" t="s">
        <v>838</v>
      </c>
      <c r="I75" s="43"/>
    </row>
    <row r="76" spans="2:9" x14ac:dyDescent="0.25">
      <c r="B76" s="40"/>
      <c r="C76" s="42" t="s">
        <v>334</v>
      </c>
      <c r="D76" s="42" t="s">
        <v>939</v>
      </c>
      <c r="E76" s="42" t="s">
        <v>836</v>
      </c>
      <c r="F76" s="47" t="s">
        <v>21</v>
      </c>
      <c r="G76" s="42" t="s">
        <v>837</v>
      </c>
      <c r="H76" s="42" t="s">
        <v>838</v>
      </c>
      <c r="I76" s="43"/>
    </row>
    <row r="77" spans="2:9" x14ac:dyDescent="0.25">
      <c r="B77" s="40"/>
      <c r="C77" s="42" t="s">
        <v>336</v>
      </c>
      <c r="D77" s="42" t="s">
        <v>940</v>
      </c>
      <c r="E77" s="42" t="s">
        <v>836</v>
      </c>
      <c r="F77" s="47" t="s">
        <v>21</v>
      </c>
      <c r="G77" s="42" t="s">
        <v>837</v>
      </c>
      <c r="H77" s="42" t="s">
        <v>838</v>
      </c>
      <c r="I77" s="43"/>
    </row>
    <row r="78" spans="2:9" x14ac:dyDescent="0.25">
      <c r="B78" s="40"/>
      <c r="C78" s="42" t="s">
        <v>339</v>
      </c>
      <c r="D78" s="42" t="s">
        <v>941</v>
      </c>
      <c r="E78" s="42" t="s">
        <v>836</v>
      </c>
      <c r="F78" s="47" t="s">
        <v>21</v>
      </c>
      <c r="G78" s="42" t="s">
        <v>837</v>
      </c>
      <c r="H78" s="42" t="s">
        <v>838</v>
      </c>
      <c r="I78" s="43"/>
    </row>
    <row r="79" spans="2:9" x14ac:dyDescent="0.25">
      <c r="B79" s="40"/>
      <c r="C79" s="42" t="s">
        <v>57</v>
      </c>
      <c r="D79" s="42" t="s">
        <v>942</v>
      </c>
      <c r="E79" s="42" t="s">
        <v>836</v>
      </c>
      <c r="F79" s="47" t="s">
        <v>21</v>
      </c>
      <c r="G79" s="42" t="s">
        <v>837</v>
      </c>
      <c r="H79" s="42" t="s">
        <v>838</v>
      </c>
      <c r="I79" s="43"/>
    </row>
    <row r="80" spans="2:9" x14ac:dyDescent="0.25">
      <c r="B80" s="40"/>
      <c r="C80" s="42" t="s">
        <v>943</v>
      </c>
      <c r="D80" s="42" t="s">
        <v>944</v>
      </c>
      <c r="E80" s="42" t="s">
        <v>836</v>
      </c>
      <c r="F80" s="48" t="s">
        <v>278</v>
      </c>
      <c r="G80" s="42" t="s">
        <v>837</v>
      </c>
      <c r="H80" s="42" t="s">
        <v>838</v>
      </c>
      <c r="I80" s="43"/>
    </row>
    <row r="81" spans="2:9" x14ac:dyDescent="0.25">
      <c r="B81" s="40"/>
      <c r="C81" s="42" t="s">
        <v>711</v>
      </c>
      <c r="D81" s="42" t="s">
        <v>945</v>
      </c>
      <c r="E81" s="42" t="s">
        <v>836</v>
      </c>
      <c r="F81" s="47" t="s">
        <v>21</v>
      </c>
      <c r="G81" s="42" t="s">
        <v>837</v>
      </c>
      <c r="H81" s="42" t="s">
        <v>838</v>
      </c>
      <c r="I81" s="43"/>
    </row>
    <row r="82" spans="2:9" x14ac:dyDescent="0.25">
      <c r="B82" s="40"/>
      <c r="C82" s="42" t="s">
        <v>946</v>
      </c>
      <c r="D82" s="42" t="s">
        <v>947</v>
      </c>
      <c r="E82" s="42" t="s">
        <v>836</v>
      </c>
      <c r="F82" s="47" t="s">
        <v>21</v>
      </c>
      <c r="G82" s="42" t="s">
        <v>837</v>
      </c>
      <c r="H82" s="42" t="s">
        <v>838</v>
      </c>
      <c r="I82" s="43"/>
    </row>
    <row r="83" spans="2:9" x14ac:dyDescent="0.25">
      <c r="B83" s="40"/>
      <c r="C83" s="42" t="s">
        <v>948</v>
      </c>
      <c r="D83" s="42" t="s">
        <v>949</v>
      </c>
      <c r="E83" s="42" t="s">
        <v>836</v>
      </c>
      <c r="F83" s="47" t="s">
        <v>21</v>
      </c>
      <c r="G83" s="42" t="s">
        <v>837</v>
      </c>
      <c r="H83" s="42" t="s">
        <v>838</v>
      </c>
      <c r="I83" s="43"/>
    </row>
    <row r="84" spans="2:9" x14ac:dyDescent="0.25">
      <c r="B84" s="40"/>
      <c r="C84" s="42" t="s">
        <v>950</v>
      </c>
      <c r="D84" s="42" t="s">
        <v>951</v>
      </c>
      <c r="E84" s="42" t="s">
        <v>836</v>
      </c>
      <c r="F84" s="48" t="s">
        <v>278</v>
      </c>
      <c r="G84" s="42" t="s">
        <v>837</v>
      </c>
      <c r="H84" s="42" t="s">
        <v>838</v>
      </c>
      <c r="I84" s="43"/>
    </row>
    <row r="85" spans="2:9" x14ac:dyDescent="0.25">
      <c r="B85" s="40"/>
      <c r="C85" s="42" t="s">
        <v>271</v>
      </c>
      <c r="D85" s="42" t="s">
        <v>952</v>
      </c>
      <c r="E85" s="42" t="s">
        <v>836</v>
      </c>
      <c r="F85" s="47" t="s">
        <v>21</v>
      </c>
      <c r="G85" s="42" t="s">
        <v>837</v>
      </c>
      <c r="H85" s="42" t="s">
        <v>838</v>
      </c>
      <c r="I85" s="43"/>
    </row>
    <row r="86" spans="2:9" x14ac:dyDescent="0.25">
      <c r="B86" s="40"/>
      <c r="C86" s="42" t="s">
        <v>342</v>
      </c>
      <c r="D86" s="42" t="s">
        <v>953</v>
      </c>
      <c r="E86" s="42" t="s">
        <v>836</v>
      </c>
      <c r="F86" s="47" t="s">
        <v>21</v>
      </c>
      <c r="G86" s="42" t="s">
        <v>837</v>
      </c>
      <c r="H86" s="42" t="s">
        <v>838</v>
      </c>
      <c r="I86" s="43"/>
    </row>
    <row r="87" spans="2:9" x14ac:dyDescent="0.25">
      <c r="B87" s="40"/>
      <c r="C87" s="42" t="s">
        <v>345</v>
      </c>
      <c r="D87" s="42" t="s">
        <v>954</v>
      </c>
      <c r="E87" s="42" t="s">
        <v>836</v>
      </c>
      <c r="F87" s="47" t="s">
        <v>21</v>
      </c>
      <c r="G87" s="42" t="s">
        <v>837</v>
      </c>
      <c r="H87" s="42" t="s">
        <v>838</v>
      </c>
      <c r="I87" s="43"/>
    </row>
    <row r="88" spans="2:9" x14ac:dyDescent="0.25">
      <c r="B88" s="40"/>
      <c r="C88" s="42" t="s">
        <v>955</v>
      </c>
      <c r="D88" s="42" t="s">
        <v>956</v>
      </c>
      <c r="E88" s="42" t="s">
        <v>836</v>
      </c>
      <c r="F88" s="48" t="s">
        <v>278</v>
      </c>
      <c r="G88" s="42" t="s">
        <v>837</v>
      </c>
      <c r="H88" s="42" t="s">
        <v>838</v>
      </c>
      <c r="I88" s="43"/>
    </row>
    <row r="89" spans="2:9" x14ac:dyDescent="0.25">
      <c r="B89" s="40"/>
      <c r="C89" s="42" t="s">
        <v>957</v>
      </c>
      <c r="D89" s="42" t="s">
        <v>958</v>
      </c>
      <c r="E89" s="42" t="s">
        <v>836</v>
      </c>
      <c r="F89" s="48" t="s">
        <v>278</v>
      </c>
      <c r="G89" s="42" t="s">
        <v>837</v>
      </c>
      <c r="H89" s="42" t="s">
        <v>838</v>
      </c>
      <c r="I89" s="43"/>
    </row>
    <row r="90" spans="2:9" x14ac:dyDescent="0.25">
      <c r="B90" s="40"/>
      <c r="C90" s="42" t="s">
        <v>60</v>
      </c>
      <c r="D90" s="42" t="s">
        <v>959</v>
      </c>
      <c r="E90" s="42" t="s">
        <v>836</v>
      </c>
      <c r="F90" s="47" t="s">
        <v>21</v>
      </c>
      <c r="G90" s="42" t="s">
        <v>837</v>
      </c>
      <c r="H90" s="42" t="s">
        <v>838</v>
      </c>
      <c r="I90" s="43"/>
    </row>
    <row r="91" spans="2:9" x14ac:dyDescent="0.25">
      <c r="B91" s="40"/>
      <c r="C91" s="42" t="s">
        <v>348</v>
      </c>
      <c r="D91" s="42" t="s">
        <v>960</v>
      </c>
      <c r="E91" s="42" t="s">
        <v>836</v>
      </c>
      <c r="F91" s="47" t="s">
        <v>21</v>
      </c>
      <c r="G91" s="42" t="s">
        <v>837</v>
      </c>
      <c r="H91" s="42" t="s">
        <v>838</v>
      </c>
      <c r="I91" s="43"/>
    </row>
    <row r="92" spans="2:9" x14ac:dyDescent="0.25">
      <c r="B92" s="40"/>
      <c r="C92" s="42" t="s">
        <v>790</v>
      </c>
      <c r="D92" s="42" t="s">
        <v>961</v>
      </c>
      <c r="E92" s="42" t="s">
        <v>836</v>
      </c>
      <c r="F92" s="48" t="s">
        <v>278</v>
      </c>
      <c r="G92" s="42" t="s">
        <v>837</v>
      </c>
      <c r="H92" s="42" t="s">
        <v>838</v>
      </c>
      <c r="I92" s="43"/>
    </row>
    <row r="93" spans="2:9" x14ac:dyDescent="0.25">
      <c r="B93" s="40"/>
      <c r="C93" s="42" t="s">
        <v>447</v>
      </c>
      <c r="D93" s="42" t="s">
        <v>962</v>
      </c>
      <c r="E93" s="42" t="s">
        <v>836</v>
      </c>
      <c r="F93" s="47" t="s">
        <v>21</v>
      </c>
      <c r="G93" s="42" t="s">
        <v>837</v>
      </c>
      <c r="H93" s="42" t="s">
        <v>838</v>
      </c>
      <c r="I93" s="43"/>
    </row>
    <row r="94" spans="2:9" x14ac:dyDescent="0.25">
      <c r="B94" s="40"/>
      <c r="C94" s="42" t="s">
        <v>636</v>
      </c>
      <c r="D94" s="42" t="s">
        <v>963</v>
      </c>
      <c r="E94" s="42" t="s">
        <v>836</v>
      </c>
      <c r="F94" s="47" t="s">
        <v>21</v>
      </c>
      <c r="G94" s="42" t="s">
        <v>837</v>
      </c>
      <c r="H94" s="42" t="s">
        <v>838</v>
      </c>
      <c r="I94" s="43"/>
    </row>
    <row r="95" spans="2:9" x14ac:dyDescent="0.25">
      <c r="B95" s="40"/>
      <c r="C95" s="42" t="s">
        <v>358</v>
      </c>
      <c r="D95" s="42" t="s">
        <v>964</v>
      </c>
      <c r="E95" s="42" t="s">
        <v>836</v>
      </c>
      <c r="F95" s="47" t="s">
        <v>21</v>
      </c>
      <c r="G95" s="42" t="s">
        <v>837</v>
      </c>
      <c r="H95" s="42" t="s">
        <v>838</v>
      </c>
      <c r="I95" s="43"/>
    </row>
    <row r="96" spans="2:9" x14ac:dyDescent="0.25">
      <c r="B96" s="40"/>
      <c r="C96" s="42" t="s">
        <v>965</v>
      </c>
      <c r="D96" s="42" t="s">
        <v>966</v>
      </c>
      <c r="E96" s="42" t="s">
        <v>836</v>
      </c>
      <c r="F96" s="47" t="s">
        <v>21</v>
      </c>
      <c r="G96" s="42" t="s">
        <v>837</v>
      </c>
      <c r="H96" s="42" t="s">
        <v>838</v>
      </c>
      <c r="I96" s="43"/>
    </row>
    <row r="97" spans="2:9" x14ac:dyDescent="0.25">
      <c r="B97" s="40"/>
      <c r="C97" s="42" t="s">
        <v>361</v>
      </c>
      <c r="D97" s="42" t="s">
        <v>967</v>
      </c>
      <c r="E97" s="42" t="s">
        <v>836</v>
      </c>
      <c r="F97" s="47" t="s">
        <v>21</v>
      </c>
      <c r="G97" s="42" t="s">
        <v>837</v>
      </c>
      <c r="H97" s="42" t="s">
        <v>838</v>
      </c>
      <c r="I97" s="43"/>
    </row>
    <row r="98" spans="2:9" x14ac:dyDescent="0.25">
      <c r="B98" s="40"/>
      <c r="C98" s="42" t="s">
        <v>363</v>
      </c>
      <c r="D98" s="42" t="s">
        <v>968</v>
      </c>
      <c r="E98" s="42" t="s">
        <v>836</v>
      </c>
      <c r="F98" s="47" t="s">
        <v>21</v>
      </c>
      <c r="G98" s="42" t="s">
        <v>837</v>
      </c>
      <c r="H98" s="42" t="s">
        <v>838</v>
      </c>
      <c r="I98" s="43"/>
    </row>
    <row r="99" spans="2:9" x14ac:dyDescent="0.25">
      <c r="B99" s="40"/>
      <c r="C99" s="42" t="s">
        <v>969</v>
      </c>
      <c r="D99" s="42" t="s">
        <v>970</v>
      </c>
      <c r="E99" s="42" t="s">
        <v>836</v>
      </c>
      <c r="F99" s="47" t="s">
        <v>21</v>
      </c>
      <c r="G99" s="42" t="s">
        <v>837</v>
      </c>
      <c r="H99" s="42" t="s">
        <v>838</v>
      </c>
      <c r="I99" s="43"/>
    </row>
    <row r="100" spans="2:9" x14ac:dyDescent="0.25">
      <c r="B100" s="40"/>
      <c r="C100" s="42" t="s">
        <v>365</v>
      </c>
      <c r="D100" s="42" t="s">
        <v>971</v>
      </c>
      <c r="E100" s="42" t="s">
        <v>836</v>
      </c>
      <c r="F100" s="47" t="s">
        <v>21</v>
      </c>
      <c r="G100" s="42" t="s">
        <v>837</v>
      </c>
      <c r="H100" s="42" t="s">
        <v>838</v>
      </c>
      <c r="I100" s="43"/>
    </row>
    <row r="101" spans="2:9" x14ac:dyDescent="0.25">
      <c r="B101" s="40"/>
      <c r="C101" s="42" t="s">
        <v>972</v>
      </c>
      <c r="D101" s="42" t="s">
        <v>973</v>
      </c>
      <c r="E101" s="42" t="s">
        <v>836</v>
      </c>
      <c r="F101" s="52" t="s">
        <v>974</v>
      </c>
      <c r="G101" s="42" t="s">
        <v>838</v>
      </c>
      <c r="H101" s="42" t="s">
        <v>838</v>
      </c>
      <c r="I101" s="43"/>
    </row>
    <row r="102" spans="2:9" x14ac:dyDescent="0.25">
      <c r="B102" s="41"/>
      <c r="C102" s="44" t="s">
        <v>975</v>
      </c>
      <c r="D102" s="44" t="s">
        <v>976</v>
      </c>
      <c r="E102" s="44" t="s">
        <v>836</v>
      </c>
      <c r="F102" s="53" t="s">
        <v>21</v>
      </c>
      <c r="G102" s="44" t="s">
        <v>837</v>
      </c>
      <c r="H102" s="44" t="s">
        <v>838</v>
      </c>
      <c r="I102" s="45"/>
    </row>
    <row r="103" spans="2:9" x14ac:dyDescent="0.25">
      <c r="B103" s="40"/>
      <c r="C103" s="42" t="s">
        <v>977</v>
      </c>
      <c r="D103" s="42" t="s">
        <v>978</v>
      </c>
      <c r="E103" s="42" t="s">
        <v>836</v>
      </c>
      <c r="F103" s="48" t="s">
        <v>278</v>
      </c>
      <c r="G103" s="42" t="s">
        <v>837</v>
      </c>
      <c r="H103" s="42" t="s">
        <v>838</v>
      </c>
      <c r="I103" s="43"/>
    </row>
    <row r="104" spans="2:9" x14ac:dyDescent="0.25">
      <c r="B104" s="40"/>
      <c r="C104" s="42" t="s">
        <v>979</v>
      </c>
      <c r="D104" s="42" t="s">
        <v>980</v>
      </c>
      <c r="E104" s="42" t="s">
        <v>836</v>
      </c>
      <c r="F104" s="47" t="s">
        <v>21</v>
      </c>
      <c r="G104" s="42" t="s">
        <v>837</v>
      </c>
      <c r="H104" s="42" t="s">
        <v>838</v>
      </c>
      <c r="I104" s="43"/>
    </row>
    <row r="105" spans="2:9" x14ac:dyDescent="0.25">
      <c r="B105" s="40"/>
      <c r="C105" s="42" t="s">
        <v>369</v>
      </c>
      <c r="D105" s="42" t="s">
        <v>981</v>
      </c>
      <c r="E105" s="42" t="s">
        <v>836</v>
      </c>
      <c r="F105" s="47" t="s">
        <v>21</v>
      </c>
      <c r="G105" s="42" t="s">
        <v>837</v>
      </c>
      <c r="H105" s="42" t="s">
        <v>838</v>
      </c>
      <c r="I105" s="43"/>
    </row>
    <row r="106" spans="2:9" x14ac:dyDescent="0.25">
      <c r="B106" s="40"/>
      <c r="C106" s="42" t="s">
        <v>372</v>
      </c>
      <c r="D106" s="42" t="s">
        <v>982</v>
      </c>
      <c r="E106" s="42" t="s">
        <v>836</v>
      </c>
      <c r="F106" s="47" t="s">
        <v>21</v>
      </c>
      <c r="G106" s="42" t="s">
        <v>837</v>
      </c>
      <c r="H106" s="42" t="s">
        <v>838</v>
      </c>
      <c r="I106" s="43"/>
    </row>
    <row r="107" spans="2:9" x14ac:dyDescent="0.25">
      <c r="B107" s="40"/>
      <c r="C107" s="42" t="s">
        <v>983</v>
      </c>
      <c r="D107" s="42" t="s">
        <v>984</v>
      </c>
      <c r="E107" s="42" t="s">
        <v>896</v>
      </c>
      <c r="F107" s="52" t="s">
        <v>974</v>
      </c>
      <c r="G107" s="42" t="s">
        <v>838</v>
      </c>
      <c r="H107" s="42" t="s">
        <v>838</v>
      </c>
      <c r="I107" s="43"/>
    </row>
    <row r="108" spans="2:9" x14ac:dyDescent="0.25">
      <c r="B108" s="40"/>
      <c r="C108" s="42" t="s">
        <v>985</v>
      </c>
      <c r="D108" s="42" t="s">
        <v>986</v>
      </c>
      <c r="E108" s="42" t="s">
        <v>836</v>
      </c>
      <c r="F108" s="47" t="s">
        <v>21</v>
      </c>
      <c r="G108" s="42" t="s">
        <v>837</v>
      </c>
      <c r="H108" s="42" t="s">
        <v>838</v>
      </c>
      <c r="I108" s="43"/>
    </row>
    <row r="109" spans="2:9" x14ac:dyDescent="0.25">
      <c r="B109" s="40"/>
      <c r="C109" s="42" t="s">
        <v>374</v>
      </c>
      <c r="D109" s="42" t="s">
        <v>987</v>
      </c>
      <c r="E109" s="42" t="s">
        <v>836</v>
      </c>
      <c r="F109" s="47" t="s">
        <v>21</v>
      </c>
      <c r="G109" s="42" t="s">
        <v>837</v>
      </c>
      <c r="H109" s="42" t="s">
        <v>838</v>
      </c>
      <c r="I109" s="43"/>
    </row>
    <row r="110" spans="2:9" x14ac:dyDescent="0.25">
      <c r="B110" s="40"/>
      <c r="C110" s="42" t="s">
        <v>376</v>
      </c>
      <c r="D110" s="42" t="s">
        <v>988</v>
      </c>
      <c r="E110" s="42" t="s">
        <v>836</v>
      </c>
      <c r="F110" s="47" t="s">
        <v>21</v>
      </c>
      <c r="G110" s="42" t="s">
        <v>837</v>
      </c>
      <c r="H110" s="42" t="s">
        <v>838</v>
      </c>
      <c r="I110" s="43"/>
    </row>
    <row r="111" spans="2:9" x14ac:dyDescent="0.25">
      <c r="B111" s="40"/>
      <c r="C111" s="42" t="s">
        <v>736</v>
      </c>
      <c r="D111" s="42" t="s">
        <v>989</v>
      </c>
      <c r="E111" s="42" t="s">
        <v>836</v>
      </c>
      <c r="F111" s="47" t="s">
        <v>21</v>
      </c>
      <c r="G111" s="42" t="s">
        <v>837</v>
      </c>
      <c r="H111" s="42" t="s">
        <v>838</v>
      </c>
      <c r="I111" s="43"/>
    </row>
    <row r="112" spans="2:9" x14ac:dyDescent="0.25">
      <c r="B112" s="40"/>
      <c r="C112" s="42" t="s">
        <v>381</v>
      </c>
      <c r="D112" s="42" t="s">
        <v>990</v>
      </c>
      <c r="E112" s="42" t="s">
        <v>836</v>
      </c>
      <c r="F112" s="48" t="s">
        <v>278</v>
      </c>
      <c r="G112" s="42" t="s">
        <v>837</v>
      </c>
      <c r="H112" s="42" t="s">
        <v>838</v>
      </c>
      <c r="I112" s="43"/>
    </row>
    <row r="113" spans="2:9" x14ac:dyDescent="0.25">
      <c r="B113" s="40"/>
      <c r="C113" s="42" t="s">
        <v>63</v>
      </c>
      <c r="D113" s="42" t="s">
        <v>991</v>
      </c>
      <c r="E113" s="42" t="s">
        <v>836</v>
      </c>
      <c r="F113" s="47" t="s">
        <v>21</v>
      </c>
      <c r="G113" s="42" t="s">
        <v>837</v>
      </c>
      <c r="H113" s="42" t="s">
        <v>838</v>
      </c>
      <c r="I113" s="43"/>
    </row>
    <row r="114" spans="2:9" x14ac:dyDescent="0.25">
      <c r="B114" s="40"/>
      <c r="C114" s="42" t="s">
        <v>992</v>
      </c>
      <c r="D114" s="42" t="s">
        <v>993</v>
      </c>
      <c r="E114" s="42" t="s">
        <v>836</v>
      </c>
      <c r="F114" s="47" t="s">
        <v>21</v>
      </c>
      <c r="G114" s="42" t="s">
        <v>837</v>
      </c>
      <c r="H114" s="42" t="s">
        <v>838</v>
      </c>
      <c r="I114" s="43"/>
    </row>
    <row r="115" spans="2:9" x14ac:dyDescent="0.25">
      <c r="B115" s="40"/>
      <c r="C115" s="42" t="s">
        <v>383</v>
      </c>
      <c r="D115" s="42" t="s">
        <v>994</v>
      </c>
      <c r="E115" s="42" t="s">
        <v>836</v>
      </c>
      <c r="F115" s="47" t="s">
        <v>21</v>
      </c>
      <c r="G115" s="42" t="s">
        <v>837</v>
      </c>
      <c r="H115" s="42" t="s">
        <v>838</v>
      </c>
      <c r="I115" s="43"/>
    </row>
    <row r="116" spans="2:9" x14ac:dyDescent="0.25">
      <c r="B116" s="40"/>
      <c r="C116" s="42" t="s">
        <v>995</v>
      </c>
      <c r="D116" s="42" t="s">
        <v>996</v>
      </c>
      <c r="E116" s="42" t="s">
        <v>845</v>
      </c>
      <c r="F116" s="48" t="s">
        <v>278</v>
      </c>
      <c r="G116" s="42" t="s">
        <v>837</v>
      </c>
      <c r="H116" s="42" t="s">
        <v>838</v>
      </c>
      <c r="I116" s="43"/>
    </row>
    <row r="117" spans="2:9" x14ac:dyDescent="0.25">
      <c r="B117" s="40"/>
      <c r="C117" s="42" t="s">
        <v>997</v>
      </c>
      <c r="D117" s="42" t="s">
        <v>998</v>
      </c>
      <c r="E117" s="42" t="s">
        <v>836</v>
      </c>
      <c r="F117" s="48" t="s">
        <v>278</v>
      </c>
      <c r="G117" s="42" t="s">
        <v>837</v>
      </c>
      <c r="H117" s="42" t="s">
        <v>838</v>
      </c>
      <c r="I117" s="43"/>
    </row>
    <row r="118" spans="2:9" x14ac:dyDescent="0.25">
      <c r="B118" s="40"/>
      <c r="C118" s="42" t="s">
        <v>66</v>
      </c>
      <c r="D118" s="42" t="s">
        <v>999</v>
      </c>
      <c r="E118" s="42" t="s">
        <v>836</v>
      </c>
      <c r="F118" s="47" t="s">
        <v>21</v>
      </c>
      <c r="G118" s="42" t="s">
        <v>837</v>
      </c>
      <c r="H118" s="42" t="s">
        <v>838</v>
      </c>
      <c r="I118" s="43"/>
    </row>
    <row r="119" spans="2:9" x14ac:dyDescent="0.25">
      <c r="B119" s="40"/>
      <c r="C119" s="42" t="s">
        <v>205</v>
      </c>
      <c r="D119" s="42" t="s">
        <v>1000</v>
      </c>
      <c r="E119" s="42" t="s">
        <v>836</v>
      </c>
      <c r="F119" s="47" t="s">
        <v>21</v>
      </c>
      <c r="G119" s="42" t="s">
        <v>837</v>
      </c>
      <c r="H119" s="42" t="s">
        <v>838</v>
      </c>
      <c r="I119" s="43"/>
    </row>
    <row r="120" spans="2:9" x14ac:dyDescent="0.25">
      <c r="B120" s="40"/>
      <c r="C120" s="42" t="s">
        <v>800</v>
      </c>
      <c r="D120" s="42" t="s">
        <v>1001</v>
      </c>
      <c r="E120" s="42" t="s">
        <v>836</v>
      </c>
      <c r="F120" s="47" t="s">
        <v>21</v>
      </c>
      <c r="G120" s="42" t="s">
        <v>837</v>
      </c>
      <c r="H120" s="42" t="s">
        <v>838</v>
      </c>
      <c r="I120" s="43"/>
    </row>
    <row r="121" spans="2:9" x14ac:dyDescent="0.25">
      <c r="B121" s="40"/>
      <c r="C121" s="42" t="s">
        <v>802</v>
      </c>
      <c r="D121" s="42" t="s">
        <v>1002</v>
      </c>
      <c r="E121" s="42" t="s">
        <v>836</v>
      </c>
      <c r="F121" s="47" t="s">
        <v>21</v>
      </c>
      <c r="G121" s="42" t="s">
        <v>837</v>
      </c>
      <c r="H121" s="42" t="s">
        <v>838</v>
      </c>
      <c r="I121" s="43"/>
    </row>
    <row r="122" spans="2:9" x14ac:dyDescent="0.25">
      <c r="B122" s="40"/>
      <c r="C122" s="42" t="s">
        <v>1003</v>
      </c>
      <c r="D122" s="42" t="s">
        <v>1004</v>
      </c>
      <c r="E122" s="42" t="s">
        <v>836</v>
      </c>
      <c r="F122" s="47" t="s">
        <v>21</v>
      </c>
      <c r="G122" s="42" t="s">
        <v>837</v>
      </c>
      <c r="H122" s="42" t="s">
        <v>838</v>
      </c>
      <c r="I122" s="43"/>
    </row>
    <row r="123" spans="2:9" x14ac:dyDescent="0.25">
      <c r="B123" s="40"/>
      <c r="C123" s="42" t="s">
        <v>1005</v>
      </c>
      <c r="D123" s="42" t="s">
        <v>1006</v>
      </c>
      <c r="E123" s="42" t="s">
        <v>836</v>
      </c>
      <c r="F123" s="48" t="s">
        <v>278</v>
      </c>
      <c r="G123" s="42" t="s">
        <v>837</v>
      </c>
      <c r="H123" s="42" t="s">
        <v>838</v>
      </c>
      <c r="I123" s="43"/>
    </row>
    <row r="124" spans="2:9" x14ac:dyDescent="0.25">
      <c r="B124" s="40"/>
      <c r="C124" s="42" t="s">
        <v>1007</v>
      </c>
      <c r="D124" s="42" t="s">
        <v>1008</v>
      </c>
      <c r="E124" s="42" t="s">
        <v>836</v>
      </c>
      <c r="F124" s="47" t="s">
        <v>21</v>
      </c>
      <c r="G124" s="42" t="s">
        <v>837</v>
      </c>
      <c r="H124" s="42" t="s">
        <v>838</v>
      </c>
      <c r="I124" s="43"/>
    </row>
    <row r="125" spans="2:9" x14ac:dyDescent="0.25">
      <c r="B125" s="40"/>
      <c r="C125" s="42" t="s">
        <v>356</v>
      </c>
      <c r="D125" s="42" t="s">
        <v>1009</v>
      </c>
      <c r="E125" s="42" t="s">
        <v>836</v>
      </c>
      <c r="F125" s="47" t="s">
        <v>21</v>
      </c>
      <c r="G125" s="42" t="s">
        <v>837</v>
      </c>
      <c r="H125" s="42" t="s">
        <v>838</v>
      </c>
      <c r="I125" s="43"/>
    </row>
    <row r="126" spans="2:9" x14ac:dyDescent="0.25">
      <c r="B126" s="40"/>
      <c r="C126" s="42" t="s">
        <v>1010</v>
      </c>
      <c r="D126" s="42" t="s">
        <v>1011</v>
      </c>
      <c r="E126" s="42" t="s">
        <v>836</v>
      </c>
      <c r="F126" s="47" t="s">
        <v>21</v>
      </c>
      <c r="G126" s="42" t="s">
        <v>837</v>
      </c>
      <c r="H126" s="42" t="s">
        <v>838</v>
      </c>
      <c r="I126" s="43"/>
    </row>
    <row r="127" spans="2:9" x14ac:dyDescent="0.25">
      <c r="B127" s="40"/>
      <c r="C127" s="42" t="s">
        <v>399</v>
      </c>
      <c r="D127" s="42" t="s">
        <v>1012</v>
      </c>
      <c r="E127" s="42" t="s">
        <v>836</v>
      </c>
      <c r="F127" s="47" t="s">
        <v>21</v>
      </c>
      <c r="G127" s="42" t="s">
        <v>837</v>
      </c>
      <c r="H127" s="42" t="s">
        <v>838</v>
      </c>
      <c r="I127" s="43"/>
    </row>
    <row r="128" spans="2:9" x14ac:dyDescent="0.25">
      <c r="B128" s="40"/>
      <c r="C128" s="42" t="s">
        <v>401</v>
      </c>
      <c r="D128" s="42" t="s">
        <v>1013</v>
      </c>
      <c r="E128" s="42" t="s">
        <v>836</v>
      </c>
      <c r="F128" s="47" t="s">
        <v>21</v>
      </c>
      <c r="G128" s="42" t="s">
        <v>837</v>
      </c>
      <c r="H128" s="42" t="s">
        <v>838</v>
      </c>
      <c r="I128" s="43"/>
    </row>
    <row r="129" spans="2:9" x14ac:dyDescent="0.25">
      <c r="B129" s="40"/>
      <c r="C129" s="42" t="s">
        <v>1014</v>
      </c>
      <c r="D129" s="42" t="s">
        <v>1015</v>
      </c>
      <c r="E129" s="42" t="s">
        <v>836</v>
      </c>
      <c r="F129" s="47" t="s">
        <v>21</v>
      </c>
      <c r="G129" s="42" t="s">
        <v>837</v>
      </c>
      <c r="H129" s="42" t="s">
        <v>838</v>
      </c>
      <c r="I129" s="43"/>
    </row>
    <row r="130" spans="2:9" x14ac:dyDescent="0.25">
      <c r="B130" s="40"/>
      <c r="C130" s="42" t="s">
        <v>69</v>
      </c>
      <c r="D130" s="42" t="s">
        <v>1016</v>
      </c>
      <c r="E130" s="42" t="s">
        <v>836</v>
      </c>
      <c r="F130" s="47" t="s">
        <v>21</v>
      </c>
      <c r="G130" s="42" t="s">
        <v>837</v>
      </c>
      <c r="H130" s="42" t="s">
        <v>838</v>
      </c>
      <c r="I130" s="43"/>
    </row>
    <row r="131" spans="2:9" x14ac:dyDescent="0.25">
      <c r="B131" s="40"/>
      <c r="C131" s="42" t="s">
        <v>404</v>
      </c>
      <c r="D131" s="42" t="s">
        <v>1017</v>
      </c>
      <c r="E131" s="42" t="s">
        <v>836</v>
      </c>
      <c r="F131" s="47" t="s">
        <v>21</v>
      </c>
      <c r="G131" s="42" t="s">
        <v>837</v>
      </c>
      <c r="H131" s="42" t="s">
        <v>838</v>
      </c>
      <c r="I131" s="43"/>
    </row>
    <row r="132" spans="2:9" x14ac:dyDescent="0.25">
      <c r="B132" s="40"/>
      <c r="C132" s="42" t="s">
        <v>407</v>
      </c>
      <c r="D132" s="42" t="s">
        <v>1018</v>
      </c>
      <c r="E132" s="42" t="s">
        <v>836</v>
      </c>
      <c r="F132" s="47" t="s">
        <v>21</v>
      </c>
      <c r="G132" s="42" t="s">
        <v>837</v>
      </c>
      <c r="H132" s="42" t="s">
        <v>838</v>
      </c>
      <c r="I132" s="43"/>
    </row>
    <row r="133" spans="2:9" x14ac:dyDescent="0.25">
      <c r="B133" s="40"/>
      <c r="C133" s="42" t="s">
        <v>409</v>
      </c>
      <c r="D133" s="42" t="s">
        <v>1019</v>
      </c>
      <c r="E133" s="42" t="s">
        <v>836</v>
      </c>
      <c r="F133" s="47" t="s">
        <v>21</v>
      </c>
      <c r="G133" s="42" t="s">
        <v>837</v>
      </c>
      <c r="H133" s="42" t="s">
        <v>838</v>
      </c>
      <c r="I133" s="43"/>
    </row>
    <row r="134" spans="2:9" x14ac:dyDescent="0.25">
      <c r="B134" s="40"/>
      <c r="C134" s="42" t="s">
        <v>1020</v>
      </c>
      <c r="D134" s="42" t="s">
        <v>1021</v>
      </c>
      <c r="E134" s="42" t="s">
        <v>836</v>
      </c>
      <c r="F134" s="48" t="s">
        <v>278</v>
      </c>
      <c r="G134" s="42" t="s">
        <v>837</v>
      </c>
      <c r="H134" s="42" t="s">
        <v>838</v>
      </c>
      <c r="I134" s="43"/>
    </row>
    <row r="135" spans="2:9" x14ac:dyDescent="0.25">
      <c r="B135" s="40"/>
      <c r="C135" s="42" t="s">
        <v>1022</v>
      </c>
      <c r="D135" s="42" t="s">
        <v>1023</v>
      </c>
      <c r="E135" s="42" t="s">
        <v>836</v>
      </c>
      <c r="F135" s="48" t="s">
        <v>278</v>
      </c>
      <c r="G135" s="42" t="s">
        <v>837</v>
      </c>
      <c r="H135" s="42" t="s">
        <v>838</v>
      </c>
      <c r="I135" s="43"/>
    </row>
    <row r="136" spans="2:9" x14ac:dyDescent="0.25">
      <c r="B136" s="40"/>
      <c r="C136" s="42" t="s">
        <v>643</v>
      </c>
      <c r="D136" s="42" t="s">
        <v>1024</v>
      </c>
      <c r="E136" s="42" t="s">
        <v>836</v>
      </c>
      <c r="F136" s="47" t="s">
        <v>21</v>
      </c>
      <c r="G136" s="42" t="s">
        <v>837</v>
      </c>
      <c r="H136" s="42" t="s">
        <v>838</v>
      </c>
      <c r="I136" s="43"/>
    </row>
    <row r="137" spans="2:9" x14ac:dyDescent="0.25">
      <c r="B137" s="40"/>
      <c r="C137" s="42" t="s">
        <v>71</v>
      </c>
      <c r="D137" s="42" t="s">
        <v>1025</v>
      </c>
      <c r="E137" s="42" t="s">
        <v>836</v>
      </c>
      <c r="F137" s="47" t="s">
        <v>21</v>
      </c>
      <c r="G137" s="42" t="s">
        <v>837</v>
      </c>
      <c r="H137" s="42" t="s">
        <v>838</v>
      </c>
      <c r="I137" s="43"/>
    </row>
    <row r="138" spans="2:9" x14ac:dyDescent="0.25">
      <c r="B138" s="40"/>
      <c r="C138" s="42" t="s">
        <v>1026</v>
      </c>
      <c r="D138" s="42" t="s">
        <v>1027</v>
      </c>
      <c r="E138" s="42" t="s">
        <v>836</v>
      </c>
      <c r="F138" s="47" t="s">
        <v>21</v>
      </c>
      <c r="G138" s="42" t="s">
        <v>837</v>
      </c>
      <c r="H138" s="42" t="s">
        <v>838</v>
      </c>
      <c r="I138" s="43"/>
    </row>
    <row r="139" spans="2:9" x14ac:dyDescent="0.25">
      <c r="B139" s="40"/>
      <c r="C139" s="42" t="s">
        <v>412</v>
      </c>
      <c r="D139" s="42" t="s">
        <v>1028</v>
      </c>
      <c r="E139" s="42" t="s">
        <v>836</v>
      </c>
      <c r="F139" s="47" t="s">
        <v>21</v>
      </c>
      <c r="G139" s="42" t="s">
        <v>837</v>
      </c>
      <c r="H139" s="42" t="s">
        <v>838</v>
      </c>
      <c r="I139" s="43"/>
    </row>
    <row r="140" spans="2:9" x14ac:dyDescent="0.25">
      <c r="B140" s="40"/>
      <c r="C140" s="42" t="s">
        <v>415</v>
      </c>
      <c r="D140" s="42" t="s">
        <v>1029</v>
      </c>
      <c r="E140" s="42" t="s">
        <v>836</v>
      </c>
      <c r="F140" s="47" t="s">
        <v>21</v>
      </c>
      <c r="G140" s="42" t="s">
        <v>837</v>
      </c>
      <c r="H140" s="42" t="s">
        <v>838</v>
      </c>
      <c r="I140" s="43"/>
    </row>
    <row r="141" spans="2:9" x14ac:dyDescent="0.25">
      <c r="B141" s="40"/>
      <c r="C141" s="42" t="s">
        <v>417</v>
      </c>
      <c r="D141" s="42" t="s">
        <v>1030</v>
      </c>
      <c r="E141" s="42" t="s">
        <v>836</v>
      </c>
      <c r="F141" s="47" t="s">
        <v>21</v>
      </c>
      <c r="G141" s="42" t="s">
        <v>837</v>
      </c>
      <c r="H141" s="42" t="s">
        <v>838</v>
      </c>
      <c r="I141" s="43"/>
    </row>
    <row r="142" spans="2:9" x14ac:dyDescent="0.25">
      <c r="B142" s="40"/>
      <c r="C142" s="42" t="s">
        <v>1031</v>
      </c>
      <c r="D142" s="42" t="s">
        <v>1032</v>
      </c>
      <c r="E142" s="42" t="s">
        <v>836</v>
      </c>
      <c r="F142" s="47" t="s">
        <v>21</v>
      </c>
      <c r="G142" s="42" t="s">
        <v>837</v>
      </c>
      <c r="H142" s="42" t="s">
        <v>838</v>
      </c>
      <c r="I142" s="43"/>
    </row>
    <row r="143" spans="2:9" x14ac:dyDescent="0.25">
      <c r="B143" s="40"/>
      <c r="C143" s="42" t="s">
        <v>728</v>
      </c>
      <c r="D143" s="42" t="s">
        <v>1033</v>
      </c>
      <c r="E143" s="42" t="s">
        <v>836</v>
      </c>
      <c r="F143" s="47" t="s">
        <v>21</v>
      </c>
      <c r="G143" s="42" t="s">
        <v>837</v>
      </c>
      <c r="H143" s="42" t="s">
        <v>838</v>
      </c>
      <c r="I143" s="43"/>
    </row>
    <row r="144" spans="2:9" x14ac:dyDescent="0.25">
      <c r="B144" s="40"/>
      <c r="C144" s="42" t="s">
        <v>782</v>
      </c>
      <c r="D144" s="42" t="s">
        <v>1034</v>
      </c>
      <c r="E144" s="42" t="s">
        <v>836</v>
      </c>
      <c r="F144" s="47" t="s">
        <v>21</v>
      </c>
      <c r="G144" s="42" t="s">
        <v>837</v>
      </c>
      <c r="H144" s="42" t="s">
        <v>838</v>
      </c>
      <c r="I144" s="43"/>
    </row>
    <row r="145" spans="2:9" x14ac:dyDescent="0.25">
      <c r="B145" s="40"/>
      <c r="C145" s="42" t="s">
        <v>1035</v>
      </c>
      <c r="D145" s="42" t="s">
        <v>1036</v>
      </c>
      <c r="E145" s="42" t="s">
        <v>836</v>
      </c>
      <c r="F145" s="48" t="s">
        <v>278</v>
      </c>
      <c r="G145" s="42" t="s">
        <v>837</v>
      </c>
      <c r="H145" s="42" t="s">
        <v>838</v>
      </c>
      <c r="I145" s="43"/>
    </row>
    <row r="146" spans="2:9" x14ac:dyDescent="0.25">
      <c r="B146" s="40"/>
      <c r="C146" s="42" t="s">
        <v>424</v>
      </c>
      <c r="D146" s="42" t="s">
        <v>1037</v>
      </c>
      <c r="E146" s="42" t="s">
        <v>836</v>
      </c>
      <c r="F146" s="47" t="s">
        <v>21</v>
      </c>
      <c r="G146" s="42" t="s">
        <v>837</v>
      </c>
      <c r="H146" s="42" t="s">
        <v>838</v>
      </c>
      <c r="I146" s="43"/>
    </row>
    <row r="147" spans="2:9" x14ac:dyDescent="0.25">
      <c r="B147" s="40"/>
      <c r="C147" s="42" t="s">
        <v>1038</v>
      </c>
      <c r="D147" s="42" t="s">
        <v>1039</v>
      </c>
      <c r="E147" s="42" t="s">
        <v>836</v>
      </c>
      <c r="F147" s="47" t="s">
        <v>21</v>
      </c>
      <c r="G147" s="42" t="s">
        <v>837</v>
      </c>
      <c r="H147" s="42" t="s">
        <v>838</v>
      </c>
      <c r="I147" s="43"/>
    </row>
    <row r="148" spans="2:9" x14ac:dyDescent="0.25">
      <c r="B148" s="40"/>
      <c r="C148" s="42" t="s">
        <v>77</v>
      </c>
      <c r="D148" s="42" t="s">
        <v>1040</v>
      </c>
      <c r="E148" s="42" t="s">
        <v>836</v>
      </c>
      <c r="F148" s="47" t="s">
        <v>21</v>
      </c>
      <c r="G148" s="42" t="s">
        <v>837</v>
      </c>
      <c r="H148" s="42" t="s">
        <v>838</v>
      </c>
      <c r="I148" s="43"/>
    </row>
    <row r="149" spans="2:9" x14ac:dyDescent="0.25">
      <c r="B149" s="40"/>
      <c r="C149" s="42" t="s">
        <v>426</v>
      </c>
      <c r="D149" s="42" t="s">
        <v>1041</v>
      </c>
      <c r="E149" s="42" t="s">
        <v>836</v>
      </c>
      <c r="F149" s="47" t="s">
        <v>21</v>
      </c>
      <c r="G149" s="42" t="s">
        <v>837</v>
      </c>
      <c r="H149" s="42" t="s">
        <v>838</v>
      </c>
      <c r="I149" s="43"/>
    </row>
    <row r="150" spans="2:9" x14ac:dyDescent="0.25">
      <c r="B150" s="40"/>
      <c r="C150" s="42" t="s">
        <v>561</v>
      </c>
      <c r="D150" s="42" t="s">
        <v>1042</v>
      </c>
      <c r="E150" s="42" t="s">
        <v>836</v>
      </c>
      <c r="F150" s="47" t="s">
        <v>21</v>
      </c>
      <c r="G150" s="42" t="s">
        <v>837</v>
      </c>
      <c r="H150" s="42" t="s">
        <v>838</v>
      </c>
      <c r="I150" s="43"/>
    </row>
    <row r="151" spans="2:9" x14ac:dyDescent="0.25">
      <c r="B151" s="40"/>
      <c r="C151" s="42" t="s">
        <v>1043</v>
      </c>
      <c r="D151" s="42" t="s">
        <v>1044</v>
      </c>
      <c r="E151" s="42" t="s">
        <v>836</v>
      </c>
      <c r="F151" s="47" t="s">
        <v>21</v>
      </c>
      <c r="G151" s="42" t="s">
        <v>837</v>
      </c>
      <c r="H151" s="42" t="s">
        <v>838</v>
      </c>
      <c r="I151" s="43"/>
    </row>
    <row r="152" spans="2:9" x14ac:dyDescent="0.25">
      <c r="B152" s="41"/>
      <c r="C152" s="44" t="s">
        <v>430</v>
      </c>
      <c r="D152" s="44" t="s">
        <v>1045</v>
      </c>
      <c r="E152" s="44" t="s">
        <v>836</v>
      </c>
      <c r="F152" s="53" t="s">
        <v>21</v>
      </c>
      <c r="G152" s="44" t="s">
        <v>837</v>
      </c>
      <c r="H152" s="44" t="s">
        <v>838</v>
      </c>
      <c r="I152" s="39"/>
    </row>
    <row r="153" spans="2:9" x14ac:dyDescent="0.25">
      <c r="B153" s="40"/>
      <c r="C153" s="42" t="s">
        <v>672</v>
      </c>
      <c r="D153" s="42" t="s">
        <v>1046</v>
      </c>
      <c r="E153" s="42" t="s">
        <v>836</v>
      </c>
      <c r="F153" s="47" t="s">
        <v>21</v>
      </c>
      <c r="G153" s="42" t="s">
        <v>837</v>
      </c>
      <c r="H153" s="42" t="s">
        <v>838</v>
      </c>
      <c r="I153" s="43"/>
    </row>
    <row r="154" spans="2:9" x14ac:dyDescent="0.25">
      <c r="B154" s="40"/>
      <c r="C154" s="42" t="s">
        <v>1047</v>
      </c>
      <c r="D154" s="42" t="s">
        <v>1048</v>
      </c>
      <c r="E154" s="42" t="s">
        <v>836</v>
      </c>
      <c r="F154" s="47" t="s">
        <v>21</v>
      </c>
      <c r="G154" s="42" t="s">
        <v>837</v>
      </c>
      <c r="H154" s="42" t="s">
        <v>838</v>
      </c>
      <c r="I154" s="43"/>
    </row>
    <row r="155" spans="2:9" x14ac:dyDescent="0.25">
      <c r="B155" s="40"/>
      <c r="C155" s="42" t="s">
        <v>1049</v>
      </c>
      <c r="D155" s="42" t="s">
        <v>1050</v>
      </c>
      <c r="E155" s="42" t="s">
        <v>836</v>
      </c>
      <c r="F155" s="51" t="s">
        <v>1051</v>
      </c>
      <c r="G155" s="42" t="s">
        <v>837</v>
      </c>
      <c r="H155" s="42" t="s">
        <v>838</v>
      </c>
      <c r="I155" s="43"/>
    </row>
    <row r="156" spans="2:9" x14ac:dyDescent="0.25">
      <c r="B156" s="40"/>
      <c r="C156" s="42" t="s">
        <v>79</v>
      </c>
      <c r="D156" s="42" t="s">
        <v>1052</v>
      </c>
      <c r="E156" s="42" t="s">
        <v>836</v>
      </c>
      <c r="F156" s="47" t="s">
        <v>21</v>
      </c>
      <c r="G156" s="42" t="s">
        <v>837</v>
      </c>
      <c r="H156" s="42" t="s">
        <v>838</v>
      </c>
      <c r="I156" s="43"/>
    </row>
    <row r="157" spans="2:9" x14ac:dyDescent="0.25">
      <c r="B157" s="40"/>
      <c r="C157" s="42" t="s">
        <v>1053</v>
      </c>
      <c r="D157" s="42" t="s">
        <v>1054</v>
      </c>
      <c r="E157" s="42" t="s">
        <v>836</v>
      </c>
      <c r="F157" s="47" t="s">
        <v>21</v>
      </c>
      <c r="G157" s="42" t="s">
        <v>837</v>
      </c>
      <c r="H157" s="42" t="s">
        <v>838</v>
      </c>
      <c r="I157" s="43"/>
    </row>
    <row r="158" spans="2:9" x14ac:dyDescent="0.25">
      <c r="B158" s="40"/>
      <c r="C158" s="42" t="s">
        <v>82</v>
      </c>
      <c r="D158" s="42" t="s">
        <v>1055</v>
      </c>
      <c r="E158" s="42" t="s">
        <v>836</v>
      </c>
      <c r="F158" s="47" t="s">
        <v>21</v>
      </c>
      <c r="G158" s="42" t="s">
        <v>837</v>
      </c>
      <c r="H158" s="42" t="s">
        <v>838</v>
      </c>
      <c r="I158" s="43"/>
    </row>
    <row r="159" spans="2:9" x14ac:dyDescent="0.25">
      <c r="B159" s="40"/>
      <c r="C159" s="42" t="s">
        <v>1056</v>
      </c>
      <c r="D159" s="42" t="s">
        <v>1057</v>
      </c>
      <c r="E159" s="42" t="s">
        <v>845</v>
      </c>
      <c r="F159" s="47" t="s">
        <v>21</v>
      </c>
      <c r="G159" s="42" t="s">
        <v>837</v>
      </c>
      <c r="H159" s="42" t="s">
        <v>838</v>
      </c>
      <c r="I159" s="43"/>
    </row>
    <row r="160" spans="2:9" x14ac:dyDescent="0.25">
      <c r="B160" s="40"/>
      <c r="C160" s="42" t="s">
        <v>1058</v>
      </c>
      <c r="D160" s="42" t="s">
        <v>1059</v>
      </c>
      <c r="E160" s="42" t="s">
        <v>836</v>
      </c>
      <c r="F160" s="48" t="s">
        <v>278</v>
      </c>
      <c r="G160" s="42" t="s">
        <v>837</v>
      </c>
      <c r="H160" s="42" t="s">
        <v>838</v>
      </c>
      <c r="I160" s="43"/>
    </row>
    <row r="161" spans="2:9" x14ac:dyDescent="0.25">
      <c r="B161" s="40"/>
      <c r="C161" s="42" t="s">
        <v>1060</v>
      </c>
      <c r="D161" s="42" t="s">
        <v>1061</v>
      </c>
      <c r="E161" s="42" t="s">
        <v>845</v>
      </c>
      <c r="F161" s="48" t="s">
        <v>278</v>
      </c>
      <c r="G161" s="42" t="s">
        <v>837</v>
      </c>
      <c r="H161" s="42" t="s">
        <v>838</v>
      </c>
      <c r="I161" s="43"/>
    </row>
    <row r="162" spans="2:9" x14ac:dyDescent="0.25">
      <c r="B162" s="40"/>
      <c r="C162" s="42" t="s">
        <v>436</v>
      </c>
      <c r="D162" s="42" t="s">
        <v>1062</v>
      </c>
      <c r="E162" s="42" t="s">
        <v>836</v>
      </c>
      <c r="F162" s="51" t="s">
        <v>1063</v>
      </c>
      <c r="G162" s="42" t="s">
        <v>837</v>
      </c>
      <c r="H162" s="42" t="s">
        <v>838</v>
      </c>
      <c r="I162" s="43"/>
    </row>
    <row r="163" spans="2:9" x14ac:dyDescent="0.25">
      <c r="B163" s="40"/>
      <c r="C163" s="42" t="s">
        <v>1064</v>
      </c>
      <c r="D163" s="42" t="s">
        <v>1065</v>
      </c>
      <c r="E163" s="42" t="s">
        <v>836</v>
      </c>
      <c r="F163" s="48" t="s">
        <v>278</v>
      </c>
      <c r="G163" s="42" t="s">
        <v>837</v>
      </c>
      <c r="H163" s="42" t="s">
        <v>838</v>
      </c>
      <c r="I163" s="43"/>
    </row>
    <row r="164" spans="2:9" x14ac:dyDescent="0.25">
      <c r="B164" s="40"/>
      <c r="C164" s="42" t="s">
        <v>438</v>
      </c>
      <c r="D164" s="42" t="s">
        <v>1066</v>
      </c>
      <c r="E164" s="42" t="s">
        <v>836</v>
      </c>
      <c r="F164" s="47" t="s">
        <v>21</v>
      </c>
      <c r="G164" s="42" t="s">
        <v>837</v>
      </c>
      <c r="H164" s="42" t="s">
        <v>838</v>
      </c>
      <c r="I164" s="43"/>
    </row>
    <row r="165" spans="2:9" x14ac:dyDescent="0.25">
      <c r="B165" s="40"/>
      <c r="C165" s="42" t="s">
        <v>440</v>
      </c>
      <c r="D165" s="42" t="s">
        <v>1067</v>
      </c>
      <c r="E165" s="42" t="s">
        <v>836</v>
      </c>
      <c r="F165" s="47" t="s">
        <v>21</v>
      </c>
      <c r="G165" s="42" t="s">
        <v>837</v>
      </c>
      <c r="H165" s="42" t="s">
        <v>838</v>
      </c>
      <c r="I165" s="43"/>
    </row>
    <row r="166" spans="2:9" x14ac:dyDescent="0.25">
      <c r="B166" s="40"/>
      <c r="C166" s="42" t="s">
        <v>442</v>
      </c>
      <c r="D166" s="42" t="s">
        <v>1068</v>
      </c>
      <c r="E166" s="42" t="s">
        <v>836</v>
      </c>
      <c r="F166" s="47" t="s">
        <v>21</v>
      </c>
      <c r="G166" s="42" t="s">
        <v>837</v>
      </c>
      <c r="H166" s="42" t="s">
        <v>838</v>
      </c>
      <c r="I166" s="43"/>
    </row>
    <row r="167" spans="2:9" x14ac:dyDescent="0.25">
      <c r="B167" s="40"/>
      <c r="C167" s="42" t="s">
        <v>445</v>
      </c>
      <c r="D167" s="42" t="s">
        <v>1069</v>
      </c>
      <c r="E167" s="42" t="s">
        <v>836</v>
      </c>
      <c r="F167" s="47" t="s">
        <v>21</v>
      </c>
      <c r="G167" s="42" t="s">
        <v>837</v>
      </c>
      <c r="H167" s="42" t="s">
        <v>838</v>
      </c>
      <c r="I167" s="43"/>
    </row>
    <row r="168" spans="2:9" x14ac:dyDescent="0.25">
      <c r="B168" s="40"/>
      <c r="C168" s="42" t="s">
        <v>570</v>
      </c>
      <c r="D168" s="42" t="s">
        <v>1070</v>
      </c>
      <c r="E168" s="42" t="s">
        <v>836</v>
      </c>
      <c r="F168" s="47" t="s">
        <v>21</v>
      </c>
      <c r="G168" s="42" t="s">
        <v>837</v>
      </c>
      <c r="H168" s="42" t="s">
        <v>838</v>
      </c>
      <c r="I168" s="43"/>
    </row>
    <row r="169" spans="2:9" x14ac:dyDescent="0.25">
      <c r="B169" s="40"/>
      <c r="C169" s="42" t="s">
        <v>449</v>
      </c>
      <c r="D169" s="42" t="s">
        <v>1071</v>
      </c>
      <c r="E169" s="42" t="s">
        <v>836</v>
      </c>
      <c r="F169" s="47" t="s">
        <v>21</v>
      </c>
      <c r="G169" s="42" t="s">
        <v>837</v>
      </c>
      <c r="H169" s="42" t="s">
        <v>838</v>
      </c>
      <c r="I169" s="43"/>
    </row>
    <row r="170" spans="2:9" x14ac:dyDescent="0.25">
      <c r="B170" s="40"/>
      <c r="C170" s="42" t="s">
        <v>1072</v>
      </c>
      <c r="D170" s="42" t="s">
        <v>1073</v>
      </c>
      <c r="E170" s="42" t="s">
        <v>836</v>
      </c>
      <c r="F170" s="51" t="s">
        <v>1051</v>
      </c>
      <c r="G170" s="42" t="s">
        <v>837</v>
      </c>
      <c r="H170" s="42" t="s">
        <v>838</v>
      </c>
      <c r="I170" s="43"/>
    </row>
    <row r="171" spans="2:9" x14ac:dyDescent="0.25">
      <c r="B171" s="40"/>
      <c r="C171" s="42" t="s">
        <v>1074</v>
      </c>
      <c r="D171" s="42" t="s">
        <v>1075</v>
      </c>
      <c r="E171" s="42" t="s">
        <v>845</v>
      </c>
      <c r="F171" s="52" t="s">
        <v>974</v>
      </c>
      <c r="G171" s="42" t="s">
        <v>838</v>
      </c>
      <c r="H171" s="42" t="s">
        <v>838</v>
      </c>
      <c r="I171" s="43"/>
    </row>
    <row r="172" spans="2:9" x14ac:dyDescent="0.25">
      <c r="B172" s="40"/>
      <c r="C172" s="42" t="s">
        <v>1076</v>
      </c>
      <c r="D172" s="42" t="s">
        <v>1077</v>
      </c>
      <c r="E172" s="42" t="s">
        <v>836</v>
      </c>
      <c r="F172" s="48" t="s">
        <v>278</v>
      </c>
      <c r="G172" s="42" t="s">
        <v>837</v>
      </c>
      <c r="H172" s="42" t="s">
        <v>838</v>
      </c>
      <c r="I172" s="43"/>
    </row>
    <row r="173" spans="2:9" x14ac:dyDescent="0.25">
      <c r="B173" s="40"/>
      <c r="C173" s="42" t="s">
        <v>1078</v>
      </c>
      <c r="D173" s="42" t="s">
        <v>1079</v>
      </c>
      <c r="E173" s="42" t="s">
        <v>845</v>
      </c>
      <c r="F173" s="48" t="s">
        <v>278</v>
      </c>
      <c r="G173" s="42" t="s">
        <v>837</v>
      </c>
      <c r="H173" s="42" t="s">
        <v>838</v>
      </c>
      <c r="I173" s="43"/>
    </row>
    <row r="174" spans="2:9" x14ac:dyDescent="0.25">
      <c r="B174" s="40"/>
      <c r="C174" s="42" t="s">
        <v>1080</v>
      </c>
      <c r="D174" s="42" t="s">
        <v>1081</v>
      </c>
      <c r="E174" s="42" t="s">
        <v>836</v>
      </c>
      <c r="F174" s="47" t="s">
        <v>21</v>
      </c>
      <c r="G174" s="42" t="s">
        <v>837</v>
      </c>
      <c r="H174" s="42" t="s">
        <v>838</v>
      </c>
      <c r="I174" s="43"/>
    </row>
    <row r="175" spans="2:9" x14ac:dyDescent="0.25">
      <c r="B175" s="40"/>
      <c r="C175" s="42" t="s">
        <v>85</v>
      </c>
      <c r="D175" s="42" t="s">
        <v>1082</v>
      </c>
      <c r="E175" s="42" t="s">
        <v>836</v>
      </c>
      <c r="F175" s="47" t="s">
        <v>21</v>
      </c>
      <c r="G175" s="42" t="s">
        <v>837</v>
      </c>
      <c r="H175" s="42" t="s">
        <v>838</v>
      </c>
      <c r="I175" s="43"/>
    </row>
    <row r="176" spans="2:9" x14ac:dyDescent="0.25">
      <c r="B176" s="40"/>
      <c r="C176" s="42" t="s">
        <v>1083</v>
      </c>
      <c r="D176" s="42" t="s">
        <v>1084</v>
      </c>
      <c r="E176" s="42" t="s">
        <v>836</v>
      </c>
      <c r="F176" s="47" t="s">
        <v>21</v>
      </c>
      <c r="G176" s="42" t="s">
        <v>837</v>
      </c>
      <c r="H176" s="42" t="s">
        <v>838</v>
      </c>
      <c r="I176" s="43"/>
    </row>
    <row r="177" spans="2:9" x14ac:dyDescent="0.25">
      <c r="B177" s="40"/>
      <c r="C177" s="42" t="s">
        <v>208</v>
      </c>
      <c r="D177" s="42" t="s">
        <v>1085</v>
      </c>
      <c r="E177" s="42" t="s">
        <v>836</v>
      </c>
      <c r="F177" s="47" t="s">
        <v>21</v>
      </c>
      <c r="G177" s="42" t="s">
        <v>837</v>
      </c>
      <c r="H177" s="42" t="s">
        <v>838</v>
      </c>
      <c r="I177" s="43"/>
    </row>
    <row r="178" spans="2:9" x14ac:dyDescent="0.25">
      <c r="B178" s="40"/>
      <c r="C178" s="42" t="s">
        <v>1086</v>
      </c>
      <c r="D178" s="42" t="s">
        <v>1087</v>
      </c>
      <c r="E178" s="42" t="s">
        <v>836</v>
      </c>
      <c r="F178" s="49" t="s">
        <v>423</v>
      </c>
      <c r="G178" s="42" t="s">
        <v>837</v>
      </c>
      <c r="H178" s="42" t="s">
        <v>838</v>
      </c>
      <c r="I178" s="43"/>
    </row>
    <row r="179" spans="2:9" x14ac:dyDescent="0.25">
      <c r="B179" s="40"/>
      <c r="C179" s="42" t="s">
        <v>451</v>
      </c>
      <c r="D179" s="42" t="s">
        <v>1088</v>
      </c>
      <c r="E179" s="42" t="s">
        <v>836</v>
      </c>
      <c r="F179" s="47" t="s">
        <v>21</v>
      </c>
      <c r="G179" s="42" t="s">
        <v>837</v>
      </c>
      <c r="H179" s="42" t="s">
        <v>838</v>
      </c>
      <c r="I179" s="43"/>
    </row>
    <row r="180" spans="2:9" x14ac:dyDescent="0.25">
      <c r="B180" s="40"/>
      <c r="C180" s="42" t="s">
        <v>88</v>
      </c>
      <c r="D180" s="42" t="s">
        <v>1089</v>
      </c>
      <c r="E180" s="42" t="s">
        <v>836</v>
      </c>
      <c r="F180" s="47" t="s">
        <v>21</v>
      </c>
      <c r="G180" s="42" t="s">
        <v>837</v>
      </c>
      <c r="H180" s="42" t="s">
        <v>838</v>
      </c>
      <c r="I180" s="43"/>
    </row>
    <row r="181" spans="2:9" x14ac:dyDescent="0.25">
      <c r="B181" s="40"/>
      <c r="C181" s="42" t="s">
        <v>1090</v>
      </c>
      <c r="D181" s="42" t="s">
        <v>1091</v>
      </c>
      <c r="E181" s="42" t="s">
        <v>836</v>
      </c>
      <c r="F181" s="47" t="s">
        <v>21</v>
      </c>
      <c r="G181" s="42" t="s">
        <v>837</v>
      </c>
      <c r="H181" s="42" t="s">
        <v>838</v>
      </c>
      <c r="I181" s="43"/>
    </row>
    <row r="182" spans="2:9" x14ac:dyDescent="0.25">
      <c r="B182" s="40"/>
      <c r="C182" s="42" t="s">
        <v>1092</v>
      </c>
      <c r="D182" s="42" t="s">
        <v>1093</v>
      </c>
      <c r="E182" s="42" t="s">
        <v>836</v>
      </c>
      <c r="F182" s="49" t="s">
        <v>423</v>
      </c>
      <c r="G182" s="42" t="s">
        <v>837</v>
      </c>
      <c r="H182" s="42" t="s">
        <v>838</v>
      </c>
      <c r="I182" s="43"/>
    </row>
    <row r="183" spans="2:9" x14ac:dyDescent="0.25">
      <c r="B183" s="40"/>
      <c r="C183" s="42" t="s">
        <v>453</v>
      </c>
      <c r="D183" s="42" t="s">
        <v>1094</v>
      </c>
      <c r="E183" s="42" t="s">
        <v>836</v>
      </c>
      <c r="F183" s="47" t="s">
        <v>21</v>
      </c>
      <c r="G183" s="42" t="s">
        <v>837</v>
      </c>
      <c r="H183" s="42" t="s">
        <v>838</v>
      </c>
      <c r="I183" s="43"/>
    </row>
    <row r="184" spans="2:9" x14ac:dyDescent="0.25">
      <c r="B184" s="40"/>
      <c r="C184" s="42" t="s">
        <v>658</v>
      </c>
      <c r="D184" s="42" t="s">
        <v>1095</v>
      </c>
      <c r="E184" s="42" t="s">
        <v>836</v>
      </c>
      <c r="F184" s="47" t="s">
        <v>21</v>
      </c>
      <c r="G184" s="42" t="s">
        <v>837</v>
      </c>
      <c r="H184" s="42" t="s">
        <v>838</v>
      </c>
      <c r="I184" s="43"/>
    </row>
    <row r="185" spans="2:9" x14ac:dyDescent="0.25">
      <c r="B185" s="40"/>
      <c r="C185" s="42" t="s">
        <v>91</v>
      </c>
      <c r="D185" s="42" t="s">
        <v>1096</v>
      </c>
      <c r="E185" s="42" t="s">
        <v>836</v>
      </c>
      <c r="F185" s="47" t="s">
        <v>21</v>
      </c>
      <c r="G185" s="42" t="s">
        <v>837</v>
      </c>
      <c r="H185" s="42" t="s">
        <v>838</v>
      </c>
      <c r="I185" s="43"/>
    </row>
    <row r="186" spans="2:9" x14ac:dyDescent="0.25">
      <c r="B186" s="40"/>
      <c r="C186" s="42" t="s">
        <v>1097</v>
      </c>
      <c r="D186" s="42" t="s">
        <v>1098</v>
      </c>
      <c r="E186" s="42" t="s">
        <v>836</v>
      </c>
      <c r="F186" s="48" t="s">
        <v>278</v>
      </c>
      <c r="G186" s="42" t="s">
        <v>837</v>
      </c>
      <c r="H186" s="42" t="s">
        <v>838</v>
      </c>
      <c r="I186" s="43"/>
    </row>
    <row r="187" spans="2:9" x14ac:dyDescent="0.25">
      <c r="B187" s="40"/>
      <c r="C187" s="42" t="s">
        <v>458</v>
      </c>
      <c r="D187" s="42" t="s">
        <v>1099</v>
      </c>
      <c r="E187" s="42" t="s">
        <v>836</v>
      </c>
      <c r="F187" s="47" t="s">
        <v>21</v>
      </c>
      <c r="G187" s="42" t="s">
        <v>837</v>
      </c>
      <c r="H187" s="42" t="s">
        <v>838</v>
      </c>
      <c r="I187" s="43"/>
    </row>
    <row r="188" spans="2:9" x14ac:dyDescent="0.25">
      <c r="B188" s="40"/>
      <c r="C188" s="42" t="s">
        <v>460</v>
      </c>
      <c r="D188" s="42" t="s">
        <v>1100</v>
      </c>
      <c r="E188" s="42" t="s">
        <v>836</v>
      </c>
      <c r="F188" s="48" t="s">
        <v>278</v>
      </c>
      <c r="G188" s="42" t="s">
        <v>837</v>
      </c>
      <c r="H188" s="42" t="s">
        <v>838</v>
      </c>
      <c r="I188" s="43"/>
    </row>
    <row r="189" spans="2:9" x14ac:dyDescent="0.25">
      <c r="B189" s="40"/>
      <c r="C189" s="42" t="s">
        <v>351</v>
      </c>
      <c r="D189" s="42" t="s">
        <v>1101</v>
      </c>
      <c r="E189" s="42" t="s">
        <v>836</v>
      </c>
      <c r="F189" s="47" t="s">
        <v>21</v>
      </c>
      <c r="G189" s="42" t="s">
        <v>837</v>
      </c>
      <c r="H189" s="42" t="s">
        <v>838</v>
      </c>
      <c r="I189" s="43"/>
    </row>
    <row r="190" spans="2:9" x14ac:dyDescent="0.25">
      <c r="B190" s="40"/>
      <c r="C190" s="42" t="s">
        <v>465</v>
      </c>
      <c r="D190" s="42" t="s">
        <v>1102</v>
      </c>
      <c r="E190" s="42" t="s">
        <v>836</v>
      </c>
      <c r="F190" s="48" t="s">
        <v>278</v>
      </c>
      <c r="G190" s="42" t="s">
        <v>837</v>
      </c>
      <c r="H190" s="42" t="s">
        <v>838</v>
      </c>
      <c r="I190" s="43"/>
    </row>
    <row r="191" spans="2:9" x14ac:dyDescent="0.25">
      <c r="B191" s="40"/>
      <c r="C191" s="42" t="s">
        <v>709</v>
      </c>
      <c r="D191" s="42" t="s">
        <v>1103</v>
      </c>
      <c r="E191" s="42" t="s">
        <v>836</v>
      </c>
      <c r="F191" s="47" t="s">
        <v>21</v>
      </c>
      <c r="G191" s="42" t="s">
        <v>837</v>
      </c>
      <c r="H191" s="42" t="s">
        <v>838</v>
      </c>
      <c r="I191" s="43"/>
    </row>
    <row r="192" spans="2:9" x14ac:dyDescent="0.25">
      <c r="B192" s="40"/>
      <c r="C192" s="42" t="s">
        <v>1104</v>
      </c>
      <c r="D192" s="42" t="s">
        <v>1105</v>
      </c>
      <c r="E192" s="42" t="s">
        <v>836</v>
      </c>
      <c r="F192" s="47" t="s">
        <v>21</v>
      </c>
      <c r="G192" s="42" t="s">
        <v>837</v>
      </c>
      <c r="H192" s="42" t="s">
        <v>838</v>
      </c>
      <c r="I192" s="43"/>
    </row>
    <row r="193" spans="2:9" x14ac:dyDescent="0.25">
      <c r="B193" s="40"/>
      <c r="C193" s="42" t="s">
        <v>522</v>
      </c>
      <c r="D193" s="42" t="s">
        <v>1106</v>
      </c>
      <c r="E193" s="42" t="s">
        <v>836</v>
      </c>
      <c r="F193" s="47" t="s">
        <v>21</v>
      </c>
      <c r="G193" s="42" t="s">
        <v>837</v>
      </c>
      <c r="H193" s="42" t="s">
        <v>838</v>
      </c>
      <c r="I193" s="43"/>
    </row>
    <row r="194" spans="2:9" x14ac:dyDescent="0.25">
      <c r="B194" s="40"/>
      <c r="C194" s="42" t="s">
        <v>1107</v>
      </c>
      <c r="D194" s="42" t="s">
        <v>1108</v>
      </c>
      <c r="E194" s="42" t="s">
        <v>836</v>
      </c>
      <c r="F194" s="48" t="s">
        <v>278</v>
      </c>
      <c r="G194" s="42" t="s">
        <v>837</v>
      </c>
      <c r="H194" s="42" t="s">
        <v>838</v>
      </c>
      <c r="I194" s="43"/>
    </row>
    <row r="195" spans="2:9" x14ac:dyDescent="0.25">
      <c r="B195" s="40"/>
      <c r="C195" s="42" t="s">
        <v>1109</v>
      </c>
      <c r="D195" s="42" t="s">
        <v>1110</v>
      </c>
      <c r="E195" s="42" t="s">
        <v>836</v>
      </c>
      <c r="F195" s="49" t="s">
        <v>423</v>
      </c>
      <c r="G195" s="42" t="s">
        <v>837</v>
      </c>
      <c r="H195" s="42" t="s">
        <v>838</v>
      </c>
      <c r="I195" s="43"/>
    </row>
    <row r="196" spans="2:9" x14ac:dyDescent="0.25">
      <c r="B196" s="40"/>
      <c r="C196" s="42" t="s">
        <v>1111</v>
      </c>
      <c r="D196" s="42" t="s">
        <v>1112</v>
      </c>
      <c r="E196" s="42" t="s">
        <v>836</v>
      </c>
      <c r="F196" s="47" t="s">
        <v>21</v>
      </c>
      <c r="G196" s="42" t="s">
        <v>837</v>
      </c>
      <c r="H196" s="42" t="s">
        <v>838</v>
      </c>
      <c r="I196" s="43"/>
    </row>
    <row r="197" spans="2:9" x14ac:dyDescent="0.25">
      <c r="B197" s="40"/>
      <c r="C197" s="42" t="s">
        <v>94</v>
      </c>
      <c r="D197" s="42" t="s">
        <v>1113</v>
      </c>
      <c r="E197" s="42" t="s">
        <v>836</v>
      </c>
      <c r="F197" s="47" t="s">
        <v>21</v>
      </c>
      <c r="G197" s="42" t="s">
        <v>837</v>
      </c>
      <c r="H197" s="42" t="s">
        <v>838</v>
      </c>
      <c r="I197" s="43"/>
    </row>
    <row r="198" spans="2:9" x14ac:dyDescent="0.25">
      <c r="B198" s="40"/>
      <c r="C198" s="42" t="s">
        <v>1114</v>
      </c>
      <c r="D198" s="42" t="s">
        <v>1115</v>
      </c>
      <c r="E198" s="42" t="s">
        <v>845</v>
      </c>
      <c r="F198" s="48" t="s">
        <v>278</v>
      </c>
      <c r="G198" s="42" t="s">
        <v>837</v>
      </c>
      <c r="H198" s="42" t="s">
        <v>838</v>
      </c>
      <c r="I198" s="43"/>
    </row>
    <row r="199" spans="2:9" x14ac:dyDescent="0.25">
      <c r="B199" s="40"/>
      <c r="C199" s="42" t="s">
        <v>469</v>
      </c>
      <c r="D199" s="42" t="s">
        <v>1116</v>
      </c>
      <c r="E199" s="42" t="s">
        <v>836</v>
      </c>
      <c r="F199" s="47" t="s">
        <v>21</v>
      </c>
      <c r="G199" s="42" t="s">
        <v>837</v>
      </c>
      <c r="H199" s="42" t="s">
        <v>838</v>
      </c>
      <c r="I199" s="43"/>
    </row>
    <row r="200" spans="2:9" x14ac:dyDescent="0.25">
      <c r="B200" s="40"/>
      <c r="C200" s="42" t="s">
        <v>1117</v>
      </c>
      <c r="D200" s="42" t="s">
        <v>1118</v>
      </c>
      <c r="E200" s="42" t="s">
        <v>836</v>
      </c>
      <c r="F200" s="47" t="s">
        <v>21</v>
      </c>
      <c r="G200" s="42" t="s">
        <v>837</v>
      </c>
      <c r="H200" s="42" t="s">
        <v>838</v>
      </c>
      <c r="I200" s="43"/>
    </row>
    <row r="201" spans="2:9" x14ac:dyDescent="0.25">
      <c r="B201" s="40"/>
      <c r="C201" s="42" t="s">
        <v>1119</v>
      </c>
      <c r="D201" s="42" t="s">
        <v>1120</v>
      </c>
      <c r="E201" s="42" t="s">
        <v>845</v>
      </c>
      <c r="F201" s="48" t="s">
        <v>278</v>
      </c>
      <c r="G201" s="42" t="s">
        <v>837</v>
      </c>
      <c r="H201" s="42" t="s">
        <v>1121</v>
      </c>
      <c r="I201" s="43"/>
    </row>
    <row r="202" spans="2:9" x14ac:dyDescent="0.25">
      <c r="B202" s="41"/>
      <c r="C202" s="44" t="s">
        <v>1122</v>
      </c>
      <c r="D202" s="44" t="s">
        <v>1123</v>
      </c>
      <c r="E202" s="44" t="s">
        <v>836</v>
      </c>
      <c r="F202" s="54" t="s">
        <v>974</v>
      </c>
      <c r="G202" s="44" t="s">
        <v>838</v>
      </c>
      <c r="H202" s="44" t="s">
        <v>838</v>
      </c>
      <c r="I202" s="39"/>
    </row>
    <row r="203" spans="2:9" x14ac:dyDescent="0.25">
      <c r="B203" s="40"/>
      <c r="C203" s="42" t="s">
        <v>472</v>
      </c>
      <c r="D203" s="42" t="s">
        <v>1124</v>
      </c>
      <c r="E203" s="42" t="s">
        <v>836</v>
      </c>
      <c r="F203" s="47" t="s">
        <v>21</v>
      </c>
      <c r="G203" s="42" t="s">
        <v>837</v>
      </c>
      <c r="H203" s="42" t="s">
        <v>838</v>
      </c>
      <c r="I203" s="43"/>
    </row>
    <row r="204" spans="2:9" x14ac:dyDescent="0.25">
      <c r="B204" s="40"/>
      <c r="C204" s="42" t="s">
        <v>474</v>
      </c>
      <c r="D204" s="42" t="s">
        <v>1125</v>
      </c>
      <c r="E204" s="42" t="s">
        <v>836</v>
      </c>
      <c r="F204" s="47" t="s">
        <v>21</v>
      </c>
      <c r="G204" s="42" t="s">
        <v>837</v>
      </c>
      <c r="H204" s="42" t="s">
        <v>838</v>
      </c>
      <c r="I204" s="43"/>
    </row>
    <row r="205" spans="2:9" x14ac:dyDescent="0.25">
      <c r="B205" s="40"/>
      <c r="C205" s="42" t="s">
        <v>477</v>
      </c>
      <c r="D205" s="42" t="s">
        <v>1126</v>
      </c>
      <c r="E205" s="42" t="s">
        <v>836</v>
      </c>
      <c r="F205" s="47" t="s">
        <v>21</v>
      </c>
      <c r="G205" s="42" t="s">
        <v>837</v>
      </c>
      <c r="H205" s="42" t="s">
        <v>838</v>
      </c>
      <c r="I205" s="43"/>
    </row>
    <row r="206" spans="2:9" x14ac:dyDescent="0.25">
      <c r="B206" s="40"/>
      <c r="C206" s="42" t="s">
        <v>480</v>
      </c>
      <c r="D206" s="42" t="s">
        <v>1127</v>
      </c>
      <c r="E206" s="42" t="s">
        <v>836</v>
      </c>
      <c r="F206" s="51" t="s">
        <v>1051</v>
      </c>
      <c r="G206" s="42" t="s">
        <v>837</v>
      </c>
      <c r="H206" s="42" t="s">
        <v>838</v>
      </c>
      <c r="I206" s="43"/>
    </row>
    <row r="207" spans="2:9" x14ac:dyDescent="0.25">
      <c r="B207" s="40"/>
      <c r="C207" s="42" t="s">
        <v>1128</v>
      </c>
      <c r="D207" s="42" t="s">
        <v>1129</v>
      </c>
      <c r="E207" s="42" t="s">
        <v>836</v>
      </c>
      <c r="F207" s="48" t="s">
        <v>278</v>
      </c>
      <c r="G207" s="42" t="s">
        <v>837</v>
      </c>
      <c r="H207" s="42" t="s">
        <v>838</v>
      </c>
      <c r="I207" s="43"/>
    </row>
    <row r="208" spans="2:9" x14ac:dyDescent="0.25">
      <c r="B208" s="40"/>
      <c r="C208" s="42" t="s">
        <v>308</v>
      </c>
      <c r="D208" s="42" t="s">
        <v>1130</v>
      </c>
      <c r="E208" s="42" t="s">
        <v>836</v>
      </c>
      <c r="F208" s="47" t="s">
        <v>21</v>
      </c>
      <c r="G208" s="42" t="s">
        <v>837</v>
      </c>
      <c r="H208" s="42" t="s">
        <v>838</v>
      </c>
      <c r="I208" s="43"/>
    </row>
    <row r="209" spans="2:9" x14ac:dyDescent="0.25">
      <c r="B209" s="40"/>
      <c r="C209" s="42" t="s">
        <v>1131</v>
      </c>
      <c r="D209" s="42" t="s">
        <v>1132</v>
      </c>
      <c r="E209" s="42" t="s">
        <v>836</v>
      </c>
      <c r="F209" s="48" t="s">
        <v>278</v>
      </c>
      <c r="G209" s="42" t="s">
        <v>837</v>
      </c>
      <c r="H209" s="42" t="s">
        <v>838</v>
      </c>
      <c r="I209" s="43"/>
    </row>
    <row r="210" spans="2:9" x14ac:dyDescent="0.25">
      <c r="B210" s="40"/>
      <c r="C210" s="42" t="s">
        <v>96</v>
      </c>
      <c r="D210" s="42" t="s">
        <v>1133</v>
      </c>
      <c r="E210" s="42" t="s">
        <v>836</v>
      </c>
      <c r="F210" s="47" t="s">
        <v>21</v>
      </c>
      <c r="G210" s="42" t="s">
        <v>837</v>
      </c>
      <c r="H210" s="42" t="s">
        <v>838</v>
      </c>
      <c r="I210" s="43"/>
    </row>
    <row r="211" spans="2:9" x14ac:dyDescent="0.25">
      <c r="B211" s="40"/>
      <c r="C211" s="42" t="s">
        <v>482</v>
      </c>
      <c r="D211" s="42" t="s">
        <v>1134</v>
      </c>
      <c r="E211" s="42" t="s">
        <v>836</v>
      </c>
      <c r="F211" s="47" t="s">
        <v>21</v>
      </c>
      <c r="G211" s="42" t="s">
        <v>837</v>
      </c>
      <c r="H211" s="42" t="s">
        <v>838</v>
      </c>
      <c r="I211" s="43"/>
    </row>
    <row r="212" spans="2:9" x14ac:dyDescent="0.25">
      <c r="B212" s="40"/>
      <c r="C212" s="42" t="s">
        <v>1135</v>
      </c>
      <c r="D212" s="42" t="s">
        <v>1136</v>
      </c>
      <c r="E212" s="42" t="s">
        <v>836</v>
      </c>
      <c r="F212" s="47" t="s">
        <v>21</v>
      </c>
      <c r="G212" s="42" t="s">
        <v>837</v>
      </c>
      <c r="H212" s="42" t="s">
        <v>838</v>
      </c>
      <c r="I212" s="43"/>
    </row>
    <row r="213" spans="2:9" x14ac:dyDescent="0.25">
      <c r="B213" s="40"/>
      <c r="C213" s="42" t="s">
        <v>1137</v>
      </c>
      <c r="D213" s="42" t="s">
        <v>1138</v>
      </c>
      <c r="E213" s="42" t="s">
        <v>836</v>
      </c>
      <c r="F213" s="47" t="s">
        <v>21</v>
      </c>
      <c r="G213" s="42" t="s">
        <v>837</v>
      </c>
      <c r="H213" s="42" t="s">
        <v>838</v>
      </c>
      <c r="I213" s="43"/>
    </row>
    <row r="214" spans="2:9" x14ac:dyDescent="0.25">
      <c r="B214" s="40"/>
      <c r="C214" s="42" t="s">
        <v>1139</v>
      </c>
      <c r="D214" s="42" t="s">
        <v>1140</v>
      </c>
      <c r="E214" s="42" t="s">
        <v>836</v>
      </c>
      <c r="F214" s="48" t="s">
        <v>278</v>
      </c>
      <c r="G214" s="42" t="s">
        <v>837</v>
      </c>
      <c r="H214" s="42" t="s">
        <v>838</v>
      </c>
      <c r="I214" s="43"/>
    </row>
    <row r="215" spans="2:9" x14ac:dyDescent="0.25">
      <c r="B215" s="40"/>
      <c r="C215" s="42" t="s">
        <v>1141</v>
      </c>
      <c r="D215" s="42" t="s">
        <v>1142</v>
      </c>
      <c r="E215" s="42" t="s">
        <v>836</v>
      </c>
      <c r="F215" s="49" t="s">
        <v>423</v>
      </c>
      <c r="G215" s="42" t="s">
        <v>837</v>
      </c>
      <c r="H215" s="42" t="s">
        <v>838</v>
      </c>
      <c r="I215" s="43"/>
    </row>
    <row r="216" spans="2:9" x14ac:dyDescent="0.25">
      <c r="B216" s="40"/>
      <c r="C216" s="42" t="s">
        <v>1143</v>
      </c>
      <c r="D216" s="42" t="s">
        <v>1144</v>
      </c>
      <c r="E216" s="42" t="s">
        <v>836</v>
      </c>
      <c r="F216" s="47" t="s">
        <v>21</v>
      </c>
      <c r="G216" s="42" t="s">
        <v>837</v>
      </c>
      <c r="H216" s="42" t="s">
        <v>838</v>
      </c>
      <c r="I216" s="43"/>
    </row>
    <row r="217" spans="2:9" x14ac:dyDescent="0.25">
      <c r="B217" s="40"/>
      <c r="C217" s="42" t="s">
        <v>484</v>
      </c>
      <c r="D217" s="42" t="s">
        <v>1145</v>
      </c>
      <c r="E217" s="42" t="s">
        <v>836</v>
      </c>
      <c r="F217" s="47" t="s">
        <v>21</v>
      </c>
      <c r="G217" s="42" t="s">
        <v>837</v>
      </c>
      <c r="H217" s="42" t="s">
        <v>838</v>
      </c>
      <c r="I217" s="43"/>
    </row>
    <row r="218" spans="2:9" x14ac:dyDescent="0.25">
      <c r="B218" s="40"/>
      <c r="C218" s="42" t="s">
        <v>98</v>
      </c>
      <c r="D218" s="42" t="s">
        <v>1146</v>
      </c>
      <c r="E218" s="42" t="s">
        <v>836</v>
      </c>
      <c r="F218" s="47" t="s">
        <v>21</v>
      </c>
      <c r="G218" s="42" t="s">
        <v>837</v>
      </c>
      <c r="H218" s="42" t="s">
        <v>838</v>
      </c>
      <c r="I218" s="43"/>
    </row>
    <row r="219" spans="2:9" x14ac:dyDescent="0.25">
      <c r="B219" s="40"/>
      <c r="C219" s="42" t="s">
        <v>1147</v>
      </c>
      <c r="D219" s="42" t="s">
        <v>1148</v>
      </c>
      <c r="E219" s="42" t="s">
        <v>836</v>
      </c>
      <c r="F219" s="47" t="s">
        <v>21</v>
      </c>
      <c r="G219" s="42" t="s">
        <v>837</v>
      </c>
      <c r="H219" s="42" t="s">
        <v>838</v>
      </c>
      <c r="I219" s="43"/>
    </row>
    <row r="220" spans="2:9" x14ac:dyDescent="0.25">
      <c r="B220" s="40"/>
      <c r="C220" s="42" t="s">
        <v>1149</v>
      </c>
      <c r="D220" s="42" t="s">
        <v>1150</v>
      </c>
      <c r="E220" s="42" t="s">
        <v>836</v>
      </c>
      <c r="F220" s="48" t="s">
        <v>278</v>
      </c>
      <c r="G220" s="42" t="s">
        <v>837</v>
      </c>
      <c r="H220" s="42" t="s">
        <v>838</v>
      </c>
      <c r="I220" s="43"/>
    </row>
    <row r="221" spans="2:9" x14ac:dyDescent="0.25">
      <c r="B221" s="40"/>
      <c r="C221" s="42" t="s">
        <v>489</v>
      </c>
      <c r="D221" s="42" t="s">
        <v>1151</v>
      </c>
      <c r="E221" s="42" t="s">
        <v>836</v>
      </c>
      <c r="F221" s="47" t="s">
        <v>21</v>
      </c>
      <c r="G221" s="42" t="s">
        <v>837</v>
      </c>
      <c r="H221" s="42" t="s">
        <v>838</v>
      </c>
      <c r="I221" s="43"/>
    </row>
    <row r="222" spans="2:9" x14ac:dyDescent="0.25">
      <c r="B222" s="40"/>
      <c r="C222" s="42" t="s">
        <v>491</v>
      </c>
      <c r="D222" s="42" t="s">
        <v>1152</v>
      </c>
      <c r="E222" s="42" t="s">
        <v>836</v>
      </c>
      <c r="F222" s="47" t="s">
        <v>21</v>
      </c>
      <c r="G222" s="42" t="s">
        <v>837</v>
      </c>
      <c r="H222" s="42" t="s">
        <v>838</v>
      </c>
      <c r="I222" s="43"/>
    </row>
    <row r="223" spans="2:9" x14ac:dyDescent="0.25">
      <c r="B223" s="40"/>
      <c r="C223" s="42" t="s">
        <v>1153</v>
      </c>
      <c r="D223" s="42" t="s">
        <v>1154</v>
      </c>
      <c r="E223" s="42" t="s">
        <v>836</v>
      </c>
      <c r="F223" s="47" t="s">
        <v>21</v>
      </c>
      <c r="G223" s="42" t="s">
        <v>837</v>
      </c>
      <c r="H223" s="42" t="s">
        <v>838</v>
      </c>
      <c r="I223" s="43"/>
    </row>
    <row r="224" spans="2:9" x14ac:dyDescent="0.25">
      <c r="B224" s="40"/>
      <c r="C224" s="42" t="s">
        <v>101</v>
      </c>
      <c r="D224" s="42" t="s">
        <v>1155</v>
      </c>
      <c r="E224" s="42" t="s">
        <v>836</v>
      </c>
      <c r="F224" s="47" t="s">
        <v>21</v>
      </c>
      <c r="G224" s="42" t="s">
        <v>837</v>
      </c>
      <c r="H224" s="42" t="s">
        <v>838</v>
      </c>
      <c r="I224" s="43"/>
    </row>
    <row r="225" spans="2:9" x14ac:dyDescent="0.25">
      <c r="B225" s="40"/>
      <c r="C225" s="42" t="s">
        <v>1156</v>
      </c>
      <c r="D225" s="42" t="s">
        <v>1157</v>
      </c>
      <c r="E225" s="42" t="s">
        <v>836</v>
      </c>
      <c r="F225" s="47" t="s">
        <v>21</v>
      </c>
      <c r="G225" s="42" t="s">
        <v>837</v>
      </c>
      <c r="H225" s="42" t="s">
        <v>838</v>
      </c>
      <c r="I225" s="43"/>
    </row>
    <row r="226" spans="2:9" x14ac:dyDescent="0.25">
      <c r="B226" s="40"/>
      <c r="C226" s="42" t="s">
        <v>493</v>
      </c>
      <c r="D226" s="42" t="s">
        <v>1158</v>
      </c>
      <c r="E226" s="42" t="s">
        <v>836</v>
      </c>
      <c r="F226" s="47" t="s">
        <v>21</v>
      </c>
      <c r="G226" s="42" t="s">
        <v>837</v>
      </c>
      <c r="H226" s="42" t="s">
        <v>838</v>
      </c>
      <c r="I226" s="43"/>
    </row>
    <row r="227" spans="2:9" x14ac:dyDescent="0.25">
      <c r="B227" s="40"/>
      <c r="C227" s="42" t="s">
        <v>1159</v>
      </c>
      <c r="D227" s="42" t="s">
        <v>1160</v>
      </c>
      <c r="E227" s="42" t="s">
        <v>836</v>
      </c>
      <c r="F227" s="47" t="s">
        <v>21</v>
      </c>
      <c r="G227" s="42" t="s">
        <v>837</v>
      </c>
      <c r="H227" s="42" t="s">
        <v>838</v>
      </c>
      <c r="I227" s="43"/>
    </row>
    <row r="228" spans="2:9" x14ac:dyDescent="0.25">
      <c r="B228" s="40"/>
      <c r="C228" s="42" t="s">
        <v>1161</v>
      </c>
      <c r="D228" s="42" t="s">
        <v>1162</v>
      </c>
      <c r="E228" s="42" t="s">
        <v>836</v>
      </c>
      <c r="F228" s="48" t="s">
        <v>278</v>
      </c>
      <c r="G228" s="42" t="s">
        <v>837</v>
      </c>
      <c r="H228" s="42" t="s">
        <v>838</v>
      </c>
      <c r="I228" s="43"/>
    </row>
    <row r="229" spans="2:9" x14ac:dyDescent="0.25">
      <c r="B229" s="40"/>
      <c r="C229" s="42" t="s">
        <v>211</v>
      </c>
      <c r="D229" s="42" t="s">
        <v>1163</v>
      </c>
      <c r="E229" s="42" t="s">
        <v>845</v>
      </c>
      <c r="F229" s="47" t="s">
        <v>21</v>
      </c>
      <c r="G229" s="42" t="s">
        <v>837</v>
      </c>
      <c r="H229" s="42" t="s">
        <v>838</v>
      </c>
      <c r="I229" s="43"/>
    </row>
    <row r="230" spans="2:9" x14ac:dyDescent="0.25">
      <c r="B230" s="40"/>
      <c r="C230" s="42" t="s">
        <v>1164</v>
      </c>
      <c r="D230" s="42" t="s">
        <v>1165</v>
      </c>
      <c r="E230" s="42" t="s">
        <v>836</v>
      </c>
      <c r="F230" s="47" t="s">
        <v>21</v>
      </c>
      <c r="G230" s="42" t="s">
        <v>837</v>
      </c>
      <c r="H230" s="42" t="s">
        <v>838</v>
      </c>
      <c r="I230" s="43"/>
    </row>
    <row r="231" spans="2:9" x14ac:dyDescent="0.25">
      <c r="B231" s="40"/>
      <c r="C231" s="42" t="s">
        <v>1166</v>
      </c>
      <c r="D231" s="42" t="s">
        <v>1167</v>
      </c>
      <c r="E231" s="42" t="s">
        <v>836</v>
      </c>
      <c r="F231" s="47" t="s">
        <v>21</v>
      </c>
      <c r="G231" s="42" t="s">
        <v>837</v>
      </c>
      <c r="H231" s="42" t="s">
        <v>838</v>
      </c>
      <c r="I231" s="43"/>
    </row>
    <row r="232" spans="2:9" x14ac:dyDescent="0.25">
      <c r="B232" s="40"/>
      <c r="C232" s="42" t="s">
        <v>104</v>
      </c>
      <c r="D232" s="42" t="s">
        <v>1168</v>
      </c>
      <c r="E232" s="42" t="s">
        <v>836</v>
      </c>
      <c r="F232" s="47" t="s">
        <v>21</v>
      </c>
      <c r="G232" s="42" t="s">
        <v>837</v>
      </c>
      <c r="H232" s="42" t="s">
        <v>838</v>
      </c>
      <c r="I232" s="43"/>
    </row>
    <row r="233" spans="2:9" x14ac:dyDescent="0.25">
      <c r="B233" s="40"/>
      <c r="C233" s="42" t="s">
        <v>1169</v>
      </c>
      <c r="D233" s="42" t="s">
        <v>1170</v>
      </c>
      <c r="E233" s="42" t="s">
        <v>836</v>
      </c>
      <c r="F233" s="48" t="s">
        <v>278</v>
      </c>
      <c r="G233" s="42" t="s">
        <v>837</v>
      </c>
      <c r="H233" s="42" t="s">
        <v>838</v>
      </c>
      <c r="I233" s="43"/>
    </row>
    <row r="234" spans="2:9" x14ac:dyDescent="0.25">
      <c r="B234" s="40"/>
      <c r="C234" s="42" t="s">
        <v>107</v>
      </c>
      <c r="D234" s="42" t="s">
        <v>1171</v>
      </c>
      <c r="E234" s="42" t="s">
        <v>836</v>
      </c>
      <c r="F234" s="47" t="s">
        <v>21</v>
      </c>
      <c r="G234" s="42" t="s">
        <v>837</v>
      </c>
      <c r="H234" s="42" t="s">
        <v>838</v>
      </c>
      <c r="I234" s="43"/>
    </row>
    <row r="235" spans="2:9" x14ac:dyDescent="0.25">
      <c r="B235" s="40"/>
      <c r="C235" s="42" t="s">
        <v>1172</v>
      </c>
      <c r="D235" s="42" t="s">
        <v>1173</v>
      </c>
      <c r="E235" s="42" t="s">
        <v>836</v>
      </c>
      <c r="F235" s="47" t="s">
        <v>21</v>
      </c>
      <c r="G235" s="42" t="s">
        <v>837</v>
      </c>
      <c r="H235" s="42" t="s">
        <v>838</v>
      </c>
      <c r="I235" s="43"/>
    </row>
    <row r="236" spans="2:9" x14ac:dyDescent="0.25">
      <c r="B236" s="40"/>
      <c r="C236" s="42" t="s">
        <v>502</v>
      </c>
      <c r="D236" s="42" t="s">
        <v>1174</v>
      </c>
      <c r="E236" s="42" t="s">
        <v>836</v>
      </c>
      <c r="F236" s="47" t="s">
        <v>21</v>
      </c>
      <c r="G236" s="42" t="s">
        <v>837</v>
      </c>
      <c r="H236" s="42" t="s">
        <v>838</v>
      </c>
      <c r="I236" s="43"/>
    </row>
    <row r="237" spans="2:9" x14ac:dyDescent="0.25">
      <c r="B237" s="40"/>
      <c r="C237" s="42" t="s">
        <v>504</v>
      </c>
      <c r="D237" s="42" t="s">
        <v>1175</v>
      </c>
      <c r="E237" s="42" t="s">
        <v>836</v>
      </c>
      <c r="F237" s="47" t="s">
        <v>21</v>
      </c>
      <c r="G237" s="42" t="s">
        <v>837</v>
      </c>
      <c r="H237" s="42" t="s">
        <v>838</v>
      </c>
      <c r="I237" s="43"/>
    </row>
    <row r="238" spans="2:9" x14ac:dyDescent="0.25">
      <c r="B238" s="40"/>
      <c r="C238" s="42" t="s">
        <v>1176</v>
      </c>
      <c r="D238" s="42" t="s">
        <v>1177</v>
      </c>
      <c r="E238" s="42" t="s">
        <v>836</v>
      </c>
      <c r="F238" s="47" t="s">
        <v>21</v>
      </c>
      <c r="G238" s="42" t="s">
        <v>837</v>
      </c>
      <c r="H238" s="42" t="s">
        <v>838</v>
      </c>
      <c r="I238" s="43"/>
    </row>
    <row r="239" spans="2:9" x14ac:dyDescent="0.25">
      <c r="B239" s="40"/>
      <c r="C239" s="42" t="s">
        <v>509</v>
      </c>
      <c r="D239" s="42" t="s">
        <v>1178</v>
      </c>
      <c r="E239" s="42" t="s">
        <v>836</v>
      </c>
      <c r="F239" s="47" t="s">
        <v>21</v>
      </c>
      <c r="G239" s="42" t="s">
        <v>837</v>
      </c>
      <c r="H239" s="42" t="s">
        <v>838</v>
      </c>
      <c r="I239" s="43"/>
    </row>
    <row r="240" spans="2:9" x14ac:dyDescent="0.25">
      <c r="B240" s="40"/>
      <c r="C240" s="42" t="s">
        <v>1179</v>
      </c>
      <c r="D240" s="42" t="s">
        <v>1180</v>
      </c>
      <c r="E240" s="42" t="s">
        <v>836</v>
      </c>
      <c r="F240" s="47" t="s">
        <v>21</v>
      </c>
      <c r="G240" s="42" t="s">
        <v>837</v>
      </c>
      <c r="H240" s="42" t="s">
        <v>838</v>
      </c>
      <c r="I240" s="43"/>
    </row>
    <row r="241" spans="2:9" x14ac:dyDescent="0.25">
      <c r="B241" s="40"/>
      <c r="C241" s="42" t="s">
        <v>1181</v>
      </c>
      <c r="D241" s="42" t="s">
        <v>1182</v>
      </c>
      <c r="E241" s="42" t="s">
        <v>836</v>
      </c>
      <c r="F241" s="49" t="s">
        <v>423</v>
      </c>
      <c r="G241" s="42" t="s">
        <v>837</v>
      </c>
      <c r="H241" s="42" t="s">
        <v>838</v>
      </c>
      <c r="I241" s="43"/>
    </row>
    <row r="242" spans="2:9" x14ac:dyDescent="0.25">
      <c r="B242" s="40"/>
      <c r="C242" s="42" t="s">
        <v>1183</v>
      </c>
      <c r="D242" s="42" t="s">
        <v>1184</v>
      </c>
      <c r="E242" s="42" t="s">
        <v>836</v>
      </c>
      <c r="F242" s="47" t="s">
        <v>21</v>
      </c>
      <c r="G242" s="42" t="s">
        <v>837</v>
      </c>
      <c r="H242" s="42" t="s">
        <v>838</v>
      </c>
      <c r="I242" s="43"/>
    </row>
    <row r="243" spans="2:9" x14ac:dyDescent="0.25">
      <c r="B243" s="40"/>
      <c r="C243" s="42" t="s">
        <v>514</v>
      </c>
      <c r="D243" s="42" t="s">
        <v>1185</v>
      </c>
      <c r="E243" s="42" t="s">
        <v>836</v>
      </c>
      <c r="F243" s="47" t="s">
        <v>21</v>
      </c>
      <c r="G243" s="42" t="s">
        <v>837</v>
      </c>
      <c r="H243" s="42" t="s">
        <v>838</v>
      </c>
      <c r="I243" s="43"/>
    </row>
    <row r="244" spans="2:9" x14ac:dyDescent="0.25">
      <c r="B244" s="40"/>
      <c r="C244" s="42" t="s">
        <v>285</v>
      </c>
      <c r="D244" s="42" t="s">
        <v>1186</v>
      </c>
      <c r="E244" s="42" t="s">
        <v>836</v>
      </c>
      <c r="F244" s="47" t="s">
        <v>21</v>
      </c>
      <c r="G244" s="42" t="s">
        <v>837</v>
      </c>
      <c r="H244" s="42" t="s">
        <v>838</v>
      </c>
      <c r="I244" s="43"/>
    </row>
    <row r="245" spans="2:9" x14ac:dyDescent="0.25">
      <c r="B245" s="40"/>
      <c r="C245" s="42" t="s">
        <v>109</v>
      </c>
      <c r="D245" s="42" t="s">
        <v>1187</v>
      </c>
      <c r="E245" s="42" t="s">
        <v>836</v>
      </c>
      <c r="F245" s="47" t="s">
        <v>21</v>
      </c>
      <c r="G245" s="42" t="s">
        <v>837</v>
      </c>
      <c r="H245" s="42" t="s">
        <v>838</v>
      </c>
      <c r="I245" s="43"/>
    </row>
    <row r="246" spans="2:9" x14ac:dyDescent="0.25">
      <c r="B246" s="40"/>
      <c r="C246" s="42" t="s">
        <v>517</v>
      </c>
      <c r="D246" s="42" t="s">
        <v>1188</v>
      </c>
      <c r="E246" s="42" t="s">
        <v>836</v>
      </c>
      <c r="F246" s="47" t="s">
        <v>21</v>
      </c>
      <c r="G246" s="42" t="s">
        <v>837</v>
      </c>
      <c r="H246" s="42" t="s">
        <v>838</v>
      </c>
      <c r="I246" s="43"/>
    </row>
    <row r="247" spans="2:9" x14ac:dyDescent="0.25">
      <c r="B247" s="40"/>
      <c r="C247" s="42" t="s">
        <v>113</v>
      </c>
      <c r="D247" s="42" t="s">
        <v>1189</v>
      </c>
      <c r="E247" s="42" t="s">
        <v>836</v>
      </c>
      <c r="F247" s="47" t="s">
        <v>21</v>
      </c>
      <c r="G247" s="42" t="s">
        <v>837</v>
      </c>
      <c r="H247" s="42" t="s">
        <v>838</v>
      </c>
      <c r="I247" s="43"/>
    </row>
    <row r="248" spans="2:9" x14ac:dyDescent="0.25">
      <c r="B248" s="40"/>
      <c r="C248" s="42" t="s">
        <v>1190</v>
      </c>
      <c r="D248" s="42" t="s">
        <v>1191</v>
      </c>
      <c r="E248" s="42" t="s">
        <v>836</v>
      </c>
      <c r="F248" s="48" t="s">
        <v>278</v>
      </c>
      <c r="G248" s="42" t="s">
        <v>837</v>
      </c>
      <c r="H248" s="42" t="s">
        <v>838</v>
      </c>
      <c r="I248" s="43"/>
    </row>
    <row r="249" spans="2:9" x14ac:dyDescent="0.25">
      <c r="B249" s="40"/>
      <c r="C249" s="42" t="s">
        <v>1192</v>
      </c>
      <c r="D249" s="42" t="s">
        <v>1193</v>
      </c>
      <c r="E249" s="42" t="s">
        <v>836</v>
      </c>
      <c r="F249" s="47" t="s">
        <v>21</v>
      </c>
      <c r="G249" s="42" t="s">
        <v>837</v>
      </c>
      <c r="H249" s="42" t="s">
        <v>838</v>
      </c>
      <c r="I249" s="43"/>
    </row>
    <row r="250" spans="2:9" x14ac:dyDescent="0.25">
      <c r="B250" s="40"/>
      <c r="C250" s="42" t="s">
        <v>1194</v>
      </c>
      <c r="D250" s="42" t="s">
        <v>1195</v>
      </c>
      <c r="E250" s="42" t="s">
        <v>836</v>
      </c>
      <c r="F250" s="47" t="s">
        <v>21</v>
      </c>
      <c r="G250" s="42" t="s">
        <v>837</v>
      </c>
      <c r="H250" s="42" t="s">
        <v>838</v>
      </c>
      <c r="I250" s="43"/>
    </row>
    <row r="251" spans="2:9" x14ac:dyDescent="0.25">
      <c r="B251" s="40"/>
      <c r="C251" s="42" t="s">
        <v>519</v>
      </c>
      <c r="D251" s="42" t="s">
        <v>1196</v>
      </c>
      <c r="E251" s="42" t="s">
        <v>836</v>
      </c>
      <c r="F251" s="47" t="s">
        <v>21</v>
      </c>
      <c r="G251" s="42" t="s">
        <v>837</v>
      </c>
      <c r="H251" s="42" t="s">
        <v>838</v>
      </c>
      <c r="I251" s="43"/>
    </row>
    <row r="252" spans="2:9" x14ac:dyDescent="0.25">
      <c r="B252" s="41"/>
      <c r="C252" s="44" t="s">
        <v>520</v>
      </c>
      <c r="D252" s="44" t="s">
        <v>1197</v>
      </c>
      <c r="E252" s="44" t="s">
        <v>836</v>
      </c>
      <c r="F252" s="53" t="s">
        <v>21</v>
      </c>
      <c r="G252" s="44" t="s">
        <v>837</v>
      </c>
      <c r="H252" s="44" t="s">
        <v>838</v>
      </c>
      <c r="I252" s="45"/>
    </row>
    <row r="253" spans="2:9" x14ac:dyDescent="0.25">
      <c r="B253" s="40"/>
      <c r="C253" s="42" t="s">
        <v>1198</v>
      </c>
      <c r="D253" s="42" t="s">
        <v>1199</v>
      </c>
      <c r="E253" s="42" t="s">
        <v>836</v>
      </c>
      <c r="F253" s="47" t="s">
        <v>21</v>
      </c>
      <c r="G253" s="42" t="s">
        <v>837</v>
      </c>
      <c r="H253" s="42" t="s">
        <v>838</v>
      </c>
      <c r="I253" s="43"/>
    </row>
    <row r="254" spans="2:9" x14ac:dyDescent="0.25">
      <c r="B254" s="40"/>
      <c r="C254" s="42" t="s">
        <v>1200</v>
      </c>
      <c r="D254" s="42" t="s">
        <v>1201</v>
      </c>
      <c r="E254" s="42" t="s">
        <v>896</v>
      </c>
      <c r="F254" s="52" t="s">
        <v>974</v>
      </c>
      <c r="G254" s="42" t="s">
        <v>838</v>
      </c>
      <c r="H254" s="42" t="s">
        <v>838</v>
      </c>
      <c r="I254" s="43"/>
    </row>
    <row r="255" spans="2:9" x14ac:dyDescent="0.25">
      <c r="B255" s="40"/>
      <c r="C255" s="42" t="s">
        <v>1202</v>
      </c>
      <c r="D255" s="42" t="s">
        <v>1203</v>
      </c>
      <c r="E255" s="42" t="s">
        <v>836</v>
      </c>
      <c r="F255" s="47" t="s">
        <v>21</v>
      </c>
      <c r="G255" s="42" t="s">
        <v>837</v>
      </c>
      <c r="H255" s="42" t="s">
        <v>838</v>
      </c>
      <c r="I255" s="43"/>
    </row>
    <row r="256" spans="2:9" x14ac:dyDescent="0.25">
      <c r="B256" s="40"/>
      <c r="C256" s="42" t="s">
        <v>525</v>
      </c>
      <c r="D256" s="42" t="s">
        <v>1204</v>
      </c>
      <c r="E256" s="42" t="s">
        <v>836</v>
      </c>
      <c r="F256" s="47" t="s">
        <v>21</v>
      </c>
      <c r="G256" s="42" t="s">
        <v>837</v>
      </c>
      <c r="H256" s="42" t="s">
        <v>838</v>
      </c>
      <c r="I256" s="43"/>
    </row>
    <row r="257" spans="2:9" x14ac:dyDescent="0.25">
      <c r="B257" s="40"/>
      <c r="C257" s="42" t="s">
        <v>527</v>
      </c>
      <c r="D257" s="42" t="s">
        <v>1205</v>
      </c>
      <c r="E257" s="42" t="s">
        <v>836</v>
      </c>
      <c r="F257" s="47" t="s">
        <v>21</v>
      </c>
      <c r="G257" s="42" t="s">
        <v>837</v>
      </c>
      <c r="H257" s="42" t="s">
        <v>838</v>
      </c>
      <c r="I257" s="43"/>
    </row>
    <row r="258" spans="2:9" x14ac:dyDescent="0.25">
      <c r="B258" s="40"/>
      <c r="C258" s="42" t="s">
        <v>1206</v>
      </c>
      <c r="D258" s="42" t="s">
        <v>1207</v>
      </c>
      <c r="E258" s="42" t="s">
        <v>836</v>
      </c>
      <c r="F258" s="47" t="s">
        <v>21</v>
      </c>
      <c r="G258" s="42" t="s">
        <v>837</v>
      </c>
      <c r="H258" s="42" t="s">
        <v>838</v>
      </c>
      <c r="I258" s="43"/>
    </row>
    <row r="259" spans="2:9" x14ac:dyDescent="0.25">
      <c r="B259" s="40"/>
      <c r="C259" s="42" t="s">
        <v>115</v>
      </c>
      <c r="D259" s="42" t="s">
        <v>1208</v>
      </c>
      <c r="E259" s="42" t="s">
        <v>836</v>
      </c>
      <c r="F259" s="47" t="s">
        <v>21</v>
      </c>
      <c r="G259" s="42" t="s">
        <v>837</v>
      </c>
      <c r="H259" s="42" t="s">
        <v>838</v>
      </c>
      <c r="I259" s="43"/>
    </row>
    <row r="260" spans="2:9" x14ac:dyDescent="0.25">
      <c r="B260" s="40"/>
      <c r="C260" s="42" t="s">
        <v>529</v>
      </c>
      <c r="D260" s="42" t="s">
        <v>1209</v>
      </c>
      <c r="E260" s="42" t="s">
        <v>836</v>
      </c>
      <c r="F260" s="47" t="s">
        <v>21</v>
      </c>
      <c r="G260" s="42" t="s">
        <v>837</v>
      </c>
      <c r="H260" s="42" t="s">
        <v>838</v>
      </c>
      <c r="I260" s="43"/>
    </row>
    <row r="261" spans="2:9" x14ac:dyDescent="0.25">
      <c r="B261" s="40"/>
      <c r="C261" s="42" t="s">
        <v>534</v>
      </c>
      <c r="D261" s="42" t="s">
        <v>1210</v>
      </c>
      <c r="E261" s="42" t="s">
        <v>836</v>
      </c>
      <c r="F261" s="47" t="s">
        <v>21</v>
      </c>
      <c r="G261" s="42" t="s">
        <v>837</v>
      </c>
      <c r="H261" s="42" t="s">
        <v>838</v>
      </c>
      <c r="I261" s="43"/>
    </row>
    <row r="262" spans="2:9" x14ac:dyDescent="0.25">
      <c r="B262" s="40"/>
      <c r="C262" s="42" t="s">
        <v>214</v>
      </c>
      <c r="D262" s="42" t="s">
        <v>1211</v>
      </c>
      <c r="E262" s="42" t="s">
        <v>836</v>
      </c>
      <c r="F262" s="47" t="s">
        <v>21</v>
      </c>
      <c r="G262" s="42" t="s">
        <v>837</v>
      </c>
      <c r="H262" s="42" t="s">
        <v>838</v>
      </c>
      <c r="I262" s="43"/>
    </row>
    <row r="263" spans="2:9" x14ac:dyDescent="0.25">
      <c r="B263" s="40"/>
      <c r="C263" s="42" t="s">
        <v>539</v>
      </c>
      <c r="D263" s="42" t="s">
        <v>1212</v>
      </c>
      <c r="E263" s="42" t="s">
        <v>836</v>
      </c>
      <c r="F263" s="47" t="s">
        <v>21</v>
      </c>
      <c r="G263" s="42" t="s">
        <v>837</v>
      </c>
      <c r="H263" s="42" t="s">
        <v>838</v>
      </c>
      <c r="I263" s="43"/>
    </row>
    <row r="264" spans="2:9" x14ac:dyDescent="0.25">
      <c r="B264" s="40"/>
      <c r="C264" s="42" t="s">
        <v>1213</v>
      </c>
      <c r="D264" s="42" t="s">
        <v>1214</v>
      </c>
      <c r="E264" s="42" t="s">
        <v>836</v>
      </c>
      <c r="F264" s="47" t="s">
        <v>21</v>
      </c>
      <c r="G264" s="42" t="s">
        <v>837</v>
      </c>
      <c r="H264" s="42" t="s">
        <v>838</v>
      </c>
      <c r="I264" s="43"/>
    </row>
    <row r="265" spans="2:9" x14ac:dyDescent="0.25">
      <c r="B265" s="40"/>
      <c r="C265" s="42" t="s">
        <v>543</v>
      </c>
      <c r="D265" s="42" t="s">
        <v>1215</v>
      </c>
      <c r="E265" s="42" t="s">
        <v>836</v>
      </c>
      <c r="F265" s="47" t="s">
        <v>21</v>
      </c>
      <c r="G265" s="42" t="s">
        <v>837</v>
      </c>
      <c r="H265" s="42" t="s">
        <v>838</v>
      </c>
      <c r="I265" s="43"/>
    </row>
    <row r="266" spans="2:9" x14ac:dyDescent="0.25">
      <c r="B266" s="40"/>
      <c r="C266" s="42" t="s">
        <v>1216</v>
      </c>
      <c r="D266" s="42" t="s">
        <v>1217</v>
      </c>
      <c r="E266" s="42" t="s">
        <v>836</v>
      </c>
      <c r="F266" s="47" t="s">
        <v>21</v>
      </c>
      <c r="G266" s="42" t="s">
        <v>837</v>
      </c>
      <c r="H266" s="42" t="s">
        <v>838</v>
      </c>
      <c r="I266" s="43"/>
    </row>
    <row r="267" spans="2:9" x14ac:dyDescent="0.25">
      <c r="B267" s="40"/>
      <c r="C267" s="42" t="s">
        <v>545</v>
      </c>
      <c r="D267" s="42" t="s">
        <v>1218</v>
      </c>
      <c r="E267" s="42" t="s">
        <v>836</v>
      </c>
      <c r="F267" s="47" t="s">
        <v>21</v>
      </c>
      <c r="G267" s="42" t="s">
        <v>837</v>
      </c>
      <c r="H267" s="42" t="s">
        <v>838</v>
      </c>
      <c r="I267" s="43"/>
    </row>
    <row r="268" spans="2:9" x14ac:dyDescent="0.25">
      <c r="B268" s="40"/>
      <c r="C268" s="42" t="s">
        <v>118</v>
      </c>
      <c r="D268" s="42" t="s">
        <v>1219</v>
      </c>
      <c r="E268" s="42" t="s">
        <v>836</v>
      </c>
      <c r="F268" s="47" t="s">
        <v>21</v>
      </c>
      <c r="G268" s="42" t="s">
        <v>837</v>
      </c>
      <c r="H268" s="42" t="s">
        <v>838</v>
      </c>
      <c r="I268" s="43"/>
    </row>
    <row r="269" spans="2:9" x14ac:dyDescent="0.25">
      <c r="B269" s="40"/>
      <c r="C269" s="42" t="s">
        <v>743</v>
      </c>
      <c r="D269" s="42" t="s">
        <v>1220</v>
      </c>
      <c r="E269" s="42" t="s">
        <v>836</v>
      </c>
      <c r="F269" s="47" t="s">
        <v>21</v>
      </c>
      <c r="G269" s="42" t="s">
        <v>837</v>
      </c>
      <c r="H269" s="42" t="s">
        <v>838</v>
      </c>
      <c r="I269" s="43"/>
    </row>
    <row r="270" spans="2:9" x14ac:dyDescent="0.25">
      <c r="B270" s="40"/>
      <c r="C270" s="42" t="s">
        <v>1221</v>
      </c>
      <c r="D270" s="42" t="s">
        <v>1222</v>
      </c>
      <c r="E270" s="42" t="s">
        <v>836</v>
      </c>
      <c r="F270" s="47" t="s">
        <v>21</v>
      </c>
      <c r="G270" s="42" t="s">
        <v>837</v>
      </c>
      <c r="H270" s="42" t="s">
        <v>838</v>
      </c>
      <c r="I270" s="43"/>
    </row>
    <row r="271" spans="2:9" x14ac:dyDescent="0.25">
      <c r="B271" s="40"/>
      <c r="C271" s="42" t="s">
        <v>549</v>
      </c>
      <c r="D271" s="42" t="s">
        <v>1223</v>
      </c>
      <c r="E271" s="42" t="s">
        <v>836</v>
      </c>
      <c r="F271" s="51" t="s">
        <v>1063</v>
      </c>
      <c r="G271" s="42" t="s">
        <v>837</v>
      </c>
      <c r="H271" s="42" t="s">
        <v>838</v>
      </c>
      <c r="I271" s="43"/>
    </row>
    <row r="272" spans="2:9" x14ac:dyDescent="0.25">
      <c r="B272" s="40"/>
      <c r="C272" s="42" t="s">
        <v>1224</v>
      </c>
      <c r="D272" s="42" t="s">
        <v>1225</v>
      </c>
      <c r="E272" s="42" t="s">
        <v>836</v>
      </c>
      <c r="F272" s="48" t="s">
        <v>278</v>
      </c>
      <c r="G272" s="42" t="s">
        <v>837</v>
      </c>
      <c r="H272" s="42" t="s">
        <v>838</v>
      </c>
      <c r="I272" s="43"/>
    </row>
    <row r="273" spans="2:9" x14ac:dyDescent="0.25">
      <c r="B273" s="40"/>
      <c r="C273" s="42" t="s">
        <v>551</v>
      </c>
      <c r="D273" s="42" t="s">
        <v>1226</v>
      </c>
      <c r="E273" s="42" t="s">
        <v>836</v>
      </c>
      <c r="F273" s="47" t="s">
        <v>21</v>
      </c>
      <c r="G273" s="42" t="s">
        <v>837</v>
      </c>
      <c r="H273" s="42" t="s">
        <v>838</v>
      </c>
      <c r="I273" s="43"/>
    </row>
    <row r="274" spans="2:9" x14ac:dyDescent="0.25">
      <c r="B274" s="40"/>
      <c r="C274" s="42" t="s">
        <v>1227</v>
      </c>
      <c r="D274" s="42" t="s">
        <v>1228</v>
      </c>
      <c r="E274" s="42" t="s">
        <v>836</v>
      </c>
      <c r="F274" s="47" t="s">
        <v>21</v>
      </c>
      <c r="G274" s="42" t="s">
        <v>837</v>
      </c>
      <c r="H274" s="42" t="s">
        <v>838</v>
      </c>
      <c r="I274" s="43"/>
    </row>
    <row r="275" spans="2:9" x14ac:dyDescent="0.25">
      <c r="B275" s="40"/>
      <c r="C275" s="42" t="s">
        <v>1229</v>
      </c>
      <c r="D275" s="42" t="s">
        <v>1230</v>
      </c>
      <c r="E275" s="42" t="s">
        <v>836</v>
      </c>
      <c r="F275" s="48" t="s">
        <v>278</v>
      </c>
      <c r="G275" s="42" t="s">
        <v>837</v>
      </c>
      <c r="H275" s="42" t="s">
        <v>838</v>
      </c>
      <c r="I275" s="43"/>
    </row>
    <row r="276" spans="2:9" x14ac:dyDescent="0.25">
      <c r="B276" s="40"/>
      <c r="C276" s="42" t="s">
        <v>121</v>
      </c>
      <c r="D276" s="42" t="s">
        <v>1231</v>
      </c>
      <c r="E276" s="42" t="s">
        <v>836</v>
      </c>
      <c r="F276" s="47" t="s">
        <v>21</v>
      </c>
      <c r="G276" s="42" t="s">
        <v>837</v>
      </c>
      <c r="H276" s="42" t="s">
        <v>838</v>
      </c>
      <c r="I276" s="43"/>
    </row>
    <row r="277" spans="2:9" x14ac:dyDescent="0.25">
      <c r="B277" s="40"/>
      <c r="C277" s="42" t="s">
        <v>1232</v>
      </c>
      <c r="D277" s="42" t="s">
        <v>1233</v>
      </c>
      <c r="E277" s="42" t="s">
        <v>836</v>
      </c>
      <c r="F277" s="47" t="s">
        <v>21</v>
      </c>
      <c r="G277" s="42" t="s">
        <v>837</v>
      </c>
      <c r="H277" s="42" t="s">
        <v>838</v>
      </c>
      <c r="I277" s="43"/>
    </row>
    <row r="278" spans="2:9" x14ac:dyDescent="0.25">
      <c r="B278" s="40"/>
      <c r="C278" s="42" t="s">
        <v>217</v>
      </c>
      <c r="D278" s="42" t="s">
        <v>1234</v>
      </c>
      <c r="E278" s="42" t="s">
        <v>836</v>
      </c>
      <c r="F278" s="47" t="s">
        <v>21</v>
      </c>
      <c r="G278" s="42" t="s">
        <v>837</v>
      </c>
      <c r="H278" s="42" t="s">
        <v>838</v>
      </c>
      <c r="I278" s="43"/>
    </row>
    <row r="279" spans="2:9" x14ac:dyDescent="0.25">
      <c r="B279" s="40"/>
      <c r="C279" s="42" t="s">
        <v>553</v>
      </c>
      <c r="D279" s="42" t="s">
        <v>1235</v>
      </c>
      <c r="E279" s="42" t="s">
        <v>836</v>
      </c>
      <c r="F279" s="49" t="s">
        <v>423</v>
      </c>
      <c r="G279" s="42" t="s">
        <v>837</v>
      </c>
      <c r="H279" s="42" t="s">
        <v>838</v>
      </c>
      <c r="I279" s="43"/>
    </row>
    <row r="280" spans="2:9" x14ac:dyDescent="0.25">
      <c r="B280" s="40"/>
      <c r="C280" s="42" t="s">
        <v>1236</v>
      </c>
      <c r="D280" s="42" t="s">
        <v>1237</v>
      </c>
      <c r="E280" s="42" t="s">
        <v>836</v>
      </c>
      <c r="F280" s="51" t="s">
        <v>1051</v>
      </c>
      <c r="G280" s="42" t="s">
        <v>837</v>
      </c>
      <c r="H280" s="42" t="s">
        <v>838</v>
      </c>
      <c r="I280" s="43"/>
    </row>
    <row r="281" spans="2:9" x14ac:dyDescent="0.25">
      <c r="B281" s="40"/>
      <c r="C281" s="42" t="s">
        <v>500</v>
      </c>
      <c r="D281" s="42" t="s">
        <v>1238</v>
      </c>
      <c r="E281" s="42" t="s">
        <v>836</v>
      </c>
      <c r="F281" s="47" t="s">
        <v>21</v>
      </c>
      <c r="G281" s="42" t="s">
        <v>837</v>
      </c>
      <c r="H281" s="42" t="s">
        <v>838</v>
      </c>
      <c r="I281" s="43"/>
    </row>
    <row r="282" spans="2:9" x14ac:dyDescent="0.25">
      <c r="B282" s="40"/>
      <c r="C282" s="42" t="s">
        <v>1239</v>
      </c>
      <c r="D282" s="42" t="s">
        <v>1240</v>
      </c>
      <c r="E282" s="42" t="s">
        <v>836</v>
      </c>
      <c r="F282" s="47" t="s">
        <v>21</v>
      </c>
      <c r="G282" s="42" t="s">
        <v>837</v>
      </c>
      <c r="H282" s="42" t="s">
        <v>838</v>
      </c>
      <c r="I282" s="43"/>
    </row>
    <row r="283" spans="2:9" x14ac:dyDescent="0.25">
      <c r="B283" s="40"/>
      <c r="C283" s="42" t="s">
        <v>124</v>
      </c>
      <c r="D283" s="42" t="s">
        <v>1241</v>
      </c>
      <c r="E283" s="42" t="s">
        <v>836</v>
      </c>
      <c r="F283" s="47" t="s">
        <v>21</v>
      </c>
      <c r="G283" s="42" t="s">
        <v>837</v>
      </c>
      <c r="H283" s="42" t="s">
        <v>838</v>
      </c>
      <c r="I283" s="43"/>
    </row>
    <row r="284" spans="2:9" x14ac:dyDescent="0.25">
      <c r="B284" s="40"/>
      <c r="C284" s="42" t="s">
        <v>127</v>
      </c>
      <c r="D284" s="42" t="s">
        <v>1242</v>
      </c>
      <c r="E284" s="42" t="s">
        <v>836</v>
      </c>
      <c r="F284" s="47" t="s">
        <v>21</v>
      </c>
      <c r="G284" s="42" t="s">
        <v>837</v>
      </c>
      <c r="H284" s="42" t="s">
        <v>838</v>
      </c>
      <c r="I284" s="43"/>
    </row>
    <row r="285" spans="2:9" x14ac:dyDescent="0.25">
      <c r="B285" s="40"/>
      <c r="C285" s="42" t="s">
        <v>1243</v>
      </c>
      <c r="D285" s="42" t="s">
        <v>1244</v>
      </c>
      <c r="E285" s="42" t="s">
        <v>836</v>
      </c>
      <c r="F285" s="47" t="s">
        <v>21</v>
      </c>
      <c r="G285" s="42" t="s">
        <v>837</v>
      </c>
      <c r="H285" s="42" t="s">
        <v>838</v>
      </c>
      <c r="I285" s="43"/>
    </row>
    <row r="286" spans="2:9" x14ac:dyDescent="0.25">
      <c r="B286" s="40"/>
      <c r="C286" s="42" t="s">
        <v>547</v>
      </c>
      <c r="D286" s="42" t="s">
        <v>1245</v>
      </c>
      <c r="E286" s="42" t="s">
        <v>836</v>
      </c>
      <c r="F286" s="47" t="s">
        <v>21</v>
      </c>
      <c r="G286" s="42" t="s">
        <v>837</v>
      </c>
      <c r="H286" s="42" t="s">
        <v>838</v>
      </c>
      <c r="I286" s="43"/>
    </row>
    <row r="287" spans="2:9" x14ac:dyDescent="0.25">
      <c r="B287" s="40"/>
      <c r="C287" s="42" t="s">
        <v>557</v>
      </c>
      <c r="D287" s="42" t="s">
        <v>1246</v>
      </c>
      <c r="E287" s="42" t="s">
        <v>836</v>
      </c>
      <c r="F287" s="47" t="s">
        <v>21</v>
      </c>
      <c r="G287" s="42" t="s">
        <v>837</v>
      </c>
      <c r="H287" s="42" t="s">
        <v>838</v>
      </c>
      <c r="I287" s="43"/>
    </row>
    <row r="288" spans="2:9" x14ac:dyDescent="0.25">
      <c r="B288" s="40"/>
      <c r="C288" s="42" t="s">
        <v>1247</v>
      </c>
      <c r="D288" s="42" t="s">
        <v>1248</v>
      </c>
      <c r="E288" s="42" t="s">
        <v>836</v>
      </c>
      <c r="F288" s="47" t="s">
        <v>21</v>
      </c>
      <c r="G288" s="42" t="s">
        <v>837</v>
      </c>
      <c r="H288" s="42" t="s">
        <v>838</v>
      </c>
      <c r="I288" s="43"/>
    </row>
    <row r="289" spans="2:9" x14ac:dyDescent="0.25">
      <c r="B289" s="40"/>
      <c r="C289" s="42" t="s">
        <v>559</v>
      </c>
      <c r="D289" s="42" t="s">
        <v>1249</v>
      </c>
      <c r="E289" s="42" t="s">
        <v>836</v>
      </c>
      <c r="F289" s="47" t="s">
        <v>21</v>
      </c>
      <c r="G289" s="42" t="s">
        <v>837</v>
      </c>
      <c r="H289" s="42" t="s">
        <v>838</v>
      </c>
      <c r="I289" s="43"/>
    </row>
    <row r="290" spans="2:9" x14ac:dyDescent="0.25">
      <c r="B290" s="40"/>
      <c r="C290" s="42" t="s">
        <v>572</v>
      </c>
      <c r="D290" s="42" t="s">
        <v>1250</v>
      </c>
      <c r="E290" s="42" t="s">
        <v>836</v>
      </c>
      <c r="F290" s="47" t="s">
        <v>21</v>
      </c>
      <c r="G290" s="42" t="s">
        <v>837</v>
      </c>
      <c r="H290" s="42" t="s">
        <v>838</v>
      </c>
      <c r="I290" s="43"/>
    </row>
    <row r="291" spans="2:9" x14ac:dyDescent="0.25">
      <c r="B291" s="40"/>
      <c r="C291" s="42" t="s">
        <v>563</v>
      </c>
      <c r="D291" s="42" t="s">
        <v>1251</v>
      </c>
      <c r="E291" s="42" t="s">
        <v>836</v>
      </c>
      <c r="F291" s="47" t="s">
        <v>21</v>
      </c>
      <c r="G291" s="42" t="s">
        <v>837</v>
      </c>
      <c r="H291" s="42" t="s">
        <v>838</v>
      </c>
      <c r="I291" s="43"/>
    </row>
    <row r="292" spans="2:9" x14ac:dyDescent="0.25">
      <c r="B292" s="40"/>
      <c r="C292" s="42" t="s">
        <v>1252</v>
      </c>
      <c r="D292" s="42" t="s">
        <v>1253</v>
      </c>
      <c r="E292" s="42" t="s">
        <v>836</v>
      </c>
      <c r="F292" s="48" t="s">
        <v>278</v>
      </c>
      <c r="G292" s="42" t="s">
        <v>837</v>
      </c>
      <c r="H292" s="42" t="s">
        <v>838</v>
      </c>
      <c r="I292" s="43"/>
    </row>
    <row r="293" spans="2:9" x14ac:dyDescent="0.25">
      <c r="B293" s="40"/>
      <c r="C293" s="42" t="s">
        <v>565</v>
      </c>
      <c r="D293" s="42" t="s">
        <v>1254</v>
      </c>
      <c r="E293" s="42" t="s">
        <v>836</v>
      </c>
      <c r="F293" s="47" t="s">
        <v>21</v>
      </c>
      <c r="G293" s="42" t="s">
        <v>837</v>
      </c>
      <c r="H293" s="42" t="s">
        <v>838</v>
      </c>
      <c r="I293" s="43"/>
    </row>
    <row r="294" spans="2:9" x14ac:dyDescent="0.25">
      <c r="B294" s="40"/>
      <c r="C294" s="42" t="s">
        <v>567</v>
      </c>
      <c r="D294" s="42" t="s">
        <v>1255</v>
      </c>
      <c r="E294" s="42" t="s">
        <v>836</v>
      </c>
      <c r="F294" s="47" t="s">
        <v>21</v>
      </c>
      <c r="G294" s="42" t="s">
        <v>837</v>
      </c>
      <c r="H294" s="42" t="s">
        <v>838</v>
      </c>
      <c r="I294" s="43"/>
    </row>
    <row r="295" spans="2:9" x14ac:dyDescent="0.25">
      <c r="B295" s="40"/>
      <c r="C295" s="42" t="s">
        <v>456</v>
      </c>
      <c r="D295" s="42" t="s">
        <v>1256</v>
      </c>
      <c r="E295" s="42" t="s">
        <v>836</v>
      </c>
      <c r="F295" s="47" t="s">
        <v>21</v>
      </c>
      <c r="G295" s="42" t="s">
        <v>837</v>
      </c>
      <c r="H295" s="42" t="s">
        <v>838</v>
      </c>
      <c r="I295" s="43"/>
    </row>
    <row r="296" spans="2:9" x14ac:dyDescent="0.25">
      <c r="B296" s="40"/>
      <c r="C296" s="42" t="s">
        <v>604</v>
      </c>
      <c r="D296" s="42" t="s">
        <v>1257</v>
      </c>
      <c r="E296" s="42" t="s">
        <v>836</v>
      </c>
      <c r="F296" s="47" t="s">
        <v>21</v>
      </c>
      <c r="G296" s="42" t="s">
        <v>837</v>
      </c>
      <c r="H296" s="42" t="s">
        <v>838</v>
      </c>
      <c r="I296" s="43"/>
    </row>
    <row r="297" spans="2:9" x14ac:dyDescent="0.25">
      <c r="B297" s="40"/>
      <c r="C297" s="42" t="s">
        <v>1258</v>
      </c>
      <c r="D297" s="42" t="s">
        <v>1259</v>
      </c>
      <c r="E297" s="42" t="s">
        <v>836</v>
      </c>
      <c r="F297" s="47" t="s">
        <v>21</v>
      </c>
      <c r="G297" s="42" t="s">
        <v>837</v>
      </c>
      <c r="H297" s="42" t="s">
        <v>838</v>
      </c>
      <c r="I297" s="43"/>
    </row>
    <row r="298" spans="2:9" x14ac:dyDescent="0.25">
      <c r="B298" s="40"/>
      <c r="C298" s="42" t="s">
        <v>1260</v>
      </c>
      <c r="D298" s="42" t="s">
        <v>1261</v>
      </c>
      <c r="E298" s="42" t="s">
        <v>836</v>
      </c>
      <c r="F298" s="47" t="s">
        <v>21</v>
      </c>
      <c r="G298" s="42" t="s">
        <v>837</v>
      </c>
      <c r="H298" s="42" t="s">
        <v>838</v>
      </c>
      <c r="I298" s="43"/>
    </row>
    <row r="299" spans="2:9" x14ac:dyDescent="0.25">
      <c r="B299" s="40"/>
      <c r="C299" s="42" t="s">
        <v>1262</v>
      </c>
      <c r="D299" s="42" t="s">
        <v>1263</v>
      </c>
      <c r="E299" s="42" t="s">
        <v>836</v>
      </c>
      <c r="F299" s="49" t="s">
        <v>423</v>
      </c>
      <c r="G299" s="42" t="s">
        <v>837</v>
      </c>
      <c r="H299" s="42" t="s">
        <v>838</v>
      </c>
      <c r="I299" s="43"/>
    </row>
    <row r="300" spans="2:9" x14ac:dyDescent="0.25">
      <c r="B300" s="40"/>
      <c r="C300" s="42" t="s">
        <v>1264</v>
      </c>
      <c r="D300" s="42" t="s">
        <v>1265</v>
      </c>
      <c r="E300" s="42" t="s">
        <v>836</v>
      </c>
      <c r="F300" s="47" t="s">
        <v>21</v>
      </c>
      <c r="G300" s="42" t="s">
        <v>837</v>
      </c>
      <c r="H300" s="42" t="s">
        <v>838</v>
      </c>
      <c r="I300" s="43"/>
    </row>
    <row r="301" spans="2:9" x14ac:dyDescent="0.25">
      <c r="B301" s="41"/>
      <c r="C301" s="44" t="s">
        <v>1266</v>
      </c>
      <c r="D301" s="44" t="s">
        <v>1267</v>
      </c>
      <c r="E301" s="44" t="s">
        <v>836</v>
      </c>
      <c r="F301" s="53" t="s">
        <v>21</v>
      </c>
      <c r="G301" s="44" t="s">
        <v>837</v>
      </c>
      <c r="H301" s="44" t="s">
        <v>838</v>
      </c>
      <c r="I301" s="45"/>
    </row>
    <row r="302" spans="2:9" x14ac:dyDescent="0.25">
      <c r="B302" s="40"/>
      <c r="C302" s="42" t="s">
        <v>574</v>
      </c>
      <c r="D302" s="42" t="s">
        <v>1268</v>
      </c>
      <c r="E302" s="42" t="s">
        <v>836</v>
      </c>
      <c r="F302" s="47" t="s">
        <v>21</v>
      </c>
      <c r="G302" s="42" t="s">
        <v>837</v>
      </c>
      <c r="H302" s="42" t="s">
        <v>838</v>
      </c>
      <c r="I302" s="43"/>
    </row>
    <row r="303" spans="2:9" x14ac:dyDescent="0.25">
      <c r="B303" s="40"/>
      <c r="C303" s="42" t="s">
        <v>1269</v>
      </c>
      <c r="D303" s="42" t="s">
        <v>1270</v>
      </c>
      <c r="E303" s="42" t="s">
        <v>836</v>
      </c>
      <c r="F303" s="48" t="s">
        <v>278</v>
      </c>
      <c r="G303" s="42" t="s">
        <v>837</v>
      </c>
      <c r="H303" s="42" t="s">
        <v>838</v>
      </c>
      <c r="I303" s="43"/>
    </row>
    <row r="304" spans="2:9" x14ac:dyDescent="0.25">
      <c r="B304" s="40"/>
      <c r="C304" s="42" t="s">
        <v>576</v>
      </c>
      <c r="D304" s="42" t="s">
        <v>1271</v>
      </c>
      <c r="E304" s="42" t="s">
        <v>836</v>
      </c>
      <c r="F304" s="47" t="s">
        <v>21</v>
      </c>
      <c r="G304" s="42" t="s">
        <v>837</v>
      </c>
      <c r="H304" s="42" t="s">
        <v>838</v>
      </c>
      <c r="I304" s="43"/>
    </row>
    <row r="305" spans="2:9" x14ac:dyDescent="0.25">
      <c r="B305" s="40"/>
      <c r="C305" s="42" t="s">
        <v>433</v>
      </c>
      <c r="D305" s="42" t="s">
        <v>1272</v>
      </c>
      <c r="E305" s="42" t="s">
        <v>836</v>
      </c>
      <c r="F305" s="47" t="s">
        <v>21</v>
      </c>
      <c r="G305" s="42" t="s">
        <v>837</v>
      </c>
      <c r="H305" s="42" t="s">
        <v>838</v>
      </c>
      <c r="I305" s="43"/>
    </row>
    <row r="306" spans="2:9" x14ac:dyDescent="0.25">
      <c r="B306" s="40"/>
      <c r="C306" s="42" t="s">
        <v>1273</v>
      </c>
      <c r="D306" s="42" t="s">
        <v>1274</v>
      </c>
      <c r="E306" s="42" t="s">
        <v>836</v>
      </c>
      <c r="F306" s="47" t="s">
        <v>21</v>
      </c>
      <c r="G306" s="42" t="s">
        <v>837</v>
      </c>
      <c r="H306" s="42" t="s">
        <v>838</v>
      </c>
      <c r="I306" s="43"/>
    </row>
    <row r="307" spans="2:9" x14ac:dyDescent="0.25">
      <c r="B307" s="40"/>
      <c r="C307" s="42" t="s">
        <v>1275</v>
      </c>
      <c r="D307" s="42" t="s">
        <v>1276</v>
      </c>
      <c r="E307" s="42" t="s">
        <v>836</v>
      </c>
      <c r="F307" s="48" t="s">
        <v>278</v>
      </c>
      <c r="G307" s="42" t="s">
        <v>837</v>
      </c>
      <c r="H307" s="42" t="s">
        <v>838</v>
      </c>
      <c r="I307" s="43"/>
    </row>
    <row r="308" spans="2:9" x14ac:dyDescent="0.25">
      <c r="B308" s="40"/>
      <c r="C308" s="42" t="s">
        <v>581</v>
      </c>
      <c r="D308" s="42" t="s">
        <v>1277</v>
      </c>
      <c r="E308" s="42" t="s">
        <v>836</v>
      </c>
      <c r="F308" s="47" t="s">
        <v>21</v>
      </c>
      <c r="G308" s="42" t="s">
        <v>837</v>
      </c>
      <c r="H308" s="42" t="s">
        <v>838</v>
      </c>
      <c r="I308" s="43"/>
    </row>
    <row r="309" spans="2:9" x14ac:dyDescent="0.25">
      <c r="B309" s="40"/>
      <c r="C309" s="42" t="s">
        <v>1278</v>
      </c>
      <c r="D309" s="42" t="s">
        <v>1279</v>
      </c>
      <c r="E309" s="42" t="s">
        <v>836</v>
      </c>
      <c r="F309" s="47" t="s">
        <v>21</v>
      </c>
      <c r="G309" s="42" t="s">
        <v>837</v>
      </c>
      <c r="H309" s="42" t="s">
        <v>838</v>
      </c>
      <c r="I309" s="43"/>
    </row>
    <row r="310" spans="2:9" x14ac:dyDescent="0.25">
      <c r="B310" s="40"/>
      <c r="C310" s="42" t="s">
        <v>1280</v>
      </c>
      <c r="D310" s="42" t="s">
        <v>1281</v>
      </c>
      <c r="E310" s="42" t="s">
        <v>836</v>
      </c>
      <c r="F310" s="48" t="s">
        <v>278</v>
      </c>
      <c r="G310" s="42" t="s">
        <v>837</v>
      </c>
      <c r="H310" s="42" t="s">
        <v>838</v>
      </c>
      <c r="I310" s="43"/>
    </row>
    <row r="311" spans="2:9" x14ac:dyDescent="0.25">
      <c r="B311" s="40"/>
      <c r="C311" s="42" t="s">
        <v>583</v>
      </c>
      <c r="D311" s="42" t="s">
        <v>1282</v>
      </c>
      <c r="E311" s="42" t="s">
        <v>836</v>
      </c>
      <c r="F311" s="47" t="s">
        <v>21</v>
      </c>
      <c r="G311" s="42" t="s">
        <v>837</v>
      </c>
      <c r="H311" s="42" t="s">
        <v>838</v>
      </c>
      <c r="I311" s="43"/>
    </row>
    <row r="312" spans="2:9" x14ac:dyDescent="0.25">
      <c r="B312" s="40"/>
      <c r="C312" s="42" t="s">
        <v>585</v>
      </c>
      <c r="D312" s="42" t="s">
        <v>1283</v>
      </c>
      <c r="E312" s="42" t="s">
        <v>836</v>
      </c>
      <c r="F312" s="47" t="s">
        <v>21</v>
      </c>
      <c r="G312" s="42" t="s">
        <v>837</v>
      </c>
      <c r="H312" s="42" t="s">
        <v>838</v>
      </c>
      <c r="I312" s="43"/>
    </row>
    <row r="313" spans="2:9" x14ac:dyDescent="0.25">
      <c r="B313" s="40"/>
      <c r="C313" s="42" t="s">
        <v>1284</v>
      </c>
      <c r="D313" s="42" t="s">
        <v>1285</v>
      </c>
      <c r="E313" s="42" t="s">
        <v>836</v>
      </c>
      <c r="F313" s="47" t="s">
        <v>21</v>
      </c>
      <c r="G313" s="42" t="s">
        <v>837</v>
      </c>
      <c r="H313" s="42" t="s">
        <v>838</v>
      </c>
      <c r="I313" s="43"/>
    </row>
    <row r="314" spans="2:9" x14ac:dyDescent="0.25">
      <c r="B314" s="40"/>
      <c r="C314" s="42" t="s">
        <v>587</v>
      </c>
      <c r="D314" s="42" t="s">
        <v>1286</v>
      </c>
      <c r="E314" s="42" t="s">
        <v>836</v>
      </c>
      <c r="F314" s="47" t="s">
        <v>21</v>
      </c>
      <c r="G314" s="42" t="s">
        <v>837</v>
      </c>
      <c r="H314" s="42" t="s">
        <v>838</v>
      </c>
      <c r="I314" s="43"/>
    </row>
    <row r="315" spans="2:9" x14ac:dyDescent="0.25">
      <c r="B315" s="40"/>
      <c r="C315" s="42" t="s">
        <v>1287</v>
      </c>
      <c r="D315" s="42" t="s">
        <v>1288</v>
      </c>
      <c r="E315" s="42" t="s">
        <v>836</v>
      </c>
      <c r="F315" s="48" t="s">
        <v>278</v>
      </c>
      <c r="G315" s="42" t="s">
        <v>837</v>
      </c>
      <c r="H315" s="42" t="s">
        <v>838</v>
      </c>
      <c r="I315" s="43"/>
    </row>
    <row r="316" spans="2:9" x14ac:dyDescent="0.25">
      <c r="B316" s="40"/>
      <c r="C316" s="42" t="s">
        <v>589</v>
      </c>
      <c r="D316" s="42" t="s">
        <v>1289</v>
      </c>
      <c r="E316" s="42" t="s">
        <v>836</v>
      </c>
      <c r="F316" s="47" t="s">
        <v>21</v>
      </c>
      <c r="G316" s="42" t="s">
        <v>837</v>
      </c>
      <c r="H316" s="42" t="s">
        <v>838</v>
      </c>
      <c r="I316" s="43"/>
    </row>
    <row r="317" spans="2:9" x14ac:dyDescent="0.25">
      <c r="B317" s="40"/>
      <c r="C317" s="42" t="s">
        <v>1290</v>
      </c>
      <c r="D317" s="42" t="s">
        <v>1291</v>
      </c>
      <c r="E317" s="42" t="s">
        <v>836</v>
      </c>
      <c r="F317" s="49" t="s">
        <v>423</v>
      </c>
      <c r="G317" s="42" t="s">
        <v>837</v>
      </c>
      <c r="H317" s="42" t="s">
        <v>838</v>
      </c>
      <c r="I317" s="43"/>
    </row>
    <row r="318" spans="2:9" x14ac:dyDescent="0.25">
      <c r="B318" s="40"/>
      <c r="C318" s="42" t="s">
        <v>131</v>
      </c>
      <c r="D318" s="42" t="s">
        <v>1292</v>
      </c>
      <c r="E318" s="42" t="s">
        <v>836</v>
      </c>
      <c r="F318" s="47" t="s">
        <v>21</v>
      </c>
      <c r="G318" s="42" t="s">
        <v>837</v>
      </c>
      <c r="H318" s="42" t="s">
        <v>838</v>
      </c>
      <c r="I318" s="43"/>
    </row>
    <row r="319" spans="2:9" x14ac:dyDescent="0.25">
      <c r="B319" s="40"/>
      <c r="C319" s="42" t="s">
        <v>1293</v>
      </c>
      <c r="D319" s="42" t="s">
        <v>1294</v>
      </c>
      <c r="E319" s="42" t="s">
        <v>836</v>
      </c>
      <c r="F319" s="47" t="s">
        <v>21</v>
      </c>
      <c r="G319" s="42" t="s">
        <v>837</v>
      </c>
      <c r="H319" s="42" t="s">
        <v>838</v>
      </c>
      <c r="I319" s="43"/>
    </row>
    <row r="320" spans="2:9" x14ac:dyDescent="0.25">
      <c r="B320" s="40"/>
      <c r="C320" s="42" t="s">
        <v>134</v>
      </c>
      <c r="D320" s="42" t="s">
        <v>1295</v>
      </c>
      <c r="E320" s="42" t="s">
        <v>845</v>
      </c>
      <c r="F320" s="49" t="s">
        <v>423</v>
      </c>
      <c r="G320" s="42" t="s">
        <v>837</v>
      </c>
      <c r="H320" s="42" t="s">
        <v>838</v>
      </c>
      <c r="I320" s="43"/>
    </row>
    <row r="321" spans="2:9" x14ac:dyDescent="0.25">
      <c r="B321" s="40"/>
      <c r="C321" s="42" t="s">
        <v>596</v>
      </c>
      <c r="D321" s="42" t="s">
        <v>1296</v>
      </c>
      <c r="E321" s="42" t="s">
        <v>845</v>
      </c>
      <c r="F321" s="47" t="s">
        <v>21</v>
      </c>
      <c r="G321" s="42" t="s">
        <v>837</v>
      </c>
      <c r="H321" s="42" t="s">
        <v>838</v>
      </c>
      <c r="I321" s="43"/>
    </row>
    <row r="322" spans="2:9" x14ac:dyDescent="0.25">
      <c r="B322" s="40"/>
      <c r="C322" s="42" t="s">
        <v>1297</v>
      </c>
      <c r="D322" s="42" t="s">
        <v>1298</v>
      </c>
      <c r="E322" s="42" t="s">
        <v>836</v>
      </c>
      <c r="F322" s="48" t="s">
        <v>278</v>
      </c>
      <c r="G322" s="42" t="s">
        <v>837</v>
      </c>
      <c r="H322" s="42" t="s">
        <v>838</v>
      </c>
      <c r="I322" s="43"/>
    </row>
    <row r="323" spans="2:9" x14ac:dyDescent="0.25">
      <c r="B323" s="40"/>
      <c r="C323" s="42" t="s">
        <v>1299</v>
      </c>
      <c r="D323" s="42" t="s">
        <v>1300</v>
      </c>
      <c r="E323" s="42" t="s">
        <v>836</v>
      </c>
      <c r="F323" s="48" t="s">
        <v>278</v>
      </c>
      <c r="G323" s="42" t="s">
        <v>837</v>
      </c>
      <c r="H323" s="42" t="s">
        <v>838</v>
      </c>
      <c r="I323" s="43"/>
    </row>
    <row r="324" spans="2:9" x14ac:dyDescent="0.25">
      <c r="B324" s="40"/>
      <c r="C324" s="42" t="s">
        <v>1301</v>
      </c>
      <c r="D324" s="42" t="s">
        <v>1302</v>
      </c>
      <c r="E324" s="42" t="s">
        <v>836</v>
      </c>
      <c r="F324" s="47" t="s">
        <v>21</v>
      </c>
      <c r="G324" s="42" t="s">
        <v>837</v>
      </c>
      <c r="H324" s="42" t="s">
        <v>838</v>
      </c>
      <c r="I324" s="43"/>
    </row>
    <row r="325" spans="2:9" x14ac:dyDescent="0.25">
      <c r="B325" s="40"/>
      <c r="C325" s="42" t="s">
        <v>1303</v>
      </c>
      <c r="D325" s="42" t="s">
        <v>1304</v>
      </c>
      <c r="E325" s="42" t="s">
        <v>836</v>
      </c>
      <c r="F325" s="48" t="s">
        <v>278</v>
      </c>
      <c r="G325" s="42" t="s">
        <v>837</v>
      </c>
      <c r="H325" s="42" t="s">
        <v>838</v>
      </c>
      <c r="I325" s="43"/>
    </row>
    <row r="326" spans="2:9" x14ac:dyDescent="0.25">
      <c r="B326" s="40"/>
      <c r="C326" s="42" t="s">
        <v>220</v>
      </c>
      <c r="D326" s="42" t="s">
        <v>1305</v>
      </c>
      <c r="E326" s="42" t="s">
        <v>836</v>
      </c>
      <c r="F326" s="47" t="s">
        <v>21</v>
      </c>
      <c r="G326" s="42" t="s">
        <v>837</v>
      </c>
      <c r="H326" s="42" t="s">
        <v>838</v>
      </c>
      <c r="I326" s="43"/>
    </row>
    <row r="327" spans="2:9" x14ac:dyDescent="0.25">
      <c r="B327" s="40"/>
      <c r="C327" s="42" t="s">
        <v>1306</v>
      </c>
      <c r="D327" s="42" t="s">
        <v>1307</v>
      </c>
      <c r="E327" s="42" t="s">
        <v>836</v>
      </c>
      <c r="F327" s="47" t="s">
        <v>21</v>
      </c>
      <c r="G327" s="42" t="s">
        <v>837</v>
      </c>
      <c r="H327" s="42" t="s">
        <v>838</v>
      </c>
      <c r="I327" s="43"/>
    </row>
    <row r="328" spans="2:9" x14ac:dyDescent="0.25">
      <c r="B328" s="40"/>
      <c r="C328" s="42" t="s">
        <v>1308</v>
      </c>
      <c r="D328" s="42" t="s">
        <v>1309</v>
      </c>
      <c r="E328" s="42" t="s">
        <v>896</v>
      </c>
      <c r="F328" s="47" t="s">
        <v>21</v>
      </c>
      <c r="G328" s="42" t="s">
        <v>837</v>
      </c>
      <c r="H328" s="42" t="s">
        <v>884</v>
      </c>
      <c r="I328" s="43"/>
    </row>
    <row r="329" spans="2:9" x14ac:dyDescent="0.25">
      <c r="B329" s="40"/>
      <c r="C329" s="42" t="s">
        <v>598</v>
      </c>
      <c r="D329" s="42" t="s">
        <v>1310</v>
      </c>
      <c r="E329" s="42" t="s">
        <v>836</v>
      </c>
      <c r="F329" s="47" t="s">
        <v>21</v>
      </c>
      <c r="G329" s="42" t="s">
        <v>837</v>
      </c>
      <c r="H329" s="42" t="s">
        <v>838</v>
      </c>
      <c r="I329" s="43"/>
    </row>
    <row r="330" spans="2:9" x14ac:dyDescent="0.25">
      <c r="B330" s="40"/>
      <c r="C330" s="42" t="s">
        <v>1311</v>
      </c>
      <c r="D330" s="42" t="s">
        <v>1312</v>
      </c>
      <c r="E330" s="42" t="s">
        <v>836</v>
      </c>
      <c r="F330" s="48" t="s">
        <v>278</v>
      </c>
      <c r="G330" s="42" t="s">
        <v>837</v>
      </c>
      <c r="H330" s="42" t="s">
        <v>838</v>
      </c>
      <c r="I330" s="43"/>
    </row>
    <row r="331" spans="2:9" x14ac:dyDescent="0.25">
      <c r="B331" s="40"/>
      <c r="C331" s="42" t="s">
        <v>1313</v>
      </c>
      <c r="D331" s="42" t="s">
        <v>1314</v>
      </c>
      <c r="E331" s="42" t="s">
        <v>836</v>
      </c>
      <c r="F331" s="47" t="s">
        <v>21</v>
      </c>
      <c r="G331" s="42" t="s">
        <v>837</v>
      </c>
      <c r="H331" s="42" t="s">
        <v>838</v>
      </c>
      <c r="I331" s="43"/>
    </row>
    <row r="332" spans="2:9" x14ac:dyDescent="0.25">
      <c r="B332" s="40"/>
      <c r="C332" s="42" t="s">
        <v>136</v>
      </c>
      <c r="D332" s="42" t="s">
        <v>1315</v>
      </c>
      <c r="E332" s="42" t="s">
        <v>836</v>
      </c>
      <c r="F332" s="47" t="s">
        <v>21</v>
      </c>
      <c r="G332" s="42" t="s">
        <v>837</v>
      </c>
      <c r="H332" s="42" t="s">
        <v>838</v>
      </c>
      <c r="I332" s="43"/>
    </row>
    <row r="333" spans="2:9" x14ac:dyDescent="0.25">
      <c r="B333" s="40"/>
      <c r="C333" s="42" t="s">
        <v>602</v>
      </c>
      <c r="D333" s="42" t="s">
        <v>1316</v>
      </c>
      <c r="E333" s="42" t="s">
        <v>836</v>
      </c>
      <c r="F333" s="47" t="s">
        <v>21</v>
      </c>
      <c r="G333" s="42" t="s">
        <v>837</v>
      </c>
      <c r="H333" s="42" t="s">
        <v>838</v>
      </c>
      <c r="I333" s="43"/>
    </row>
    <row r="334" spans="2:9" x14ac:dyDescent="0.25">
      <c r="B334" s="40"/>
      <c r="C334" s="42" t="s">
        <v>1317</v>
      </c>
      <c r="D334" s="42" t="s">
        <v>1318</v>
      </c>
      <c r="E334" s="42" t="s">
        <v>836</v>
      </c>
      <c r="F334" s="48" t="s">
        <v>278</v>
      </c>
      <c r="G334" s="42" t="s">
        <v>837</v>
      </c>
      <c r="H334" s="42" t="s">
        <v>838</v>
      </c>
      <c r="I334" s="43"/>
    </row>
    <row r="335" spans="2:9" x14ac:dyDescent="0.25">
      <c r="B335" s="40"/>
      <c r="C335" s="42" t="s">
        <v>428</v>
      </c>
      <c r="D335" s="42" t="s">
        <v>1319</v>
      </c>
      <c r="E335" s="42" t="s">
        <v>836</v>
      </c>
      <c r="F335" s="47" t="s">
        <v>21</v>
      </c>
      <c r="G335" s="42" t="s">
        <v>837</v>
      </c>
      <c r="H335" s="42" t="s">
        <v>838</v>
      </c>
      <c r="I335" s="43"/>
    </row>
    <row r="336" spans="2:9" x14ac:dyDescent="0.25">
      <c r="B336" s="40"/>
      <c r="C336" s="42" t="s">
        <v>606</v>
      </c>
      <c r="D336" s="42" t="s">
        <v>1320</v>
      </c>
      <c r="E336" s="42" t="s">
        <v>836</v>
      </c>
      <c r="F336" s="47" t="s">
        <v>21</v>
      </c>
      <c r="G336" s="42" t="s">
        <v>837</v>
      </c>
      <c r="H336" s="42" t="s">
        <v>838</v>
      </c>
      <c r="I336" s="43"/>
    </row>
    <row r="337" spans="2:9" x14ac:dyDescent="0.25">
      <c r="B337" s="40"/>
      <c r="C337" s="42" t="s">
        <v>608</v>
      </c>
      <c r="D337" s="42" t="s">
        <v>1321</v>
      </c>
      <c r="E337" s="42" t="s">
        <v>836</v>
      </c>
      <c r="F337" s="47" t="s">
        <v>21</v>
      </c>
      <c r="G337" s="42" t="s">
        <v>837</v>
      </c>
      <c r="H337" s="42" t="s">
        <v>838</v>
      </c>
      <c r="I337" s="43"/>
    </row>
    <row r="338" spans="2:9" x14ac:dyDescent="0.25">
      <c r="B338" s="40"/>
      <c r="C338" s="42" t="s">
        <v>138</v>
      </c>
      <c r="D338" s="42" t="s">
        <v>1322</v>
      </c>
      <c r="E338" s="42" t="s">
        <v>836</v>
      </c>
      <c r="F338" s="47" t="s">
        <v>21</v>
      </c>
      <c r="G338" s="42" t="s">
        <v>837</v>
      </c>
      <c r="H338" s="42" t="s">
        <v>838</v>
      </c>
      <c r="I338" s="43"/>
    </row>
    <row r="339" spans="2:9" x14ac:dyDescent="0.25">
      <c r="B339" s="40"/>
      <c r="C339" s="42" t="s">
        <v>1323</v>
      </c>
      <c r="D339" s="42" t="s">
        <v>1324</v>
      </c>
      <c r="E339" s="42" t="s">
        <v>836</v>
      </c>
      <c r="F339" s="48" t="s">
        <v>278</v>
      </c>
      <c r="G339" s="42" t="s">
        <v>837</v>
      </c>
      <c r="H339" s="42" t="s">
        <v>838</v>
      </c>
      <c r="I339" s="43"/>
    </row>
    <row r="340" spans="2:9" x14ac:dyDescent="0.25">
      <c r="B340" s="40"/>
      <c r="C340" s="42" t="s">
        <v>611</v>
      </c>
      <c r="D340" s="42" t="s">
        <v>1325</v>
      </c>
      <c r="E340" s="42" t="s">
        <v>836</v>
      </c>
      <c r="F340" s="47" t="s">
        <v>21</v>
      </c>
      <c r="G340" s="42" t="s">
        <v>837</v>
      </c>
      <c r="H340" s="42" t="s">
        <v>838</v>
      </c>
      <c r="I340" s="43"/>
    </row>
    <row r="341" spans="2:9" x14ac:dyDescent="0.25">
      <c r="B341" s="40"/>
      <c r="C341" s="42" t="s">
        <v>613</v>
      </c>
      <c r="D341" s="42" t="s">
        <v>1326</v>
      </c>
      <c r="E341" s="42" t="s">
        <v>836</v>
      </c>
      <c r="F341" s="51" t="s">
        <v>1051</v>
      </c>
      <c r="G341" s="42" t="s">
        <v>837</v>
      </c>
      <c r="H341" s="42" t="s">
        <v>838</v>
      </c>
      <c r="I341" s="43"/>
    </row>
    <row r="342" spans="2:9" x14ac:dyDescent="0.25">
      <c r="B342" s="40"/>
      <c r="C342" s="42" t="s">
        <v>615</v>
      </c>
      <c r="D342" s="42" t="s">
        <v>1327</v>
      </c>
      <c r="E342" s="42" t="s">
        <v>836</v>
      </c>
      <c r="F342" s="47" t="s">
        <v>21</v>
      </c>
      <c r="G342" s="42" t="s">
        <v>837</v>
      </c>
      <c r="H342" s="42" t="s">
        <v>838</v>
      </c>
      <c r="I342" s="43"/>
    </row>
    <row r="343" spans="2:9" x14ac:dyDescent="0.25">
      <c r="B343" s="40"/>
      <c r="C343" s="42" t="s">
        <v>617</v>
      </c>
      <c r="D343" s="42" t="s">
        <v>1328</v>
      </c>
      <c r="E343" s="42" t="s">
        <v>836</v>
      </c>
      <c r="F343" s="47" t="s">
        <v>21</v>
      </c>
      <c r="G343" s="42" t="s">
        <v>837</v>
      </c>
      <c r="H343" s="42" t="s">
        <v>838</v>
      </c>
      <c r="I343" s="43"/>
    </row>
    <row r="344" spans="2:9" x14ac:dyDescent="0.25">
      <c r="B344" s="40"/>
      <c r="C344" s="42" t="s">
        <v>1329</v>
      </c>
      <c r="D344" s="42" t="s">
        <v>1330</v>
      </c>
      <c r="E344" s="42" t="s">
        <v>836</v>
      </c>
      <c r="F344" s="47" t="s">
        <v>21</v>
      </c>
      <c r="G344" s="42" t="s">
        <v>837</v>
      </c>
      <c r="H344" s="42" t="s">
        <v>838</v>
      </c>
      <c r="I344" s="43"/>
    </row>
    <row r="345" spans="2:9" x14ac:dyDescent="0.25">
      <c r="B345" s="40"/>
      <c r="C345" s="42" t="s">
        <v>1331</v>
      </c>
      <c r="D345" s="42" t="s">
        <v>1332</v>
      </c>
      <c r="E345" s="42" t="s">
        <v>836</v>
      </c>
      <c r="F345" s="49" t="s">
        <v>423</v>
      </c>
      <c r="G345" s="42" t="s">
        <v>837</v>
      </c>
      <c r="H345" s="42" t="s">
        <v>838</v>
      </c>
      <c r="I345" s="43"/>
    </row>
    <row r="346" spans="2:9" x14ac:dyDescent="0.25">
      <c r="B346" s="40"/>
      <c r="C346" s="42" t="s">
        <v>619</v>
      </c>
      <c r="D346" s="42" t="s">
        <v>1333</v>
      </c>
      <c r="E346" s="42" t="s">
        <v>836</v>
      </c>
      <c r="F346" s="47" t="s">
        <v>21</v>
      </c>
      <c r="G346" s="42" t="s">
        <v>837</v>
      </c>
      <c r="H346" s="42" t="s">
        <v>838</v>
      </c>
      <c r="I346" s="43"/>
    </row>
    <row r="347" spans="2:9" x14ac:dyDescent="0.25">
      <c r="B347" s="40"/>
      <c r="C347" s="42" t="s">
        <v>1334</v>
      </c>
      <c r="D347" s="42" t="s">
        <v>1335</v>
      </c>
      <c r="E347" s="42" t="s">
        <v>836</v>
      </c>
      <c r="F347" s="47" t="s">
        <v>21</v>
      </c>
      <c r="G347" s="42" t="s">
        <v>837</v>
      </c>
      <c r="H347" s="42" t="s">
        <v>838</v>
      </c>
      <c r="I347" s="43"/>
    </row>
    <row r="348" spans="2:9" x14ac:dyDescent="0.25">
      <c r="B348" s="40"/>
      <c r="C348" s="42" t="s">
        <v>1336</v>
      </c>
      <c r="D348" s="42" t="s">
        <v>1337</v>
      </c>
      <c r="E348" s="42" t="s">
        <v>836</v>
      </c>
      <c r="F348" s="47" t="s">
        <v>21</v>
      </c>
      <c r="G348" s="42" t="s">
        <v>837</v>
      </c>
      <c r="H348" s="42" t="s">
        <v>838</v>
      </c>
      <c r="I348" s="43"/>
    </row>
    <row r="349" spans="2:9" x14ac:dyDescent="0.25">
      <c r="B349" s="40"/>
      <c r="C349" s="42" t="s">
        <v>1338</v>
      </c>
      <c r="D349" s="42" t="s">
        <v>1339</v>
      </c>
      <c r="E349" s="42" t="s">
        <v>836</v>
      </c>
      <c r="F349" s="47" t="s">
        <v>21</v>
      </c>
      <c r="G349" s="42" t="s">
        <v>837</v>
      </c>
      <c r="H349" s="42" t="s">
        <v>838</v>
      </c>
      <c r="I349" s="43"/>
    </row>
    <row r="350" spans="2:9" x14ac:dyDescent="0.25">
      <c r="B350" s="40"/>
      <c r="C350" s="42" t="s">
        <v>537</v>
      </c>
      <c r="D350" s="42" t="s">
        <v>1340</v>
      </c>
      <c r="E350" s="42" t="s">
        <v>836</v>
      </c>
      <c r="F350" s="47" t="s">
        <v>21</v>
      </c>
      <c r="G350" s="42" t="s">
        <v>837</v>
      </c>
      <c r="H350" s="42" t="s">
        <v>838</v>
      </c>
      <c r="I350" s="43"/>
    </row>
    <row r="351" spans="2:9" x14ac:dyDescent="0.25">
      <c r="B351" s="41"/>
      <c r="C351" s="44" t="s">
        <v>140</v>
      </c>
      <c r="D351" s="44" t="s">
        <v>1341</v>
      </c>
      <c r="E351" s="44" t="s">
        <v>836</v>
      </c>
      <c r="F351" s="53" t="s">
        <v>21</v>
      </c>
      <c r="G351" s="44" t="s">
        <v>837</v>
      </c>
      <c r="H351" s="44" t="s">
        <v>838</v>
      </c>
      <c r="I351" s="45"/>
    </row>
    <row r="352" spans="2:9" x14ac:dyDescent="0.25">
      <c r="B352" s="40"/>
      <c r="C352" s="42" t="s">
        <v>1342</v>
      </c>
      <c r="D352" s="42" t="s">
        <v>1343</v>
      </c>
      <c r="E352" s="42" t="s">
        <v>836</v>
      </c>
      <c r="F352" s="48" t="s">
        <v>278</v>
      </c>
      <c r="G352" s="42" t="s">
        <v>837</v>
      </c>
      <c r="H352" s="42" t="s">
        <v>838</v>
      </c>
      <c r="I352" s="43"/>
    </row>
    <row r="353" spans="2:9" x14ac:dyDescent="0.25">
      <c r="B353" s="40"/>
      <c r="C353" s="42" t="s">
        <v>624</v>
      </c>
      <c r="D353" s="42" t="s">
        <v>1344</v>
      </c>
      <c r="E353" s="42" t="s">
        <v>836</v>
      </c>
      <c r="F353" s="47" t="s">
        <v>21</v>
      </c>
      <c r="G353" s="42" t="s">
        <v>837</v>
      </c>
      <c r="H353" s="42" t="s">
        <v>838</v>
      </c>
      <c r="I353" s="43"/>
    </row>
    <row r="354" spans="2:9" x14ac:dyDescent="0.25">
      <c r="B354" s="40"/>
      <c r="C354" s="42" t="s">
        <v>1345</v>
      </c>
      <c r="D354" s="42" t="s">
        <v>1346</v>
      </c>
      <c r="E354" s="42" t="s">
        <v>836</v>
      </c>
      <c r="F354" s="47" t="s">
        <v>21</v>
      </c>
      <c r="G354" s="42" t="s">
        <v>837</v>
      </c>
      <c r="H354" s="42" t="s">
        <v>838</v>
      </c>
      <c r="I354" s="43"/>
    </row>
    <row r="355" spans="2:9" x14ac:dyDescent="0.25">
      <c r="B355" s="40"/>
      <c r="C355" s="42" t="s">
        <v>1347</v>
      </c>
      <c r="D355" s="42" t="s">
        <v>1348</v>
      </c>
      <c r="E355" s="42" t="s">
        <v>836</v>
      </c>
      <c r="F355" s="47" t="s">
        <v>21</v>
      </c>
      <c r="G355" s="42" t="s">
        <v>837</v>
      </c>
      <c r="H355" s="42" t="s">
        <v>838</v>
      </c>
      <c r="I355" s="43"/>
    </row>
    <row r="356" spans="2:9" x14ac:dyDescent="0.25">
      <c r="B356" s="40"/>
      <c r="C356" s="42" t="s">
        <v>222</v>
      </c>
      <c r="D356" s="42" t="s">
        <v>1349</v>
      </c>
      <c r="E356" s="42" t="s">
        <v>836</v>
      </c>
      <c r="F356" s="47" t="s">
        <v>21</v>
      </c>
      <c r="G356" s="42" t="s">
        <v>837</v>
      </c>
      <c r="H356" s="42" t="s">
        <v>838</v>
      </c>
      <c r="I356" s="43"/>
    </row>
    <row r="357" spans="2:9" x14ac:dyDescent="0.25">
      <c r="B357" s="40"/>
      <c r="C357" s="42" t="s">
        <v>142</v>
      </c>
      <c r="D357" s="42" t="s">
        <v>1350</v>
      </c>
      <c r="E357" s="42" t="s">
        <v>836</v>
      </c>
      <c r="F357" s="47" t="s">
        <v>21</v>
      </c>
      <c r="G357" s="42" t="s">
        <v>837</v>
      </c>
      <c r="H357" s="42" t="s">
        <v>838</v>
      </c>
      <c r="I357" s="43"/>
    </row>
    <row r="358" spans="2:9" x14ac:dyDescent="0.25">
      <c r="B358" s="40"/>
      <c r="C358" s="42" t="s">
        <v>1351</v>
      </c>
      <c r="D358" s="42" t="s">
        <v>1352</v>
      </c>
      <c r="E358" s="42" t="s">
        <v>836</v>
      </c>
      <c r="F358" s="48" t="s">
        <v>278</v>
      </c>
      <c r="G358" s="42" t="s">
        <v>837</v>
      </c>
      <c r="H358" s="42" t="s">
        <v>838</v>
      </c>
      <c r="I358" s="43"/>
    </row>
    <row r="359" spans="2:9" x14ac:dyDescent="0.25">
      <c r="B359" s="40"/>
      <c r="C359" s="42" t="s">
        <v>1353</v>
      </c>
      <c r="D359" s="42" t="s">
        <v>1354</v>
      </c>
      <c r="E359" s="42" t="s">
        <v>836</v>
      </c>
      <c r="F359" s="49" t="s">
        <v>423</v>
      </c>
      <c r="G359" s="42" t="s">
        <v>837</v>
      </c>
      <c r="H359" s="42" t="s">
        <v>838</v>
      </c>
      <c r="I359" s="43"/>
    </row>
    <row r="360" spans="2:9" x14ac:dyDescent="0.25">
      <c r="B360" s="40"/>
      <c r="C360" s="42" t="s">
        <v>1355</v>
      </c>
      <c r="D360" s="42" t="s">
        <v>1356</v>
      </c>
      <c r="E360" s="42" t="s">
        <v>836</v>
      </c>
      <c r="F360" s="52" t="s">
        <v>974</v>
      </c>
      <c r="G360" s="42" t="s">
        <v>838</v>
      </c>
      <c r="H360" s="42" t="s">
        <v>838</v>
      </c>
      <c r="I360" s="43"/>
    </row>
    <row r="361" spans="2:9" x14ac:dyDescent="0.25">
      <c r="B361" s="40"/>
      <c r="C361" s="42" t="s">
        <v>1357</v>
      </c>
      <c r="D361" s="42" t="s">
        <v>1358</v>
      </c>
      <c r="E361" s="42" t="s">
        <v>836</v>
      </c>
      <c r="F361" s="47" t="s">
        <v>21</v>
      </c>
      <c r="G361" s="42" t="s">
        <v>837</v>
      </c>
      <c r="H361" s="42" t="s">
        <v>838</v>
      </c>
      <c r="I361" s="43"/>
    </row>
    <row r="362" spans="2:9" x14ac:dyDescent="0.25">
      <c r="B362" s="40"/>
      <c r="C362" s="42" t="s">
        <v>1359</v>
      </c>
      <c r="D362" s="42" t="s">
        <v>1360</v>
      </c>
      <c r="E362" s="42" t="s">
        <v>836</v>
      </c>
      <c r="F362" s="47" t="s">
        <v>21</v>
      </c>
      <c r="G362" s="42" t="s">
        <v>837</v>
      </c>
      <c r="H362" s="42" t="s">
        <v>838</v>
      </c>
      <c r="I362" s="43"/>
    </row>
    <row r="363" spans="2:9" x14ac:dyDescent="0.25">
      <c r="B363" s="40"/>
      <c r="C363" s="42" t="s">
        <v>626</v>
      </c>
      <c r="D363" s="42" t="s">
        <v>1361</v>
      </c>
      <c r="E363" s="42" t="s">
        <v>836</v>
      </c>
      <c r="F363" s="47" t="s">
        <v>21</v>
      </c>
      <c r="G363" s="42" t="s">
        <v>837</v>
      </c>
      <c r="H363" s="42" t="s">
        <v>838</v>
      </c>
      <c r="I363" s="43"/>
    </row>
    <row r="364" spans="2:9" x14ac:dyDescent="0.25">
      <c r="B364" s="40"/>
      <c r="C364" s="42" t="s">
        <v>1362</v>
      </c>
      <c r="D364" s="42" t="s">
        <v>1363</v>
      </c>
      <c r="E364" s="42" t="s">
        <v>836</v>
      </c>
      <c r="F364" s="47" t="s">
        <v>21</v>
      </c>
      <c r="G364" s="42" t="s">
        <v>837</v>
      </c>
      <c r="H364" s="42" t="s">
        <v>838</v>
      </c>
      <c r="I364" s="43"/>
    </row>
    <row r="365" spans="2:9" x14ac:dyDescent="0.25">
      <c r="B365" s="40"/>
      <c r="C365" s="42" t="s">
        <v>144</v>
      </c>
      <c r="D365" s="42" t="s">
        <v>1364</v>
      </c>
      <c r="E365" s="42" t="s">
        <v>836</v>
      </c>
      <c r="F365" s="47" t="s">
        <v>21</v>
      </c>
      <c r="G365" s="42" t="s">
        <v>837</v>
      </c>
      <c r="H365" s="42" t="s">
        <v>838</v>
      </c>
      <c r="I365" s="43"/>
    </row>
    <row r="366" spans="2:9" x14ac:dyDescent="0.25">
      <c r="B366" s="40"/>
      <c r="C366" s="42" t="s">
        <v>1365</v>
      </c>
      <c r="D366" s="42" t="s">
        <v>1366</v>
      </c>
      <c r="E366" s="42" t="s">
        <v>836</v>
      </c>
      <c r="F366" s="48" t="s">
        <v>278</v>
      </c>
      <c r="G366" s="42" t="s">
        <v>837</v>
      </c>
      <c r="H366" s="42" t="s">
        <v>838</v>
      </c>
      <c r="I366" s="43"/>
    </row>
    <row r="367" spans="2:9" x14ac:dyDescent="0.25">
      <c r="B367" s="40"/>
      <c r="C367" s="42" t="s">
        <v>1367</v>
      </c>
      <c r="D367" s="42" t="s">
        <v>1368</v>
      </c>
      <c r="E367" s="42" t="s">
        <v>845</v>
      </c>
      <c r="F367" s="48" t="s">
        <v>278</v>
      </c>
      <c r="G367" s="42" t="s">
        <v>837</v>
      </c>
      <c r="H367" s="42" t="s">
        <v>838</v>
      </c>
      <c r="I367" s="43"/>
    </row>
    <row r="368" spans="2:9" x14ac:dyDescent="0.25">
      <c r="B368" s="40"/>
      <c r="C368" s="42" t="s">
        <v>147</v>
      </c>
      <c r="D368" s="42" t="s">
        <v>1369</v>
      </c>
      <c r="E368" s="42" t="s">
        <v>836</v>
      </c>
      <c r="F368" s="47" t="s">
        <v>21</v>
      </c>
      <c r="G368" s="42" t="s">
        <v>837</v>
      </c>
      <c r="H368" s="42" t="s">
        <v>838</v>
      </c>
      <c r="I368" s="43"/>
    </row>
    <row r="369" spans="2:9" x14ac:dyDescent="0.25">
      <c r="B369" s="40"/>
      <c r="C369" s="42" t="s">
        <v>150</v>
      </c>
      <c r="D369" s="42" t="s">
        <v>1370</v>
      </c>
      <c r="E369" s="42" t="s">
        <v>836</v>
      </c>
      <c r="F369" s="47" t="s">
        <v>21</v>
      </c>
      <c r="G369" s="42" t="s">
        <v>837</v>
      </c>
      <c r="H369" s="42" t="s">
        <v>838</v>
      </c>
      <c r="I369" s="43"/>
    </row>
    <row r="370" spans="2:9" x14ac:dyDescent="0.25">
      <c r="B370" s="40"/>
      <c r="C370" s="42" t="s">
        <v>1371</v>
      </c>
      <c r="D370" s="42" t="s">
        <v>1372</v>
      </c>
      <c r="E370" s="42" t="s">
        <v>845</v>
      </c>
      <c r="F370" s="48" t="s">
        <v>278</v>
      </c>
      <c r="G370" s="42" t="s">
        <v>837</v>
      </c>
      <c r="H370" s="42" t="s">
        <v>838</v>
      </c>
      <c r="I370" s="43"/>
    </row>
    <row r="371" spans="2:9" x14ac:dyDescent="0.25">
      <c r="B371" s="40"/>
      <c r="C371" s="42" t="s">
        <v>628</v>
      </c>
      <c r="D371" s="42" t="s">
        <v>1373</v>
      </c>
      <c r="E371" s="42" t="s">
        <v>836</v>
      </c>
      <c r="F371" s="47" t="s">
        <v>21</v>
      </c>
      <c r="G371" s="42" t="s">
        <v>837</v>
      </c>
      <c r="H371" s="42" t="s">
        <v>838</v>
      </c>
      <c r="I371" s="43"/>
    </row>
    <row r="372" spans="2:9" x14ac:dyDescent="0.25">
      <c r="B372" s="40"/>
      <c r="C372" s="42" t="s">
        <v>1374</v>
      </c>
      <c r="D372" s="42" t="s">
        <v>1375</v>
      </c>
      <c r="E372" s="42" t="s">
        <v>845</v>
      </c>
      <c r="F372" s="47" t="s">
        <v>21</v>
      </c>
      <c r="G372" s="42" t="s">
        <v>837</v>
      </c>
      <c r="H372" s="42" t="s">
        <v>838</v>
      </c>
      <c r="I372" s="43"/>
    </row>
    <row r="373" spans="2:9" x14ac:dyDescent="0.25">
      <c r="B373" s="40"/>
      <c r="C373" s="42" t="s">
        <v>631</v>
      </c>
      <c r="D373" s="42" t="s">
        <v>1376</v>
      </c>
      <c r="E373" s="42" t="s">
        <v>836</v>
      </c>
      <c r="F373" s="47" t="s">
        <v>21</v>
      </c>
      <c r="G373" s="42" t="s">
        <v>837</v>
      </c>
      <c r="H373" s="42" t="s">
        <v>838</v>
      </c>
      <c r="I373" s="43"/>
    </row>
    <row r="374" spans="2:9" x14ac:dyDescent="0.25">
      <c r="B374" s="40"/>
      <c r="C374" s="42" t="s">
        <v>633</v>
      </c>
      <c r="D374" s="42" t="s">
        <v>1377</v>
      </c>
      <c r="E374" s="42" t="s">
        <v>836</v>
      </c>
      <c r="F374" s="47" t="s">
        <v>21</v>
      </c>
      <c r="G374" s="42" t="s">
        <v>837</v>
      </c>
      <c r="H374" s="42" t="s">
        <v>838</v>
      </c>
      <c r="I374" s="43"/>
    </row>
    <row r="375" spans="2:9" x14ac:dyDescent="0.25">
      <c r="B375" s="40"/>
      <c r="C375" s="42" t="s">
        <v>1378</v>
      </c>
      <c r="D375" s="42" t="s">
        <v>1379</v>
      </c>
      <c r="E375" s="42" t="s">
        <v>836</v>
      </c>
      <c r="F375" s="48" t="s">
        <v>278</v>
      </c>
      <c r="G375" s="42" t="s">
        <v>837</v>
      </c>
      <c r="H375" s="42" t="s">
        <v>838</v>
      </c>
      <c r="I375" s="43"/>
    </row>
    <row r="376" spans="2:9" x14ac:dyDescent="0.25">
      <c r="B376" s="40"/>
      <c r="C376" s="42" t="s">
        <v>1380</v>
      </c>
      <c r="D376" s="42" t="s">
        <v>1381</v>
      </c>
      <c r="E376" s="42" t="s">
        <v>836</v>
      </c>
      <c r="F376" s="47" t="s">
        <v>21</v>
      </c>
      <c r="G376" s="42" t="s">
        <v>837</v>
      </c>
      <c r="H376" s="42" t="s">
        <v>838</v>
      </c>
      <c r="I376" s="43"/>
    </row>
    <row r="377" spans="2:9" x14ac:dyDescent="0.25">
      <c r="B377" s="40"/>
      <c r="C377" s="42" t="s">
        <v>152</v>
      </c>
      <c r="D377" s="42" t="s">
        <v>1382</v>
      </c>
      <c r="E377" s="42" t="s">
        <v>836</v>
      </c>
      <c r="F377" s="47" t="s">
        <v>21</v>
      </c>
      <c r="G377" s="42" t="s">
        <v>837</v>
      </c>
      <c r="H377" s="42" t="s">
        <v>838</v>
      </c>
      <c r="I377" s="43"/>
    </row>
    <row r="378" spans="2:9" x14ac:dyDescent="0.25">
      <c r="B378" s="40"/>
      <c r="C378" s="42" t="s">
        <v>1383</v>
      </c>
      <c r="D378" s="42" t="s">
        <v>1384</v>
      </c>
      <c r="E378" s="42" t="s">
        <v>836</v>
      </c>
      <c r="F378" s="48" t="s">
        <v>278</v>
      </c>
      <c r="G378" s="42" t="s">
        <v>837</v>
      </c>
      <c r="H378" s="42" t="s">
        <v>838</v>
      </c>
      <c r="I378" s="43"/>
    </row>
    <row r="379" spans="2:9" x14ac:dyDescent="0.25">
      <c r="B379" s="40"/>
      <c r="C379" s="42" t="s">
        <v>1385</v>
      </c>
      <c r="D379" s="42" t="s">
        <v>1386</v>
      </c>
      <c r="E379" s="42" t="s">
        <v>836</v>
      </c>
      <c r="F379" s="47" t="s">
        <v>21</v>
      </c>
      <c r="G379" s="42" t="s">
        <v>837</v>
      </c>
      <c r="H379" s="42" t="s">
        <v>838</v>
      </c>
      <c r="I379" s="43"/>
    </row>
    <row r="380" spans="2:9" x14ac:dyDescent="0.25">
      <c r="B380" s="40"/>
      <c r="C380" s="42" t="s">
        <v>638</v>
      </c>
      <c r="D380" s="42" t="s">
        <v>1387</v>
      </c>
      <c r="E380" s="42" t="s">
        <v>836</v>
      </c>
      <c r="F380" s="47" t="s">
        <v>21</v>
      </c>
      <c r="G380" s="42" t="s">
        <v>837</v>
      </c>
      <c r="H380" s="42" t="s">
        <v>838</v>
      </c>
      <c r="I380" s="43"/>
    </row>
    <row r="381" spans="2:9" x14ac:dyDescent="0.25">
      <c r="B381" s="40"/>
      <c r="C381" s="42" t="s">
        <v>640</v>
      </c>
      <c r="D381" s="42" t="s">
        <v>1388</v>
      </c>
      <c r="E381" s="42" t="s">
        <v>836</v>
      </c>
      <c r="F381" s="47" t="s">
        <v>21</v>
      </c>
      <c r="G381" s="42" t="s">
        <v>837</v>
      </c>
      <c r="H381" s="42" t="s">
        <v>838</v>
      </c>
      <c r="I381" s="43"/>
    </row>
    <row r="382" spans="2:9" x14ac:dyDescent="0.25">
      <c r="B382" s="40"/>
      <c r="C382" s="42" t="s">
        <v>1389</v>
      </c>
      <c r="D382" s="42" t="s">
        <v>1390</v>
      </c>
      <c r="E382" s="42" t="s">
        <v>836</v>
      </c>
      <c r="F382" s="47" t="s">
        <v>21</v>
      </c>
      <c r="G382" s="42" t="s">
        <v>837</v>
      </c>
      <c r="H382" s="42" t="s">
        <v>838</v>
      </c>
      <c r="I382" s="43"/>
    </row>
    <row r="383" spans="2:9" x14ac:dyDescent="0.25">
      <c r="B383" s="40"/>
      <c r="C383" s="42" t="s">
        <v>678</v>
      </c>
      <c r="D383" s="42" t="s">
        <v>1391</v>
      </c>
      <c r="E383" s="42" t="s">
        <v>836</v>
      </c>
      <c r="F383" s="47" t="s">
        <v>21</v>
      </c>
      <c r="G383" s="42" t="s">
        <v>837</v>
      </c>
      <c r="H383" s="42" t="s">
        <v>838</v>
      </c>
      <c r="I383" s="43"/>
    </row>
    <row r="384" spans="2:9" x14ac:dyDescent="0.25">
      <c r="B384" s="40"/>
      <c r="C384" s="42" t="s">
        <v>1392</v>
      </c>
      <c r="D384" s="42" t="s">
        <v>1393</v>
      </c>
      <c r="E384" s="42" t="s">
        <v>896</v>
      </c>
      <c r="F384" s="48" t="s">
        <v>278</v>
      </c>
      <c r="G384" s="42" t="s">
        <v>837</v>
      </c>
      <c r="H384" s="42" t="s">
        <v>884</v>
      </c>
      <c r="I384" s="43"/>
    </row>
    <row r="385" spans="2:9" x14ac:dyDescent="0.25">
      <c r="B385" s="40"/>
      <c r="C385" s="42" t="s">
        <v>1394</v>
      </c>
      <c r="D385" s="42" t="s">
        <v>1395</v>
      </c>
      <c r="E385" s="42" t="s">
        <v>896</v>
      </c>
      <c r="F385" s="48" t="s">
        <v>278</v>
      </c>
      <c r="G385" s="42" t="s">
        <v>837</v>
      </c>
      <c r="H385" s="42" t="s">
        <v>884</v>
      </c>
      <c r="I385" s="43"/>
    </row>
    <row r="386" spans="2:9" x14ac:dyDescent="0.25">
      <c r="B386" s="40"/>
      <c r="C386" s="42" t="s">
        <v>155</v>
      </c>
      <c r="D386" s="42" t="s">
        <v>1396</v>
      </c>
      <c r="E386" s="42" t="s">
        <v>836</v>
      </c>
      <c r="F386" s="47" t="s">
        <v>21</v>
      </c>
      <c r="G386" s="42" t="s">
        <v>837</v>
      </c>
      <c r="H386" s="42" t="s">
        <v>838</v>
      </c>
      <c r="I386" s="43"/>
    </row>
    <row r="387" spans="2:9" x14ac:dyDescent="0.25">
      <c r="B387" s="40"/>
      <c r="C387" s="42" t="s">
        <v>647</v>
      </c>
      <c r="D387" s="42" t="s">
        <v>1397</v>
      </c>
      <c r="E387" s="42" t="s">
        <v>836</v>
      </c>
      <c r="F387" s="47" t="s">
        <v>21</v>
      </c>
      <c r="G387" s="42" t="s">
        <v>837</v>
      </c>
      <c r="H387" s="42" t="s">
        <v>838</v>
      </c>
      <c r="I387" s="43"/>
    </row>
    <row r="388" spans="2:9" x14ac:dyDescent="0.25">
      <c r="B388" s="40"/>
      <c r="C388" s="42" t="s">
        <v>1398</v>
      </c>
      <c r="D388" s="42" t="s">
        <v>1399</v>
      </c>
      <c r="E388" s="42" t="s">
        <v>836</v>
      </c>
      <c r="F388" s="48" t="s">
        <v>278</v>
      </c>
      <c r="G388" s="42" t="s">
        <v>837</v>
      </c>
      <c r="H388" s="42" t="s">
        <v>838</v>
      </c>
      <c r="I388" s="43"/>
    </row>
    <row r="389" spans="2:9" x14ac:dyDescent="0.25">
      <c r="B389" s="40"/>
      <c r="C389" s="42" t="s">
        <v>1400</v>
      </c>
      <c r="D389" s="42" t="s">
        <v>1401</v>
      </c>
      <c r="E389" s="42" t="s">
        <v>836</v>
      </c>
      <c r="F389" s="47" t="s">
        <v>21</v>
      </c>
      <c r="G389" s="42" t="s">
        <v>837</v>
      </c>
      <c r="H389" s="42" t="s">
        <v>838</v>
      </c>
      <c r="I389" s="43"/>
    </row>
    <row r="390" spans="2:9" x14ac:dyDescent="0.25">
      <c r="B390" s="40"/>
      <c r="C390" s="42" t="s">
        <v>649</v>
      </c>
      <c r="D390" s="42" t="s">
        <v>1402</v>
      </c>
      <c r="E390" s="42" t="s">
        <v>836</v>
      </c>
      <c r="F390" s="48" t="s">
        <v>278</v>
      </c>
      <c r="G390" s="42" t="s">
        <v>837</v>
      </c>
      <c r="H390" s="42" t="s">
        <v>838</v>
      </c>
      <c r="I390" s="43"/>
    </row>
    <row r="391" spans="2:9" x14ac:dyDescent="0.25">
      <c r="B391" s="40"/>
      <c r="C391" s="42" t="s">
        <v>652</v>
      </c>
      <c r="D391" s="42" t="s">
        <v>1403</v>
      </c>
      <c r="E391" s="42" t="s">
        <v>836</v>
      </c>
      <c r="F391" s="47" t="s">
        <v>21</v>
      </c>
      <c r="G391" s="42" t="s">
        <v>837</v>
      </c>
      <c r="H391" s="42" t="s">
        <v>838</v>
      </c>
      <c r="I391" s="43"/>
    </row>
    <row r="392" spans="2:9" x14ac:dyDescent="0.25">
      <c r="B392" s="40"/>
      <c r="C392" s="42" t="s">
        <v>1404</v>
      </c>
      <c r="D392" s="42" t="s">
        <v>1405</v>
      </c>
      <c r="E392" s="42" t="s">
        <v>836</v>
      </c>
      <c r="F392" s="48" t="s">
        <v>278</v>
      </c>
      <c r="G392" s="42" t="s">
        <v>837</v>
      </c>
      <c r="H392" s="42" t="s">
        <v>838</v>
      </c>
      <c r="I392" s="43"/>
    </row>
    <row r="393" spans="2:9" x14ac:dyDescent="0.25">
      <c r="B393" s="40"/>
      <c r="C393" s="42" t="s">
        <v>654</v>
      </c>
      <c r="D393" s="42" t="s">
        <v>1406</v>
      </c>
      <c r="E393" s="42" t="s">
        <v>836</v>
      </c>
      <c r="F393" s="47" t="s">
        <v>21</v>
      </c>
      <c r="G393" s="42" t="s">
        <v>837</v>
      </c>
      <c r="H393" s="42" t="s">
        <v>838</v>
      </c>
      <c r="I393" s="43"/>
    </row>
    <row r="394" spans="2:9" x14ac:dyDescent="0.25">
      <c r="B394" s="40"/>
      <c r="C394" s="42" t="s">
        <v>1407</v>
      </c>
      <c r="D394" s="42" t="s">
        <v>1408</v>
      </c>
      <c r="E394" s="42" t="s">
        <v>836</v>
      </c>
      <c r="F394" s="47" t="s">
        <v>21</v>
      </c>
      <c r="G394" s="42" t="s">
        <v>837</v>
      </c>
      <c r="H394" s="42" t="s">
        <v>838</v>
      </c>
      <c r="I394" s="43"/>
    </row>
    <row r="395" spans="2:9" x14ac:dyDescent="0.25">
      <c r="B395" s="40"/>
      <c r="C395" s="42" t="s">
        <v>1409</v>
      </c>
      <c r="D395" s="42" t="s">
        <v>1410</v>
      </c>
      <c r="E395" s="42" t="s">
        <v>836</v>
      </c>
      <c r="F395" s="47" t="s">
        <v>21</v>
      </c>
      <c r="G395" s="42" t="s">
        <v>837</v>
      </c>
      <c r="H395" s="42" t="s">
        <v>838</v>
      </c>
      <c r="I395" s="43"/>
    </row>
    <row r="396" spans="2:9" x14ac:dyDescent="0.25">
      <c r="B396" s="40"/>
      <c r="C396" s="42" t="s">
        <v>157</v>
      </c>
      <c r="D396" s="42" t="s">
        <v>1411</v>
      </c>
      <c r="E396" s="42" t="s">
        <v>836</v>
      </c>
      <c r="F396" s="47" t="s">
        <v>21</v>
      </c>
      <c r="G396" s="42" t="s">
        <v>837</v>
      </c>
      <c r="H396" s="42" t="s">
        <v>838</v>
      </c>
      <c r="I396" s="43"/>
    </row>
    <row r="397" spans="2:9" x14ac:dyDescent="0.25">
      <c r="B397" s="40"/>
      <c r="C397" s="42" t="s">
        <v>656</v>
      </c>
      <c r="D397" s="42" t="s">
        <v>1412</v>
      </c>
      <c r="E397" s="42" t="s">
        <v>836</v>
      </c>
      <c r="F397" s="47" t="s">
        <v>21</v>
      </c>
      <c r="G397" s="42" t="s">
        <v>837</v>
      </c>
      <c r="H397" s="42" t="s">
        <v>838</v>
      </c>
      <c r="I397" s="43"/>
    </row>
    <row r="398" spans="2:9" x14ac:dyDescent="0.25">
      <c r="B398" s="40"/>
      <c r="C398" s="42" t="s">
        <v>160</v>
      </c>
      <c r="D398" s="42" t="s">
        <v>1413</v>
      </c>
      <c r="E398" s="42" t="s">
        <v>836</v>
      </c>
      <c r="F398" s="47" t="s">
        <v>21</v>
      </c>
      <c r="G398" s="42" t="s">
        <v>837</v>
      </c>
      <c r="H398" s="42" t="s">
        <v>838</v>
      </c>
      <c r="I398" s="43"/>
    </row>
    <row r="399" spans="2:9" x14ac:dyDescent="0.25">
      <c r="B399" s="40"/>
      <c r="C399" s="42" t="s">
        <v>621</v>
      </c>
      <c r="D399" s="42" t="s">
        <v>1414</v>
      </c>
      <c r="E399" s="42" t="s">
        <v>836</v>
      </c>
      <c r="F399" s="47" t="s">
        <v>21</v>
      </c>
      <c r="G399" s="42" t="s">
        <v>837</v>
      </c>
      <c r="H399" s="42" t="s">
        <v>838</v>
      </c>
      <c r="I399" s="43"/>
    </row>
    <row r="400" spans="2:9" x14ac:dyDescent="0.25">
      <c r="B400" s="40"/>
      <c r="C400" s="42" t="s">
        <v>1415</v>
      </c>
      <c r="D400" s="42" t="s">
        <v>1416</v>
      </c>
      <c r="E400" s="42" t="s">
        <v>836</v>
      </c>
      <c r="F400" s="47" t="s">
        <v>21</v>
      </c>
      <c r="G400" s="42" t="s">
        <v>837</v>
      </c>
      <c r="H400" s="42" t="s">
        <v>838</v>
      </c>
      <c r="I400" s="43"/>
    </row>
    <row r="401" spans="2:9" x14ac:dyDescent="0.25">
      <c r="B401" s="40"/>
      <c r="C401" s="42" t="s">
        <v>1417</v>
      </c>
      <c r="D401" s="42" t="s">
        <v>1418</v>
      </c>
      <c r="E401" s="42" t="s">
        <v>836</v>
      </c>
      <c r="F401" s="47" t="s">
        <v>21</v>
      </c>
      <c r="G401" s="42" t="s">
        <v>837</v>
      </c>
      <c r="H401" s="42" t="s">
        <v>838</v>
      </c>
      <c r="I401" s="43"/>
    </row>
    <row r="402" spans="2:9" x14ac:dyDescent="0.25">
      <c r="B402" s="41"/>
      <c r="C402" s="44" t="s">
        <v>326</v>
      </c>
      <c r="D402" s="44" t="s">
        <v>1419</v>
      </c>
      <c r="E402" s="44" t="s">
        <v>836</v>
      </c>
      <c r="F402" s="53" t="s">
        <v>21</v>
      </c>
      <c r="G402" s="44" t="s">
        <v>837</v>
      </c>
      <c r="H402" s="44" t="s">
        <v>838</v>
      </c>
      <c r="I402" s="39"/>
    </row>
    <row r="403" spans="2:9" x14ac:dyDescent="0.25">
      <c r="B403" s="40"/>
      <c r="C403" s="42" t="s">
        <v>162</v>
      </c>
      <c r="D403" s="42" t="s">
        <v>1420</v>
      </c>
      <c r="E403" s="42" t="s">
        <v>836</v>
      </c>
      <c r="F403" s="47" t="s">
        <v>21</v>
      </c>
      <c r="G403" s="42" t="s">
        <v>837</v>
      </c>
      <c r="H403" s="42" t="s">
        <v>838</v>
      </c>
      <c r="I403" s="43"/>
    </row>
    <row r="404" spans="2:9" x14ac:dyDescent="0.25">
      <c r="B404" s="40"/>
      <c r="C404" s="42" t="s">
        <v>663</v>
      </c>
      <c r="D404" s="42" t="s">
        <v>1421</v>
      </c>
      <c r="E404" s="42" t="s">
        <v>836</v>
      </c>
      <c r="F404" s="47" t="s">
        <v>21</v>
      </c>
      <c r="G404" s="42" t="s">
        <v>837</v>
      </c>
      <c r="H404" s="42" t="s">
        <v>838</v>
      </c>
      <c r="I404" s="43"/>
    </row>
    <row r="405" spans="2:9" x14ac:dyDescent="0.25">
      <c r="B405" s="40"/>
      <c r="C405" s="42" t="s">
        <v>164</v>
      </c>
      <c r="D405" s="42" t="s">
        <v>1422</v>
      </c>
      <c r="E405" s="42" t="s">
        <v>836</v>
      </c>
      <c r="F405" s="47" t="s">
        <v>21</v>
      </c>
      <c r="G405" s="42" t="s">
        <v>837</v>
      </c>
      <c r="H405" s="42" t="s">
        <v>838</v>
      </c>
      <c r="I405" s="43"/>
    </row>
    <row r="406" spans="2:9" x14ac:dyDescent="0.25">
      <c r="B406" s="40"/>
      <c r="C406" s="42" t="s">
        <v>1423</v>
      </c>
      <c r="D406" s="42" t="s">
        <v>1424</v>
      </c>
      <c r="E406" s="42" t="s">
        <v>836</v>
      </c>
      <c r="F406" s="49" t="s">
        <v>423</v>
      </c>
      <c r="G406" s="42" t="s">
        <v>837</v>
      </c>
      <c r="H406" s="42" t="s">
        <v>838</v>
      </c>
      <c r="I406" s="43"/>
    </row>
    <row r="407" spans="2:9" x14ac:dyDescent="0.25">
      <c r="B407" s="40"/>
      <c r="C407" s="42" t="s">
        <v>1425</v>
      </c>
      <c r="D407" s="42" t="s">
        <v>1426</v>
      </c>
      <c r="E407" s="42" t="s">
        <v>836</v>
      </c>
      <c r="F407" s="47" t="s">
        <v>21</v>
      </c>
      <c r="G407" s="42" t="s">
        <v>837</v>
      </c>
      <c r="H407" s="42" t="s">
        <v>838</v>
      </c>
      <c r="I407" s="43"/>
    </row>
    <row r="408" spans="2:9" x14ac:dyDescent="0.25">
      <c r="B408" s="40"/>
      <c r="C408" s="42" t="s">
        <v>666</v>
      </c>
      <c r="D408" s="42" t="s">
        <v>1427</v>
      </c>
      <c r="E408" s="42" t="s">
        <v>836</v>
      </c>
      <c r="F408" s="47" t="s">
        <v>21</v>
      </c>
      <c r="G408" s="42" t="s">
        <v>837</v>
      </c>
      <c r="H408" s="42" t="s">
        <v>838</v>
      </c>
      <c r="I408" s="43"/>
    </row>
    <row r="409" spans="2:9" x14ac:dyDescent="0.25">
      <c r="B409" s="40"/>
      <c r="C409" s="42" t="s">
        <v>1428</v>
      </c>
      <c r="D409" s="42" t="s">
        <v>1429</v>
      </c>
      <c r="E409" s="42" t="s">
        <v>836</v>
      </c>
      <c r="F409" s="47" t="s">
        <v>21</v>
      </c>
      <c r="G409" s="42" t="s">
        <v>837</v>
      </c>
      <c r="H409" s="42" t="s">
        <v>838</v>
      </c>
      <c r="I409" s="43"/>
    </row>
    <row r="410" spans="2:9" x14ac:dyDescent="0.25">
      <c r="B410" s="40"/>
      <c r="C410" s="42" t="s">
        <v>1430</v>
      </c>
      <c r="D410" s="42" t="s">
        <v>1431</v>
      </c>
      <c r="E410" s="42" t="s">
        <v>836</v>
      </c>
      <c r="F410" s="47" t="s">
        <v>21</v>
      </c>
      <c r="G410" s="42" t="s">
        <v>837</v>
      </c>
      <c r="H410" s="42" t="s">
        <v>838</v>
      </c>
      <c r="I410" s="43"/>
    </row>
    <row r="411" spans="2:9" x14ac:dyDescent="0.25">
      <c r="B411" s="40"/>
      <c r="C411" s="42" t="s">
        <v>1432</v>
      </c>
      <c r="D411" s="42" t="s">
        <v>1433</v>
      </c>
      <c r="E411" s="42" t="s">
        <v>836</v>
      </c>
      <c r="F411" s="47" t="s">
        <v>21</v>
      </c>
      <c r="G411" s="42" t="s">
        <v>837</v>
      </c>
      <c r="H411" s="42" t="s">
        <v>838</v>
      </c>
      <c r="I411" s="43"/>
    </row>
    <row r="412" spans="2:9" x14ac:dyDescent="0.25">
      <c r="B412" s="40"/>
      <c r="C412" s="42" t="s">
        <v>668</v>
      </c>
      <c r="D412" s="42" t="s">
        <v>1434</v>
      </c>
      <c r="E412" s="42" t="s">
        <v>836</v>
      </c>
      <c r="F412" s="47" t="s">
        <v>21</v>
      </c>
      <c r="G412" s="42" t="s">
        <v>837</v>
      </c>
      <c r="H412" s="42" t="s">
        <v>838</v>
      </c>
      <c r="I412" s="43"/>
    </row>
    <row r="413" spans="2:9" x14ac:dyDescent="0.25">
      <c r="B413" s="40"/>
      <c r="C413" s="42" t="s">
        <v>463</v>
      </c>
      <c r="D413" s="42" t="s">
        <v>1435</v>
      </c>
      <c r="E413" s="42" t="s">
        <v>836</v>
      </c>
      <c r="F413" s="47" t="s">
        <v>21</v>
      </c>
      <c r="G413" s="42" t="s">
        <v>837</v>
      </c>
      <c r="H413" s="42" t="s">
        <v>838</v>
      </c>
      <c r="I413" s="43"/>
    </row>
    <row r="414" spans="2:9" x14ac:dyDescent="0.25">
      <c r="B414" s="40"/>
      <c r="C414" s="42" t="s">
        <v>670</v>
      </c>
      <c r="D414" s="42" t="s">
        <v>1436</v>
      </c>
      <c r="E414" s="42" t="s">
        <v>836</v>
      </c>
      <c r="F414" s="47" t="s">
        <v>21</v>
      </c>
      <c r="G414" s="42" t="s">
        <v>837</v>
      </c>
      <c r="H414" s="42" t="s">
        <v>838</v>
      </c>
      <c r="I414" s="43"/>
    </row>
    <row r="415" spans="2:9" x14ac:dyDescent="0.25">
      <c r="B415" s="40"/>
      <c r="C415" s="42" t="s">
        <v>166</v>
      </c>
      <c r="D415" s="42" t="s">
        <v>1437</v>
      </c>
      <c r="E415" s="42" t="s">
        <v>836</v>
      </c>
      <c r="F415" s="47" t="s">
        <v>21</v>
      </c>
      <c r="G415" s="42" t="s">
        <v>837</v>
      </c>
      <c r="H415" s="42" t="s">
        <v>838</v>
      </c>
      <c r="I415" s="43"/>
    </row>
    <row r="416" spans="2:9" x14ac:dyDescent="0.25">
      <c r="B416" s="40"/>
      <c r="C416" s="42" t="s">
        <v>792</v>
      </c>
      <c r="D416" s="42" t="s">
        <v>1438</v>
      </c>
      <c r="E416" s="42" t="s">
        <v>836</v>
      </c>
      <c r="F416" s="47" t="s">
        <v>21</v>
      </c>
      <c r="G416" s="42" t="s">
        <v>837</v>
      </c>
      <c r="H416" s="42" t="s">
        <v>838</v>
      </c>
      <c r="I416" s="43"/>
    </row>
    <row r="417" spans="2:9" x14ac:dyDescent="0.25">
      <c r="B417" s="40"/>
      <c r="C417" s="42" t="s">
        <v>1439</v>
      </c>
      <c r="D417" s="42" t="s">
        <v>1440</v>
      </c>
      <c r="E417" s="42" t="s">
        <v>836</v>
      </c>
      <c r="F417" s="48" t="s">
        <v>278</v>
      </c>
      <c r="G417" s="42" t="s">
        <v>837</v>
      </c>
      <c r="H417" s="42" t="s">
        <v>838</v>
      </c>
      <c r="I417" s="43"/>
    </row>
    <row r="418" spans="2:9" x14ac:dyDescent="0.25">
      <c r="B418" s="40"/>
      <c r="C418" s="42" t="s">
        <v>1441</v>
      </c>
      <c r="D418" s="42" t="s">
        <v>1442</v>
      </c>
      <c r="E418" s="42" t="s">
        <v>836</v>
      </c>
      <c r="F418" s="47" t="s">
        <v>21</v>
      </c>
      <c r="G418" s="42" t="s">
        <v>837</v>
      </c>
      <c r="H418" s="42" t="s">
        <v>838</v>
      </c>
      <c r="I418" s="43"/>
    </row>
    <row r="419" spans="2:9" x14ac:dyDescent="0.25">
      <c r="B419" s="40"/>
      <c r="C419" s="42" t="s">
        <v>674</v>
      </c>
      <c r="D419" s="42" t="s">
        <v>1443</v>
      </c>
      <c r="E419" s="42" t="s">
        <v>836</v>
      </c>
      <c r="F419" s="49" t="s">
        <v>423</v>
      </c>
      <c r="G419" s="42" t="s">
        <v>837</v>
      </c>
      <c r="H419" s="42" t="s">
        <v>838</v>
      </c>
      <c r="I419" s="43"/>
    </row>
    <row r="420" spans="2:9" x14ac:dyDescent="0.25">
      <c r="B420" s="40"/>
      <c r="C420" s="42" t="s">
        <v>675</v>
      </c>
      <c r="D420" s="42" t="s">
        <v>1444</v>
      </c>
      <c r="E420" s="42" t="s">
        <v>836</v>
      </c>
      <c r="F420" s="47" t="s">
        <v>21</v>
      </c>
      <c r="G420" s="42" t="s">
        <v>837</v>
      </c>
      <c r="H420" s="42" t="s">
        <v>838</v>
      </c>
      <c r="I420" s="43"/>
    </row>
    <row r="421" spans="2:9" x14ac:dyDescent="0.25">
      <c r="B421" s="40"/>
      <c r="C421" s="42" t="s">
        <v>701</v>
      </c>
      <c r="D421" s="42" t="s">
        <v>1445</v>
      </c>
      <c r="E421" s="42" t="s">
        <v>836</v>
      </c>
      <c r="F421" s="47" t="s">
        <v>21</v>
      </c>
      <c r="G421" s="42" t="s">
        <v>837</v>
      </c>
      <c r="H421" s="42" t="s">
        <v>838</v>
      </c>
      <c r="I421" s="43"/>
    </row>
    <row r="422" spans="2:9" x14ac:dyDescent="0.25">
      <c r="B422" s="40"/>
      <c r="C422" s="42" t="s">
        <v>253</v>
      </c>
      <c r="D422" s="42" t="s">
        <v>1446</v>
      </c>
      <c r="E422" s="42" t="s">
        <v>836</v>
      </c>
      <c r="F422" s="52" t="s">
        <v>974</v>
      </c>
      <c r="G422" s="42" t="s">
        <v>838</v>
      </c>
      <c r="H422" s="42" t="s">
        <v>838</v>
      </c>
      <c r="I422" s="43"/>
    </row>
    <row r="423" spans="2:9" x14ac:dyDescent="0.25">
      <c r="B423" s="40"/>
      <c r="C423" s="42" t="s">
        <v>681</v>
      </c>
      <c r="D423" s="42" t="s">
        <v>1447</v>
      </c>
      <c r="E423" s="42" t="s">
        <v>836</v>
      </c>
      <c r="F423" s="47" t="s">
        <v>21</v>
      </c>
      <c r="G423" s="42" t="s">
        <v>837</v>
      </c>
      <c r="H423" s="42" t="s">
        <v>838</v>
      </c>
      <c r="I423" s="43"/>
    </row>
    <row r="424" spans="2:9" x14ac:dyDescent="0.25">
      <c r="B424" s="40"/>
      <c r="C424" s="42" t="s">
        <v>747</v>
      </c>
      <c r="D424" s="42" t="s">
        <v>1448</v>
      </c>
      <c r="E424" s="42" t="s">
        <v>836</v>
      </c>
      <c r="F424" s="47" t="s">
        <v>21</v>
      </c>
      <c r="G424" s="42" t="s">
        <v>837</v>
      </c>
      <c r="H424" s="42" t="s">
        <v>838</v>
      </c>
      <c r="I424" s="43"/>
    </row>
    <row r="425" spans="2:9" x14ac:dyDescent="0.25">
      <c r="B425" s="40"/>
      <c r="C425" s="42" t="s">
        <v>686</v>
      </c>
      <c r="D425" s="42" t="s">
        <v>1449</v>
      </c>
      <c r="E425" s="42" t="s">
        <v>836</v>
      </c>
      <c r="F425" s="49" t="s">
        <v>423</v>
      </c>
      <c r="G425" s="42" t="s">
        <v>837</v>
      </c>
      <c r="H425" s="42" t="s">
        <v>838</v>
      </c>
      <c r="I425" s="43"/>
    </row>
    <row r="426" spans="2:9" x14ac:dyDescent="0.25">
      <c r="B426" s="40"/>
      <c r="C426" s="42" t="s">
        <v>1450</v>
      </c>
      <c r="D426" s="42" t="s">
        <v>1451</v>
      </c>
      <c r="E426" s="42" t="s">
        <v>836</v>
      </c>
      <c r="F426" s="47" t="s">
        <v>21</v>
      </c>
      <c r="G426" s="42" t="s">
        <v>837</v>
      </c>
      <c r="H426" s="42" t="s">
        <v>838</v>
      </c>
      <c r="I426" s="43"/>
    </row>
    <row r="427" spans="2:9" x14ac:dyDescent="0.25">
      <c r="B427" s="40"/>
      <c r="C427" s="42" t="s">
        <v>689</v>
      </c>
      <c r="D427" s="42" t="s">
        <v>1452</v>
      </c>
      <c r="E427" s="42" t="s">
        <v>836</v>
      </c>
      <c r="F427" s="47" t="s">
        <v>21</v>
      </c>
      <c r="G427" s="42" t="s">
        <v>837</v>
      </c>
      <c r="H427" s="42" t="s">
        <v>838</v>
      </c>
      <c r="I427" s="43"/>
    </row>
    <row r="428" spans="2:9" x14ac:dyDescent="0.25">
      <c r="B428" s="40"/>
      <c r="C428" s="42" t="s">
        <v>692</v>
      </c>
      <c r="D428" s="42" t="s">
        <v>1453</v>
      </c>
      <c r="E428" s="42" t="s">
        <v>836</v>
      </c>
      <c r="F428" s="47" t="s">
        <v>21</v>
      </c>
      <c r="G428" s="42" t="s">
        <v>837</v>
      </c>
      <c r="H428" s="42" t="s">
        <v>838</v>
      </c>
      <c r="I428" s="43"/>
    </row>
    <row r="429" spans="2:9" x14ac:dyDescent="0.25">
      <c r="B429" s="40"/>
      <c r="C429" s="42" t="s">
        <v>1454</v>
      </c>
      <c r="D429" s="42" t="s">
        <v>1455</v>
      </c>
      <c r="E429" s="42" t="s">
        <v>836</v>
      </c>
      <c r="F429" s="47" t="s">
        <v>21</v>
      </c>
      <c r="G429" s="42" t="s">
        <v>837</v>
      </c>
      <c r="H429" s="42" t="s">
        <v>838</v>
      </c>
      <c r="I429" s="43"/>
    </row>
    <row r="430" spans="2:9" x14ac:dyDescent="0.25">
      <c r="B430" s="40"/>
      <c r="C430" s="42" t="s">
        <v>1456</v>
      </c>
      <c r="D430" s="42" t="s">
        <v>1457</v>
      </c>
      <c r="E430" s="42" t="s">
        <v>896</v>
      </c>
      <c r="F430" s="48" t="s">
        <v>278</v>
      </c>
      <c r="G430" s="42" t="s">
        <v>837</v>
      </c>
      <c r="H430" s="42" t="s">
        <v>884</v>
      </c>
      <c r="I430" s="43"/>
    </row>
    <row r="431" spans="2:9" x14ac:dyDescent="0.25">
      <c r="B431" s="40"/>
      <c r="C431" s="42" t="s">
        <v>693</v>
      </c>
      <c r="D431" s="42" t="s">
        <v>1458</v>
      </c>
      <c r="E431" s="42" t="s">
        <v>836</v>
      </c>
      <c r="F431" s="47" t="s">
        <v>21</v>
      </c>
      <c r="G431" s="42" t="s">
        <v>837</v>
      </c>
      <c r="H431" s="42" t="s">
        <v>838</v>
      </c>
      <c r="I431" s="43"/>
    </row>
    <row r="432" spans="2:9" x14ac:dyDescent="0.25">
      <c r="B432" s="40"/>
      <c r="C432" s="42" t="s">
        <v>1459</v>
      </c>
      <c r="D432" s="42" t="s">
        <v>1460</v>
      </c>
      <c r="E432" s="42" t="s">
        <v>836</v>
      </c>
      <c r="F432" s="47" t="s">
        <v>21</v>
      </c>
      <c r="G432" s="42" t="s">
        <v>837</v>
      </c>
      <c r="H432" s="42" t="s">
        <v>838</v>
      </c>
      <c r="I432" s="43"/>
    </row>
    <row r="433" spans="2:9" x14ac:dyDescent="0.25">
      <c r="B433" s="40"/>
      <c r="C433" s="42" t="s">
        <v>225</v>
      </c>
      <c r="D433" s="42" t="s">
        <v>1461</v>
      </c>
      <c r="E433" s="42" t="s">
        <v>836</v>
      </c>
      <c r="F433" s="47" t="s">
        <v>21</v>
      </c>
      <c r="G433" s="42" t="s">
        <v>837</v>
      </c>
      <c r="H433" s="42" t="s">
        <v>838</v>
      </c>
      <c r="I433" s="43"/>
    </row>
    <row r="434" spans="2:9" x14ac:dyDescent="0.25">
      <c r="B434" s="40"/>
      <c r="C434" s="42" t="s">
        <v>773</v>
      </c>
      <c r="D434" s="42" t="s">
        <v>1462</v>
      </c>
      <c r="E434" s="42" t="s">
        <v>836</v>
      </c>
      <c r="F434" s="47" t="s">
        <v>21</v>
      </c>
      <c r="G434" s="42" t="s">
        <v>837</v>
      </c>
      <c r="H434" s="42" t="s">
        <v>838</v>
      </c>
      <c r="I434" s="43"/>
    </row>
    <row r="435" spans="2:9" x14ac:dyDescent="0.25">
      <c r="B435" s="40"/>
      <c r="C435" s="42" t="s">
        <v>1463</v>
      </c>
      <c r="D435" s="42" t="s">
        <v>1464</v>
      </c>
      <c r="E435" s="42" t="s">
        <v>836</v>
      </c>
      <c r="F435" s="48" t="s">
        <v>278</v>
      </c>
      <c r="G435" s="42" t="s">
        <v>837</v>
      </c>
      <c r="H435" s="42" t="s">
        <v>838</v>
      </c>
      <c r="I435" s="43"/>
    </row>
    <row r="436" spans="2:9" x14ac:dyDescent="0.25">
      <c r="B436" s="40"/>
      <c r="C436" s="42" t="s">
        <v>695</v>
      </c>
      <c r="D436" s="42" t="s">
        <v>1465</v>
      </c>
      <c r="E436" s="42" t="s">
        <v>836</v>
      </c>
      <c r="F436" s="47" t="s">
        <v>21</v>
      </c>
      <c r="G436" s="42" t="s">
        <v>837</v>
      </c>
      <c r="H436" s="42" t="s">
        <v>838</v>
      </c>
      <c r="I436" s="43"/>
    </row>
    <row r="437" spans="2:9" x14ac:dyDescent="0.25">
      <c r="B437" s="40"/>
      <c r="C437" s="42" t="s">
        <v>1466</v>
      </c>
      <c r="D437" s="42" t="s">
        <v>1467</v>
      </c>
      <c r="E437" s="42" t="s">
        <v>836</v>
      </c>
      <c r="F437" s="47" t="s">
        <v>21</v>
      </c>
      <c r="G437" s="42" t="s">
        <v>837</v>
      </c>
      <c r="H437" s="42" t="s">
        <v>838</v>
      </c>
      <c r="I437" s="43"/>
    </row>
    <row r="438" spans="2:9" x14ac:dyDescent="0.25">
      <c r="B438" s="40"/>
      <c r="C438" s="42" t="s">
        <v>697</v>
      </c>
      <c r="D438" s="42" t="s">
        <v>1468</v>
      </c>
      <c r="E438" s="42" t="s">
        <v>836</v>
      </c>
      <c r="F438" s="47" t="s">
        <v>21</v>
      </c>
      <c r="G438" s="42" t="s">
        <v>837</v>
      </c>
      <c r="H438" s="42" t="s">
        <v>838</v>
      </c>
      <c r="I438" s="43"/>
    </row>
    <row r="439" spans="2:9" x14ac:dyDescent="0.25">
      <c r="B439" s="40"/>
      <c r="C439" s="42" t="s">
        <v>1469</v>
      </c>
      <c r="D439" s="42" t="s">
        <v>1470</v>
      </c>
      <c r="E439" s="42" t="s">
        <v>836</v>
      </c>
      <c r="F439" s="47" t="s">
        <v>21</v>
      </c>
      <c r="G439" s="42" t="s">
        <v>837</v>
      </c>
      <c r="H439" s="42" t="s">
        <v>838</v>
      </c>
      <c r="I439" s="43"/>
    </row>
    <row r="440" spans="2:9" x14ac:dyDescent="0.25">
      <c r="B440" s="40"/>
      <c r="C440" s="42" t="s">
        <v>699</v>
      </c>
      <c r="D440" s="42" t="s">
        <v>1471</v>
      </c>
      <c r="E440" s="42" t="s">
        <v>836</v>
      </c>
      <c r="F440" s="47" t="s">
        <v>21</v>
      </c>
      <c r="G440" s="42" t="s">
        <v>837</v>
      </c>
      <c r="H440" s="42" t="s">
        <v>838</v>
      </c>
      <c r="I440" s="43"/>
    </row>
    <row r="441" spans="2:9" x14ac:dyDescent="0.25">
      <c r="B441" s="40"/>
      <c r="C441" s="42" t="s">
        <v>1472</v>
      </c>
      <c r="D441" s="42" t="s">
        <v>1473</v>
      </c>
      <c r="E441" s="42" t="s">
        <v>836</v>
      </c>
      <c r="F441" s="47" t="s">
        <v>21</v>
      </c>
      <c r="G441" s="42" t="s">
        <v>837</v>
      </c>
      <c r="H441" s="42" t="s">
        <v>838</v>
      </c>
      <c r="I441" s="43"/>
    </row>
    <row r="442" spans="2:9" x14ac:dyDescent="0.25">
      <c r="B442" s="40"/>
      <c r="C442" s="42" t="s">
        <v>1474</v>
      </c>
      <c r="D442" s="42" t="s">
        <v>1475</v>
      </c>
      <c r="E442" s="42" t="s">
        <v>836</v>
      </c>
      <c r="F442" s="49" t="s">
        <v>423</v>
      </c>
      <c r="G442" s="42" t="s">
        <v>837</v>
      </c>
      <c r="H442" s="42" t="s">
        <v>838</v>
      </c>
      <c r="I442" s="43"/>
    </row>
    <row r="443" spans="2:9" x14ac:dyDescent="0.25">
      <c r="B443" s="40"/>
      <c r="C443" s="42" t="s">
        <v>396</v>
      </c>
      <c r="D443" s="42" t="s">
        <v>1476</v>
      </c>
      <c r="E443" s="42" t="s">
        <v>836</v>
      </c>
      <c r="F443" s="47" t="s">
        <v>21</v>
      </c>
      <c r="G443" s="42" t="s">
        <v>837</v>
      </c>
      <c r="H443" s="42" t="s">
        <v>838</v>
      </c>
      <c r="I443" s="43"/>
    </row>
    <row r="444" spans="2:9" x14ac:dyDescent="0.25">
      <c r="B444" s="40"/>
      <c r="C444" s="42" t="s">
        <v>703</v>
      </c>
      <c r="D444" s="42" t="s">
        <v>1477</v>
      </c>
      <c r="E444" s="42" t="s">
        <v>836</v>
      </c>
      <c r="F444" s="47" t="s">
        <v>21</v>
      </c>
      <c r="G444" s="42" t="s">
        <v>837</v>
      </c>
      <c r="H444" s="42" t="s">
        <v>838</v>
      </c>
      <c r="I444" s="43"/>
    </row>
    <row r="445" spans="2:9" x14ac:dyDescent="0.25">
      <c r="B445" s="40"/>
      <c r="C445" s="42" t="s">
        <v>1478</v>
      </c>
      <c r="D445" s="42" t="s">
        <v>1479</v>
      </c>
      <c r="E445" s="42" t="s">
        <v>836</v>
      </c>
      <c r="F445" s="47" t="s">
        <v>21</v>
      </c>
      <c r="G445" s="42" t="s">
        <v>837</v>
      </c>
      <c r="H445" s="42" t="s">
        <v>838</v>
      </c>
      <c r="I445" s="43"/>
    </row>
    <row r="446" spans="2:9" x14ac:dyDescent="0.25">
      <c r="B446" s="40"/>
      <c r="C446" s="42" t="s">
        <v>705</v>
      </c>
      <c r="D446" s="42" t="s">
        <v>1480</v>
      </c>
      <c r="E446" s="42" t="s">
        <v>836</v>
      </c>
      <c r="F446" s="47" t="s">
        <v>21</v>
      </c>
      <c r="G446" s="42" t="s">
        <v>837</v>
      </c>
      <c r="H446" s="42" t="s">
        <v>838</v>
      </c>
      <c r="I446" s="43"/>
    </row>
    <row r="447" spans="2:9" x14ac:dyDescent="0.25">
      <c r="B447" s="40"/>
      <c r="C447" s="42" t="s">
        <v>1481</v>
      </c>
      <c r="D447" s="42" t="s">
        <v>1482</v>
      </c>
      <c r="E447" s="42" t="s">
        <v>836</v>
      </c>
      <c r="F447" s="47" t="s">
        <v>21</v>
      </c>
      <c r="G447" s="42" t="s">
        <v>837</v>
      </c>
      <c r="H447" s="42" t="s">
        <v>838</v>
      </c>
      <c r="I447" s="43"/>
    </row>
    <row r="448" spans="2:9" x14ac:dyDescent="0.25">
      <c r="B448" s="40"/>
      <c r="C448" s="42" t="s">
        <v>707</v>
      </c>
      <c r="D448" s="42" t="s">
        <v>1483</v>
      </c>
      <c r="E448" s="42" t="s">
        <v>836</v>
      </c>
      <c r="F448" s="47" t="s">
        <v>21</v>
      </c>
      <c r="G448" s="42" t="s">
        <v>837</v>
      </c>
      <c r="H448" s="42" t="s">
        <v>838</v>
      </c>
      <c r="I448" s="43"/>
    </row>
    <row r="449" spans="2:9" x14ac:dyDescent="0.25">
      <c r="B449" s="40"/>
      <c r="C449" s="42" t="s">
        <v>173</v>
      </c>
      <c r="D449" s="42" t="s">
        <v>1484</v>
      </c>
      <c r="E449" s="42" t="s">
        <v>836</v>
      </c>
      <c r="F449" s="47" t="s">
        <v>21</v>
      </c>
      <c r="G449" s="42" t="s">
        <v>837</v>
      </c>
      <c r="H449" s="42" t="s">
        <v>838</v>
      </c>
      <c r="I449" s="43"/>
    </row>
    <row r="450" spans="2:9" x14ac:dyDescent="0.25">
      <c r="B450" s="40"/>
      <c r="C450" s="42" t="s">
        <v>1485</v>
      </c>
      <c r="D450" s="42" t="s">
        <v>1486</v>
      </c>
      <c r="E450" s="42" t="s">
        <v>836</v>
      </c>
      <c r="F450" s="48" t="s">
        <v>278</v>
      </c>
      <c r="G450" s="42" t="s">
        <v>837</v>
      </c>
      <c r="H450" s="42" t="s">
        <v>838</v>
      </c>
      <c r="I450" s="43"/>
    </row>
    <row r="451" spans="2:9" x14ac:dyDescent="0.25">
      <c r="B451" s="40"/>
      <c r="C451" s="42" t="s">
        <v>497</v>
      </c>
      <c r="D451" s="42" t="s">
        <v>1487</v>
      </c>
      <c r="E451" s="42" t="s">
        <v>836</v>
      </c>
      <c r="F451" s="47" t="s">
        <v>21</v>
      </c>
      <c r="G451" s="42" t="s">
        <v>837</v>
      </c>
      <c r="H451" s="42" t="s">
        <v>838</v>
      </c>
      <c r="I451" s="43"/>
    </row>
    <row r="452" spans="2:9" x14ac:dyDescent="0.25">
      <c r="B452" s="41"/>
      <c r="C452" s="44" t="s">
        <v>1488</v>
      </c>
      <c r="D452" s="44" t="s">
        <v>1489</v>
      </c>
      <c r="E452" s="44" t="s">
        <v>836</v>
      </c>
      <c r="F452" s="53" t="s">
        <v>21</v>
      </c>
      <c r="G452" s="44" t="s">
        <v>837</v>
      </c>
      <c r="H452" s="44" t="s">
        <v>838</v>
      </c>
      <c r="I452" s="39"/>
    </row>
    <row r="453" spans="2:9" x14ac:dyDescent="0.25">
      <c r="B453" s="40"/>
      <c r="C453" s="42" t="s">
        <v>1490</v>
      </c>
      <c r="D453" s="42" t="s">
        <v>1491</v>
      </c>
      <c r="E453" s="42" t="s">
        <v>836</v>
      </c>
      <c r="F453" s="47" t="s">
        <v>21</v>
      </c>
      <c r="G453" s="42" t="s">
        <v>837</v>
      </c>
      <c r="H453" s="42" t="s">
        <v>838</v>
      </c>
      <c r="I453" s="43"/>
    </row>
    <row r="454" spans="2:9" x14ac:dyDescent="0.25">
      <c r="B454" s="40"/>
      <c r="C454" s="42" t="s">
        <v>713</v>
      </c>
      <c r="D454" s="42" t="s">
        <v>1492</v>
      </c>
      <c r="E454" s="42" t="s">
        <v>836</v>
      </c>
      <c r="F454" s="47" t="s">
        <v>21</v>
      </c>
      <c r="G454" s="42" t="s">
        <v>837</v>
      </c>
      <c r="H454" s="42" t="s">
        <v>838</v>
      </c>
      <c r="I454" s="43"/>
    </row>
    <row r="455" spans="2:9" x14ac:dyDescent="0.25">
      <c r="B455" s="40"/>
      <c r="C455" s="42" t="s">
        <v>1493</v>
      </c>
      <c r="D455" s="42" t="s">
        <v>1494</v>
      </c>
      <c r="E455" s="42" t="s">
        <v>836</v>
      </c>
      <c r="F455" s="47" t="s">
        <v>21</v>
      </c>
      <c r="G455" s="42" t="s">
        <v>837</v>
      </c>
      <c r="H455" s="42" t="s">
        <v>838</v>
      </c>
      <c r="I455" s="43"/>
    </row>
    <row r="456" spans="2:9" x14ac:dyDescent="0.25">
      <c r="B456" s="40"/>
      <c r="C456" s="42" t="s">
        <v>555</v>
      </c>
      <c r="D456" s="42" t="s">
        <v>1495</v>
      </c>
      <c r="E456" s="42" t="s">
        <v>836</v>
      </c>
      <c r="F456" s="47" t="s">
        <v>21</v>
      </c>
      <c r="G456" s="42" t="s">
        <v>837</v>
      </c>
      <c r="H456" s="42" t="s">
        <v>838</v>
      </c>
      <c r="I456" s="43"/>
    </row>
    <row r="457" spans="2:9" x14ac:dyDescent="0.25">
      <c r="B457" s="40"/>
      <c r="C457" s="42" t="s">
        <v>718</v>
      </c>
      <c r="D457" s="42" t="s">
        <v>1496</v>
      </c>
      <c r="E457" s="42" t="s">
        <v>836</v>
      </c>
      <c r="F457" s="47" t="s">
        <v>21</v>
      </c>
      <c r="G457" s="42" t="s">
        <v>837</v>
      </c>
      <c r="H457" s="42" t="s">
        <v>838</v>
      </c>
      <c r="I457" s="43"/>
    </row>
    <row r="458" spans="2:9" x14ac:dyDescent="0.25">
      <c r="B458" s="40"/>
      <c r="C458" s="42" t="s">
        <v>720</v>
      </c>
      <c r="D458" s="42" t="s">
        <v>1497</v>
      </c>
      <c r="E458" s="42" t="s">
        <v>836</v>
      </c>
      <c r="F458" s="47" t="s">
        <v>21</v>
      </c>
      <c r="G458" s="42" t="s">
        <v>837</v>
      </c>
      <c r="H458" s="42" t="s">
        <v>838</v>
      </c>
      <c r="I458" s="43"/>
    </row>
    <row r="459" spans="2:9" x14ac:dyDescent="0.25">
      <c r="B459" s="40"/>
      <c r="C459" s="42" t="s">
        <v>722</v>
      </c>
      <c r="D459" s="42" t="s">
        <v>1498</v>
      </c>
      <c r="E459" s="42" t="s">
        <v>836</v>
      </c>
      <c r="F459" s="47" t="s">
        <v>21</v>
      </c>
      <c r="G459" s="42" t="s">
        <v>837</v>
      </c>
      <c r="H459" s="42" t="s">
        <v>838</v>
      </c>
      <c r="I459" s="43"/>
    </row>
    <row r="460" spans="2:9" x14ac:dyDescent="0.25">
      <c r="B460" s="40"/>
      <c r="C460" s="42" t="s">
        <v>1499</v>
      </c>
      <c r="D460" s="42" t="s">
        <v>1500</v>
      </c>
      <c r="E460" s="42" t="s">
        <v>836</v>
      </c>
      <c r="F460" s="47" t="s">
        <v>21</v>
      </c>
      <c r="G460" s="42" t="s">
        <v>837</v>
      </c>
      <c r="H460" s="42" t="s">
        <v>838</v>
      </c>
      <c r="I460" s="43"/>
    </row>
    <row r="461" spans="2:9" x14ac:dyDescent="0.25">
      <c r="B461" s="40"/>
      <c r="C461" s="42" t="s">
        <v>724</v>
      </c>
      <c r="D461" s="42" t="s">
        <v>1501</v>
      </c>
      <c r="E461" s="42" t="s">
        <v>836</v>
      </c>
      <c r="F461" s="47" t="s">
        <v>21</v>
      </c>
      <c r="G461" s="42" t="s">
        <v>837</v>
      </c>
      <c r="H461" s="42" t="s">
        <v>838</v>
      </c>
      <c r="I461" s="43"/>
    </row>
    <row r="462" spans="2:9" x14ac:dyDescent="0.25">
      <c r="B462" s="40"/>
      <c r="C462" s="42" t="s">
        <v>1502</v>
      </c>
      <c r="D462" s="42" t="s">
        <v>1503</v>
      </c>
      <c r="E462" s="42" t="s">
        <v>836</v>
      </c>
      <c r="F462" s="47" t="s">
        <v>21</v>
      </c>
      <c r="G462" s="42" t="s">
        <v>837</v>
      </c>
      <c r="H462" s="42" t="s">
        <v>838</v>
      </c>
      <c r="I462" s="43"/>
    </row>
    <row r="463" spans="2:9" x14ac:dyDescent="0.25">
      <c r="B463" s="40"/>
      <c r="C463" s="42" t="s">
        <v>726</v>
      </c>
      <c r="D463" s="42" t="s">
        <v>1504</v>
      </c>
      <c r="E463" s="42" t="s">
        <v>836</v>
      </c>
      <c r="F463" s="47" t="s">
        <v>21</v>
      </c>
      <c r="G463" s="42" t="s">
        <v>837</v>
      </c>
      <c r="H463" s="42" t="s">
        <v>838</v>
      </c>
      <c r="I463" s="43"/>
    </row>
    <row r="464" spans="2:9" x14ac:dyDescent="0.25">
      <c r="B464" s="40"/>
      <c r="C464" s="42" t="s">
        <v>591</v>
      </c>
      <c r="D464" s="42" t="s">
        <v>1505</v>
      </c>
      <c r="E464" s="42" t="s">
        <v>836</v>
      </c>
      <c r="F464" s="47" t="s">
        <v>21</v>
      </c>
      <c r="G464" s="42" t="s">
        <v>837</v>
      </c>
      <c r="H464" s="42" t="s">
        <v>838</v>
      </c>
      <c r="I464" s="43"/>
    </row>
    <row r="465" spans="2:9" x14ac:dyDescent="0.25">
      <c r="B465" s="40"/>
      <c r="C465" s="42" t="s">
        <v>730</v>
      </c>
      <c r="D465" s="42" t="s">
        <v>1506</v>
      </c>
      <c r="E465" s="42" t="s">
        <v>836</v>
      </c>
      <c r="F465" s="47" t="s">
        <v>21</v>
      </c>
      <c r="G465" s="42" t="s">
        <v>837</v>
      </c>
      <c r="H465" s="42" t="s">
        <v>838</v>
      </c>
      <c r="I465" s="43"/>
    </row>
    <row r="466" spans="2:9" x14ac:dyDescent="0.25">
      <c r="B466" s="40"/>
      <c r="C466" s="42" t="s">
        <v>1507</v>
      </c>
      <c r="D466" s="42" t="s">
        <v>1508</v>
      </c>
      <c r="E466" s="42" t="s">
        <v>836</v>
      </c>
      <c r="F466" s="48" t="s">
        <v>278</v>
      </c>
      <c r="G466" s="42" t="s">
        <v>837</v>
      </c>
      <c r="H466" s="42" t="s">
        <v>838</v>
      </c>
      <c r="I466" s="43"/>
    </row>
    <row r="467" spans="2:9" x14ac:dyDescent="0.25">
      <c r="B467" s="40"/>
      <c r="C467" s="42" t="s">
        <v>733</v>
      </c>
      <c r="D467" s="42" t="s">
        <v>1509</v>
      </c>
      <c r="E467" s="42" t="s">
        <v>836</v>
      </c>
      <c r="F467" s="47" t="s">
        <v>21</v>
      </c>
      <c r="G467" s="42" t="s">
        <v>837</v>
      </c>
      <c r="H467" s="42" t="s">
        <v>838</v>
      </c>
      <c r="I467" s="43"/>
    </row>
    <row r="468" spans="2:9" x14ac:dyDescent="0.25">
      <c r="B468" s="40"/>
      <c r="C468" s="42" t="s">
        <v>715</v>
      </c>
      <c r="D468" s="42" t="s">
        <v>1510</v>
      </c>
      <c r="E468" s="42" t="s">
        <v>836</v>
      </c>
      <c r="F468" s="47" t="s">
        <v>21</v>
      </c>
      <c r="G468" s="42" t="s">
        <v>837</v>
      </c>
      <c r="H468" s="42" t="s">
        <v>838</v>
      </c>
      <c r="I468" s="43"/>
    </row>
    <row r="469" spans="2:9" x14ac:dyDescent="0.25">
      <c r="B469" s="40"/>
      <c r="C469" s="42" t="s">
        <v>738</v>
      </c>
      <c r="D469" s="42" t="s">
        <v>1511</v>
      </c>
      <c r="E469" s="42" t="s">
        <v>836</v>
      </c>
      <c r="F469" s="48" t="s">
        <v>278</v>
      </c>
      <c r="G469" s="42" t="s">
        <v>837</v>
      </c>
      <c r="H469" s="42" t="s">
        <v>838</v>
      </c>
      <c r="I469" s="43"/>
    </row>
    <row r="470" spans="2:9" x14ac:dyDescent="0.25">
      <c r="B470" s="40"/>
      <c r="C470" s="42" t="s">
        <v>741</v>
      </c>
      <c r="D470" s="42" t="s">
        <v>1512</v>
      </c>
      <c r="E470" s="42" t="s">
        <v>836</v>
      </c>
      <c r="F470" s="47" t="s">
        <v>21</v>
      </c>
      <c r="G470" s="42" t="s">
        <v>837</v>
      </c>
      <c r="H470" s="42" t="s">
        <v>838</v>
      </c>
      <c r="I470" s="43"/>
    </row>
    <row r="471" spans="2:9" x14ac:dyDescent="0.25">
      <c r="B471" s="40"/>
      <c r="C471" s="42" t="s">
        <v>378</v>
      </c>
      <c r="D471" s="42" t="s">
        <v>1513</v>
      </c>
      <c r="E471" s="42" t="s">
        <v>836</v>
      </c>
      <c r="F471" s="47" t="s">
        <v>21</v>
      </c>
      <c r="G471" s="42" t="s">
        <v>837</v>
      </c>
      <c r="H471" s="42" t="s">
        <v>838</v>
      </c>
      <c r="I471" s="43"/>
    </row>
    <row r="472" spans="2:9" x14ac:dyDescent="0.25">
      <c r="B472" s="40"/>
      <c r="C472" s="42" t="s">
        <v>20</v>
      </c>
      <c r="D472" s="42" t="s">
        <v>1514</v>
      </c>
      <c r="E472" s="42" t="s">
        <v>836</v>
      </c>
      <c r="F472" s="48" t="s">
        <v>278</v>
      </c>
      <c r="G472" s="42" t="s">
        <v>837</v>
      </c>
      <c r="H472" s="42" t="s">
        <v>838</v>
      </c>
      <c r="I472" s="43"/>
    </row>
    <row r="473" spans="2:9" x14ac:dyDescent="0.25">
      <c r="B473" s="40"/>
      <c r="C473" s="42" t="s">
        <v>1515</v>
      </c>
      <c r="D473" s="42" t="s">
        <v>1516</v>
      </c>
      <c r="E473" s="42" t="s">
        <v>836</v>
      </c>
      <c r="F473" s="47" t="s">
        <v>21</v>
      </c>
      <c r="G473" s="42" t="s">
        <v>837</v>
      </c>
      <c r="H473" s="42" t="s">
        <v>884</v>
      </c>
      <c r="I473" s="43"/>
    </row>
    <row r="474" spans="2:9" x14ac:dyDescent="0.25">
      <c r="B474" s="40"/>
      <c r="C474" s="42" t="s">
        <v>175</v>
      </c>
      <c r="D474" s="42" t="s">
        <v>1517</v>
      </c>
      <c r="E474" s="42" t="s">
        <v>836</v>
      </c>
      <c r="F474" s="47" t="s">
        <v>21</v>
      </c>
      <c r="G474" s="42" t="s">
        <v>837</v>
      </c>
      <c r="H474" s="42" t="s">
        <v>838</v>
      </c>
      <c r="I474" s="43"/>
    </row>
    <row r="475" spans="2:9" x14ac:dyDescent="0.25">
      <c r="B475" s="40"/>
      <c r="C475" s="42" t="s">
        <v>1518</v>
      </c>
      <c r="D475" s="42" t="s">
        <v>1519</v>
      </c>
      <c r="E475" s="42" t="s">
        <v>836</v>
      </c>
      <c r="F475" s="49" t="s">
        <v>423</v>
      </c>
      <c r="G475" s="42" t="s">
        <v>837</v>
      </c>
      <c r="H475" s="42" t="s">
        <v>838</v>
      </c>
      <c r="I475" s="43"/>
    </row>
    <row r="476" spans="2:9" x14ac:dyDescent="0.25">
      <c r="B476" s="40"/>
      <c r="C476" s="42" t="s">
        <v>177</v>
      </c>
      <c r="D476" s="42" t="s">
        <v>1520</v>
      </c>
      <c r="E476" s="42" t="s">
        <v>836</v>
      </c>
      <c r="F476" s="47" t="s">
        <v>21</v>
      </c>
      <c r="G476" s="42" t="s">
        <v>837</v>
      </c>
      <c r="H476" s="42" t="s">
        <v>838</v>
      </c>
      <c r="I476" s="43"/>
    </row>
    <row r="477" spans="2:9" x14ac:dyDescent="0.25">
      <c r="B477" s="40"/>
      <c r="C477" s="42" t="s">
        <v>1521</v>
      </c>
      <c r="D477" s="42" t="s">
        <v>1522</v>
      </c>
      <c r="E477" s="42" t="s">
        <v>836</v>
      </c>
      <c r="F477" s="48" t="s">
        <v>278</v>
      </c>
      <c r="G477" s="42" t="s">
        <v>837</v>
      </c>
      <c r="H477" s="42" t="s">
        <v>838</v>
      </c>
      <c r="I477" s="43"/>
    </row>
    <row r="478" spans="2:9" x14ac:dyDescent="0.25">
      <c r="B478" s="40"/>
      <c r="C478" s="42" t="s">
        <v>745</v>
      </c>
      <c r="D478" s="42" t="s">
        <v>1523</v>
      </c>
      <c r="E478" s="42" t="s">
        <v>836</v>
      </c>
      <c r="F478" s="47" t="s">
        <v>21</v>
      </c>
      <c r="G478" s="42" t="s">
        <v>837</v>
      </c>
      <c r="H478" s="42" t="s">
        <v>838</v>
      </c>
      <c r="I478" s="43"/>
    </row>
    <row r="479" spans="2:9" x14ac:dyDescent="0.25">
      <c r="B479" s="40"/>
      <c r="C479" s="42" t="s">
        <v>390</v>
      </c>
      <c r="D479" s="42" t="s">
        <v>1524</v>
      </c>
      <c r="E479" s="42" t="s">
        <v>836</v>
      </c>
      <c r="F479" s="47" t="s">
        <v>21</v>
      </c>
      <c r="G479" s="42" t="s">
        <v>837</v>
      </c>
      <c r="H479" s="42" t="s">
        <v>838</v>
      </c>
      <c r="I479" s="43"/>
    </row>
    <row r="480" spans="2:9" x14ac:dyDescent="0.25">
      <c r="B480" s="40"/>
      <c r="C480" s="42" t="s">
        <v>749</v>
      </c>
      <c r="D480" s="42" t="s">
        <v>1525</v>
      </c>
      <c r="E480" s="42" t="s">
        <v>836</v>
      </c>
      <c r="F480" s="47" t="s">
        <v>21</v>
      </c>
      <c r="G480" s="42" t="s">
        <v>837</v>
      </c>
      <c r="H480" s="42" t="s">
        <v>838</v>
      </c>
      <c r="I480" s="43"/>
    </row>
    <row r="481" spans="2:9" x14ac:dyDescent="0.25">
      <c r="B481" s="40"/>
      <c r="C481" s="42" t="s">
        <v>751</v>
      </c>
      <c r="D481" s="42" t="s">
        <v>1526</v>
      </c>
      <c r="E481" s="42" t="s">
        <v>836</v>
      </c>
      <c r="F481" s="47" t="s">
        <v>21</v>
      </c>
      <c r="G481" s="42" t="s">
        <v>837</v>
      </c>
      <c r="H481" s="42" t="s">
        <v>838</v>
      </c>
      <c r="I481" s="43"/>
    </row>
    <row r="482" spans="2:9" x14ac:dyDescent="0.25">
      <c r="B482" s="40"/>
      <c r="C482" s="42" t="s">
        <v>1527</v>
      </c>
      <c r="D482" s="42" t="s">
        <v>1528</v>
      </c>
      <c r="E482" s="42" t="s">
        <v>836</v>
      </c>
      <c r="F482" s="47" t="s">
        <v>21</v>
      </c>
      <c r="G482" s="42" t="s">
        <v>837</v>
      </c>
      <c r="H482" s="42" t="s">
        <v>838</v>
      </c>
      <c r="I482" s="43"/>
    </row>
    <row r="483" spans="2:9" x14ac:dyDescent="0.25">
      <c r="B483" s="40"/>
      <c r="C483" s="42" t="s">
        <v>753</v>
      </c>
      <c r="D483" s="42" t="s">
        <v>1529</v>
      </c>
      <c r="E483" s="42" t="s">
        <v>836</v>
      </c>
      <c r="F483" s="48" t="s">
        <v>278</v>
      </c>
      <c r="G483" s="42" t="s">
        <v>837</v>
      </c>
      <c r="H483" s="42" t="s">
        <v>838</v>
      </c>
      <c r="I483" s="43"/>
    </row>
    <row r="484" spans="2:9" x14ac:dyDescent="0.25">
      <c r="B484" s="40"/>
      <c r="C484" s="42" t="s">
        <v>179</v>
      </c>
      <c r="D484" s="42" t="s">
        <v>1530</v>
      </c>
      <c r="E484" s="42" t="s">
        <v>836</v>
      </c>
      <c r="F484" s="47" t="s">
        <v>21</v>
      </c>
      <c r="G484" s="42" t="s">
        <v>837</v>
      </c>
      <c r="H484" s="42" t="s">
        <v>838</v>
      </c>
      <c r="I484" s="43"/>
    </row>
    <row r="485" spans="2:9" x14ac:dyDescent="0.25">
      <c r="B485" s="40"/>
      <c r="C485" s="42" t="s">
        <v>182</v>
      </c>
      <c r="D485" s="42" t="s">
        <v>1531</v>
      </c>
      <c r="E485" s="42" t="s">
        <v>836</v>
      </c>
      <c r="F485" s="47" t="s">
        <v>21</v>
      </c>
      <c r="G485" s="42" t="s">
        <v>837</v>
      </c>
      <c r="H485" s="42" t="s">
        <v>838</v>
      </c>
      <c r="I485" s="43"/>
    </row>
    <row r="486" spans="2:9" x14ac:dyDescent="0.25">
      <c r="B486" s="40"/>
      <c r="C486" s="42" t="s">
        <v>755</v>
      </c>
      <c r="D486" s="42" t="s">
        <v>1532</v>
      </c>
      <c r="E486" s="42" t="s">
        <v>836</v>
      </c>
      <c r="F486" s="47" t="s">
        <v>21</v>
      </c>
      <c r="G486" s="42" t="s">
        <v>837</v>
      </c>
      <c r="H486" s="42" t="s">
        <v>838</v>
      </c>
      <c r="I486" s="43"/>
    </row>
    <row r="487" spans="2:9" x14ac:dyDescent="0.25">
      <c r="B487" s="40"/>
      <c r="C487" s="42" t="s">
        <v>1533</v>
      </c>
      <c r="D487" s="42" t="s">
        <v>1534</v>
      </c>
      <c r="E487" s="42" t="s">
        <v>836</v>
      </c>
      <c r="F487" s="47" t="s">
        <v>21</v>
      </c>
      <c r="G487" s="42" t="s">
        <v>837</v>
      </c>
      <c r="H487" s="42" t="s">
        <v>838</v>
      </c>
      <c r="I487" s="43"/>
    </row>
    <row r="488" spans="2:9" x14ac:dyDescent="0.25">
      <c r="B488" s="40"/>
      <c r="C488" s="42" t="s">
        <v>757</v>
      </c>
      <c r="D488" s="42" t="s">
        <v>1535</v>
      </c>
      <c r="E488" s="42" t="s">
        <v>836</v>
      </c>
      <c r="F488" s="47" t="s">
        <v>21</v>
      </c>
      <c r="G488" s="42" t="s">
        <v>837</v>
      </c>
      <c r="H488" s="42" t="s">
        <v>838</v>
      </c>
      <c r="I488" s="43"/>
    </row>
    <row r="489" spans="2:9" x14ac:dyDescent="0.25">
      <c r="B489" s="40"/>
      <c r="C489" s="42" t="s">
        <v>759</v>
      </c>
      <c r="D489" s="42" t="s">
        <v>1536</v>
      </c>
      <c r="E489" s="42" t="s">
        <v>836</v>
      </c>
      <c r="F489" s="47" t="s">
        <v>21</v>
      </c>
      <c r="G489" s="42" t="s">
        <v>837</v>
      </c>
      <c r="H489" s="42" t="s">
        <v>838</v>
      </c>
      <c r="I489" s="43"/>
    </row>
    <row r="490" spans="2:9" x14ac:dyDescent="0.25">
      <c r="B490" s="40"/>
      <c r="C490" s="42" t="s">
        <v>1537</v>
      </c>
      <c r="D490" s="42" t="s">
        <v>1538</v>
      </c>
      <c r="E490" s="42" t="s">
        <v>836</v>
      </c>
      <c r="F490" s="49" t="s">
        <v>423</v>
      </c>
      <c r="G490" s="42" t="s">
        <v>837</v>
      </c>
      <c r="H490" s="42" t="s">
        <v>838</v>
      </c>
      <c r="I490" s="43"/>
    </row>
    <row r="491" spans="2:9" x14ac:dyDescent="0.25">
      <c r="B491" s="40"/>
      <c r="C491" s="42" t="s">
        <v>762</v>
      </c>
      <c r="D491" s="42" t="s">
        <v>1539</v>
      </c>
      <c r="E491" s="42" t="s">
        <v>836</v>
      </c>
      <c r="F491" s="47" t="s">
        <v>21</v>
      </c>
      <c r="G491" s="42" t="s">
        <v>837</v>
      </c>
      <c r="H491" s="42" t="s">
        <v>838</v>
      </c>
      <c r="I491" s="43"/>
    </row>
    <row r="492" spans="2:9" x14ac:dyDescent="0.25">
      <c r="B492" s="40"/>
      <c r="C492" s="42" t="s">
        <v>1540</v>
      </c>
      <c r="D492" s="42" t="s">
        <v>1541</v>
      </c>
      <c r="E492" s="42" t="s">
        <v>836</v>
      </c>
      <c r="F492" s="47" t="s">
        <v>21</v>
      </c>
      <c r="G492" s="42" t="s">
        <v>837</v>
      </c>
      <c r="H492" s="42" t="s">
        <v>838</v>
      </c>
      <c r="I492" s="43"/>
    </row>
    <row r="493" spans="2:9" x14ac:dyDescent="0.25">
      <c r="B493" s="40"/>
      <c r="C493" s="42" t="s">
        <v>184</v>
      </c>
      <c r="D493" s="42" t="s">
        <v>1542</v>
      </c>
      <c r="E493" s="42" t="s">
        <v>836</v>
      </c>
      <c r="F493" s="47" t="s">
        <v>21</v>
      </c>
      <c r="G493" s="42" t="s">
        <v>837</v>
      </c>
      <c r="H493" s="42" t="s">
        <v>838</v>
      </c>
      <c r="I493" s="43"/>
    </row>
    <row r="494" spans="2:9" x14ac:dyDescent="0.25">
      <c r="B494" s="40"/>
      <c r="C494" s="42" t="s">
        <v>187</v>
      </c>
      <c r="D494" s="42" t="s">
        <v>1543</v>
      </c>
      <c r="E494" s="42" t="s">
        <v>836</v>
      </c>
      <c r="F494" s="47" t="s">
        <v>21</v>
      </c>
      <c r="G494" s="42" t="s">
        <v>837</v>
      </c>
      <c r="H494" s="42" t="s">
        <v>838</v>
      </c>
      <c r="I494" s="43"/>
    </row>
    <row r="495" spans="2:9" x14ac:dyDescent="0.25">
      <c r="B495" s="40"/>
      <c r="C495" s="42" t="s">
        <v>1544</v>
      </c>
      <c r="D495" s="42" t="s">
        <v>1545</v>
      </c>
      <c r="E495" s="42" t="s">
        <v>836</v>
      </c>
      <c r="F495" s="47" t="s">
        <v>21</v>
      </c>
      <c r="G495" s="42" t="s">
        <v>837</v>
      </c>
      <c r="H495" s="42" t="s">
        <v>838</v>
      </c>
      <c r="I495" s="43"/>
    </row>
    <row r="496" spans="2:9" x14ac:dyDescent="0.25">
      <c r="B496" s="40"/>
      <c r="C496" s="42" t="s">
        <v>354</v>
      </c>
      <c r="D496" s="42" t="s">
        <v>1546</v>
      </c>
      <c r="E496" s="42" t="s">
        <v>836</v>
      </c>
      <c r="F496" s="47" t="s">
        <v>21</v>
      </c>
      <c r="G496" s="42" t="s">
        <v>837</v>
      </c>
      <c r="H496" s="42" t="s">
        <v>838</v>
      </c>
      <c r="I496" s="43"/>
    </row>
    <row r="497" spans="2:9" x14ac:dyDescent="0.25">
      <c r="B497" s="40"/>
      <c r="C497" s="42" t="s">
        <v>1547</v>
      </c>
      <c r="D497" s="42" t="s">
        <v>1548</v>
      </c>
      <c r="E497" s="42" t="s">
        <v>836</v>
      </c>
      <c r="F497" s="48" t="s">
        <v>278</v>
      </c>
      <c r="G497" s="42" t="s">
        <v>837</v>
      </c>
      <c r="H497" s="42" t="s">
        <v>838</v>
      </c>
      <c r="I497" s="43"/>
    </row>
    <row r="498" spans="2:9" x14ac:dyDescent="0.25">
      <c r="B498" s="40"/>
      <c r="C498" s="42" t="s">
        <v>189</v>
      </c>
      <c r="D498" s="42" t="s">
        <v>1549</v>
      </c>
      <c r="E498" s="42" t="s">
        <v>836</v>
      </c>
      <c r="F498" s="47" t="s">
        <v>21</v>
      </c>
      <c r="G498" s="42" t="s">
        <v>837</v>
      </c>
      <c r="H498" s="42" t="s">
        <v>838</v>
      </c>
      <c r="I498" s="43"/>
    </row>
    <row r="499" spans="2:9" x14ac:dyDescent="0.25">
      <c r="B499" s="40"/>
      <c r="C499" s="42" t="s">
        <v>1550</v>
      </c>
      <c r="D499" s="42" t="s">
        <v>1551</v>
      </c>
      <c r="E499" s="42" t="s">
        <v>845</v>
      </c>
      <c r="F499" s="48" t="s">
        <v>278</v>
      </c>
      <c r="G499" s="42" t="s">
        <v>837</v>
      </c>
      <c r="H499" s="42" t="s">
        <v>838</v>
      </c>
      <c r="I499" s="43"/>
    </row>
    <row r="500" spans="2:9" x14ac:dyDescent="0.25">
      <c r="B500" s="40"/>
      <c r="C500" s="42" t="s">
        <v>769</v>
      </c>
      <c r="D500" s="42" t="s">
        <v>1552</v>
      </c>
      <c r="E500" s="42" t="s">
        <v>836</v>
      </c>
      <c r="F500" s="47" t="s">
        <v>21</v>
      </c>
      <c r="G500" s="42" t="s">
        <v>837</v>
      </c>
      <c r="H500" s="42" t="s">
        <v>838</v>
      </c>
      <c r="I500" s="43"/>
    </row>
    <row r="501" spans="2:9" x14ac:dyDescent="0.25">
      <c r="B501" s="40"/>
      <c r="C501" s="42" t="s">
        <v>191</v>
      </c>
      <c r="D501" s="42" t="s">
        <v>1553</v>
      </c>
      <c r="E501" s="42" t="s">
        <v>836</v>
      </c>
      <c r="F501" s="47" t="s">
        <v>21</v>
      </c>
      <c r="G501" s="42" t="s">
        <v>837</v>
      </c>
      <c r="H501" s="42" t="s">
        <v>838</v>
      </c>
      <c r="I501" s="43"/>
    </row>
    <row r="502" spans="2:9" x14ac:dyDescent="0.25">
      <c r="B502" s="41"/>
      <c r="C502" s="44" t="s">
        <v>1554</v>
      </c>
      <c r="D502" s="44" t="s">
        <v>1555</v>
      </c>
      <c r="E502" s="44" t="s">
        <v>836</v>
      </c>
      <c r="F502" s="53" t="s">
        <v>21</v>
      </c>
      <c r="G502" s="44" t="s">
        <v>837</v>
      </c>
      <c r="H502" s="44" t="s">
        <v>838</v>
      </c>
      <c r="I502" s="39"/>
    </row>
    <row r="503" spans="2:9" x14ac:dyDescent="0.25">
      <c r="B503" s="40"/>
      <c r="C503" s="42" t="s">
        <v>1556</v>
      </c>
      <c r="D503" s="42" t="s">
        <v>1557</v>
      </c>
      <c r="E503" s="42" t="s">
        <v>836</v>
      </c>
      <c r="F503" s="47" t="s">
        <v>21</v>
      </c>
      <c r="G503" s="42" t="s">
        <v>837</v>
      </c>
      <c r="H503" s="42" t="s">
        <v>838</v>
      </c>
      <c r="I503" s="43"/>
    </row>
    <row r="504" spans="2:9" x14ac:dyDescent="0.25">
      <c r="B504" s="40"/>
      <c r="C504" s="42" t="s">
        <v>1558</v>
      </c>
      <c r="D504" s="42" t="s">
        <v>1559</v>
      </c>
      <c r="E504" s="42" t="s">
        <v>836</v>
      </c>
      <c r="F504" s="47" t="s">
        <v>21</v>
      </c>
      <c r="G504" s="42" t="s">
        <v>837</v>
      </c>
      <c r="H504" s="42" t="s">
        <v>838</v>
      </c>
      <c r="I504" s="43"/>
    </row>
    <row r="505" spans="2:9" x14ac:dyDescent="0.25">
      <c r="B505" s="40"/>
      <c r="C505" s="42" t="s">
        <v>771</v>
      </c>
      <c r="D505" s="42" t="s">
        <v>1560</v>
      </c>
      <c r="E505" s="42" t="s">
        <v>836</v>
      </c>
      <c r="F505" s="47" t="s">
        <v>21</v>
      </c>
      <c r="G505" s="42" t="s">
        <v>837</v>
      </c>
      <c r="H505" s="42" t="s">
        <v>838</v>
      </c>
      <c r="I505" s="43"/>
    </row>
    <row r="506" spans="2:9" x14ac:dyDescent="0.25">
      <c r="B506" s="40"/>
      <c r="C506" s="42" t="s">
        <v>419</v>
      </c>
      <c r="D506" s="42" t="s">
        <v>1561</v>
      </c>
      <c r="E506" s="42" t="s">
        <v>836</v>
      </c>
      <c r="F506" s="47" t="s">
        <v>21</v>
      </c>
      <c r="G506" s="42" t="s">
        <v>837</v>
      </c>
      <c r="H506" s="42" t="s">
        <v>838</v>
      </c>
      <c r="I506" s="43"/>
    </row>
    <row r="507" spans="2:9" x14ac:dyDescent="0.25">
      <c r="B507" s="40"/>
      <c r="C507" s="42" t="s">
        <v>228</v>
      </c>
      <c r="D507" s="42" t="s">
        <v>1562</v>
      </c>
      <c r="E507" s="42" t="s">
        <v>836</v>
      </c>
      <c r="F507" s="47" t="s">
        <v>21</v>
      </c>
      <c r="G507" s="42" t="s">
        <v>837</v>
      </c>
      <c r="H507" s="42" t="s">
        <v>838</v>
      </c>
      <c r="I507" s="43"/>
    </row>
    <row r="508" spans="2:9" x14ac:dyDescent="0.25">
      <c r="B508" s="40"/>
      <c r="C508" s="42" t="s">
        <v>1563</v>
      </c>
      <c r="D508" s="42" t="s">
        <v>1564</v>
      </c>
      <c r="E508" s="42" t="s">
        <v>836</v>
      </c>
      <c r="F508" s="47" t="s">
        <v>21</v>
      </c>
      <c r="G508" s="42" t="s">
        <v>837</v>
      </c>
      <c r="H508" s="42" t="s">
        <v>838</v>
      </c>
      <c r="I508" s="43"/>
    </row>
    <row r="509" spans="2:9" x14ac:dyDescent="0.25">
      <c r="B509" s="40"/>
      <c r="C509" s="42" t="s">
        <v>1565</v>
      </c>
      <c r="D509" s="42" t="s">
        <v>1566</v>
      </c>
      <c r="E509" s="42" t="s">
        <v>836</v>
      </c>
      <c r="F509" s="47" t="s">
        <v>21</v>
      </c>
      <c r="G509" s="42" t="s">
        <v>837</v>
      </c>
      <c r="H509" s="42" t="s">
        <v>838</v>
      </c>
      <c r="I509" s="43"/>
    </row>
    <row r="510" spans="2:9" x14ac:dyDescent="0.25">
      <c r="B510" s="40"/>
      <c r="C510" s="42" t="s">
        <v>1567</v>
      </c>
      <c r="D510" s="42" t="s">
        <v>1568</v>
      </c>
      <c r="E510" s="42" t="s">
        <v>836</v>
      </c>
      <c r="F510" s="48" t="s">
        <v>278</v>
      </c>
      <c r="G510" s="42" t="s">
        <v>837</v>
      </c>
      <c r="H510" s="42" t="s">
        <v>838</v>
      </c>
      <c r="I510" s="43"/>
    </row>
    <row r="511" spans="2:9" x14ac:dyDescent="0.25">
      <c r="B511" s="40"/>
      <c r="C511" s="42" t="s">
        <v>193</v>
      </c>
      <c r="D511" s="42" t="s">
        <v>1569</v>
      </c>
      <c r="E511" s="42" t="s">
        <v>836</v>
      </c>
      <c r="F511" s="47" t="s">
        <v>21</v>
      </c>
      <c r="G511" s="42" t="s">
        <v>837</v>
      </c>
      <c r="H511" s="42" t="s">
        <v>838</v>
      </c>
      <c r="I511" s="43"/>
    </row>
    <row r="512" spans="2:9" x14ac:dyDescent="0.25">
      <c r="B512" s="40"/>
      <c r="C512" s="42" t="s">
        <v>775</v>
      </c>
      <c r="D512" s="42" t="s">
        <v>1570</v>
      </c>
      <c r="E512" s="42" t="s">
        <v>836</v>
      </c>
      <c r="F512" s="47" t="s">
        <v>21</v>
      </c>
      <c r="G512" s="42" t="s">
        <v>837</v>
      </c>
      <c r="H512" s="42" t="s">
        <v>838</v>
      </c>
      <c r="I512" s="43"/>
    </row>
    <row r="513" spans="2:9" x14ac:dyDescent="0.25">
      <c r="B513" s="40"/>
      <c r="C513" s="42" t="s">
        <v>780</v>
      </c>
      <c r="D513" s="42" t="s">
        <v>1571</v>
      </c>
      <c r="E513" s="42" t="s">
        <v>836</v>
      </c>
      <c r="F513" s="47" t="s">
        <v>21</v>
      </c>
      <c r="G513" s="42" t="s">
        <v>837</v>
      </c>
      <c r="H513" s="42" t="s">
        <v>838</v>
      </c>
      <c r="I513" s="43"/>
    </row>
    <row r="514" spans="2:9" x14ac:dyDescent="0.25">
      <c r="B514" s="40"/>
      <c r="C514" s="42" t="s">
        <v>1572</v>
      </c>
      <c r="D514" s="42" t="s">
        <v>1573</v>
      </c>
      <c r="E514" s="42" t="s">
        <v>836</v>
      </c>
      <c r="F514" s="48" t="s">
        <v>278</v>
      </c>
      <c r="G514" s="42" t="s">
        <v>837</v>
      </c>
      <c r="H514" s="42" t="s">
        <v>838</v>
      </c>
      <c r="I514" s="43"/>
    </row>
    <row r="515" spans="2:9" x14ac:dyDescent="0.25">
      <c r="B515" s="40"/>
      <c r="C515" s="42" t="s">
        <v>1574</v>
      </c>
      <c r="D515" s="42" t="s">
        <v>1575</v>
      </c>
      <c r="E515" s="42" t="s">
        <v>836</v>
      </c>
      <c r="F515" s="47" t="s">
        <v>21</v>
      </c>
      <c r="G515" s="42" t="s">
        <v>837</v>
      </c>
      <c r="H515" s="42" t="s">
        <v>838</v>
      </c>
      <c r="I515" s="43"/>
    </row>
    <row r="516" spans="2:9" x14ac:dyDescent="0.25">
      <c r="B516" s="40"/>
      <c r="C516" s="42" t="s">
        <v>1576</v>
      </c>
      <c r="D516" s="42" t="s">
        <v>1577</v>
      </c>
      <c r="E516" s="42" t="s">
        <v>836</v>
      </c>
      <c r="F516" s="48" t="s">
        <v>278</v>
      </c>
      <c r="G516" s="42" t="s">
        <v>837</v>
      </c>
      <c r="H516" s="42" t="s">
        <v>838</v>
      </c>
      <c r="I516" s="43"/>
    </row>
    <row r="517" spans="2:9" x14ac:dyDescent="0.25">
      <c r="B517" s="40"/>
      <c r="C517" s="42" t="s">
        <v>386</v>
      </c>
      <c r="D517" s="42" t="s">
        <v>1578</v>
      </c>
      <c r="E517" s="42" t="s">
        <v>836</v>
      </c>
      <c r="F517" s="47" t="s">
        <v>21</v>
      </c>
      <c r="G517" s="42" t="s">
        <v>837</v>
      </c>
      <c r="H517" s="42" t="s">
        <v>838</v>
      </c>
      <c r="I517" s="43"/>
    </row>
    <row r="518" spans="2:9" x14ac:dyDescent="0.25">
      <c r="B518" s="40"/>
      <c r="C518" s="42" t="s">
        <v>196</v>
      </c>
      <c r="D518" s="42" t="s">
        <v>1579</v>
      </c>
      <c r="E518" s="42" t="s">
        <v>836</v>
      </c>
      <c r="F518" s="47" t="s">
        <v>21</v>
      </c>
      <c r="G518" s="42" t="s">
        <v>837</v>
      </c>
      <c r="H518" s="42" t="s">
        <v>838</v>
      </c>
      <c r="I518" s="43"/>
    </row>
    <row r="519" spans="2:9" x14ac:dyDescent="0.25">
      <c r="B519" s="40"/>
      <c r="C519" s="42" t="s">
        <v>1580</v>
      </c>
      <c r="D519" s="42" t="s">
        <v>1581</v>
      </c>
      <c r="E519" s="42" t="s">
        <v>836</v>
      </c>
      <c r="F519" s="48" t="s">
        <v>278</v>
      </c>
      <c r="G519" s="42" t="s">
        <v>837</v>
      </c>
      <c r="H519" s="42" t="s">
        <v>838</v>
      </c>
      <c r="I519" s="43"/>
    </row>
    <row r="520" spans="2:9" x14ac:dyDescent="0.25">
      <c r="B520" s="40"/>
      <c r="C520" s="42" t="s">
        <v>796</v>
      </c>
      <c r="D520" s="42" t="s">
        <v>1582</v>
      </c>
      <c r="E520" s="42" t="s">
        <v>836</v>
      </c>
      <c r="F520" s="47" t="s">
        <v>21</v>
      </c>
      <c r="G520" s="42" t="s">
        <v>837</v>
      </c>
      <c r="H520" s="42" t="s">
        <v>838</v>
      </c>
      <c r="I520" s="43"/>
    </row>
    <row r="521" spans="2:9" x14ac:dyDescent="0.25">
      <c r="B521" s="40"/>
      <c r="C521" s="42" t="s">
        <v>198</v>
      </c>
      <c r="D521" s="42" t="s">
        <v>1583</v>
      </c>
      <c r="E521" s="42" t="s">
        <v>836</v>
      </c>
      <c r="F521" s="47" t="s">
        <v>21</v>
      </c>
      <c r="G521" s="42" t="s">
        <v>837</v>
      </c>
      <c r="H521" s="42" t="s">
        <v>838</v>
      </c>
      <c r="I521" s="43"/>
    </row>
    <row r="522" spans="2:9" x14ac:dyDescent="0.25">
      <c r="B522" s="40"/>
      <c r="C522" s="42" t="s">
        <v>1584</v>
      </c>
      <c r="D522" s="42" t="s">
        <v>1585</v>
      </c>
      <c r="E522" s="42" t="s">
        <v>845</v>
      </c>
      <c r="F522" s="48" t="s">
        <v>278</v>
      </c>
      <c r="G522" s="42" t="s">
        <v>837</v>
      </c>
      <c r="H522" s="42" t="s">
        <v>838</v>
      </c>
      <c r="I522" s="43"/>
    </row>
    <row r="523" spans="2:9" x14ac:dyDescent="0.25">
      <c r="B523" s="40"/>
      <c r="C523" s="42" t="s">
        <v>788</v>
      </c>
      <c r="D523" s="42" t="s">
        <v>1586</v>
      </c>
      <c r="E523" s="42" t="s">
        <v>836</v>
      </c>
      <c r="F523" s="47" t="s">
        <v>21</v>
      </c>
      <c r="G523" s="42" t="s">
        <v>837</v>
      </c>
      <c r="H523" s="42" t="s">
        <v>838</v>
      </c>
      <c r="I523" s="43"/>
    </row>
    <row r="524" spans="2:9" x14ac:dyDescent="0.25">
      <c r="B524" s="40"/>
      <c r="C524" s="42" t="s">
        <v>1587</v>
      </c>
      <c r="D524" s="42" t="s">
        <v>1588</v>
      </c>
      <c r="E524" s="42" t="s">
        <v>836</v>
      </c>
      <c r="F524" s="48" t="s">
        <v>278</v>
      </c>
      <c r="G524" s="42" t="s">
        <v>837</v>
      </c>
      <c r="H524" s="42" t="s">
        <v>838</v>
      </c>
      <c r="I524" s="43"/>
    </row>
    <row r="525" spans="2:9" x14ac:dyDescent="0.25">
      <c r="B525" s="40"/>
      <c r="C525" s="42" t="s">
        <v>411</v>
      </c>
      <c r="D525" s="42" t="s">
        <v>1589</v>
      </c>
      <c r="E525" s="42" t="s">
        <v>836</v>
      </c>
      <c r="F525" s="51" t="s">
        <v>1063</v>
      </c>
      <c r="G525" s="42" t="s">
        <v>837</v>
      </c>
      <c r="H525" s="42" t="s">
        <v>838</v>
      </c>
      <c r="I525" s="43"/>
    </row>
    <row r="526" spans="2:9" x14ac:dyDescent="0.25">
      <c r="B526" s="40"/>
      <c r="C526" s="42" t="s">
        <v>766</v>
      </c>
      <c r="D526" s="42" t="s">
        <v>1590</v>
      </c>
      <c r="E526" s="42" t="s">
        <v>836</v>
      </c>
      <c r="F526" s="47" t="s">
        <v>21</v>
      </c>
      <c r="G526" s="42" t="s">
        <v>837</v>
      </c>
      <c r="H526" s="42" t="s">
        <v>838</v>
      </c>
      <c r="I526" s="43"/>
    </row>
    <row r="527" spans="2:9" x14ac:dyDescent="0.25">
      <c r="B527" s="40"/>
      <c r="C527" s="42" t="s">
        <v>794</v>
      </c>
      <c r="D527" s="42" t="s">
        <v>1591</v>
      </c>
      <c r="E527" s="42" t="s">
        <v>836</v>
      </c>
      <c r="F527" s="49" t="s">
        <v>423</v>
      </c>
      <c r="G527" s="42" t="s">
        <v>837</v>
      </c>
      <c r="H527" s="42" t="s">
        <v>838</v>
      </c>
      <c r="I527" s="43"/>
    </row>
    <row r="528" spans="2:9" x14ac:dyDescent="0.25">
      <c r="B528" s="40"/>
      <c r="C528" s="42" t="s">
        <v>466</v>
      </c>
      <c r="D528" s="42" t="s">
        <v>1592</v>
      </c>
      <c r="E528" s="42" t="s">
        <v>836</v>
      </c>
      <c r="F528" s="47" t="s">
        <v>21</v>
      </c>
      <c r="G528" s="42" t="s">
        <v>837</v>
      </c>
      <c r="H528" s="42" t="s">
        <v>838</v>
      </c>
      <c r="I528" s="43"/>
    </row>
    <row r="529" spans="2:9" x14ac:dyDescent="0.25">
      <c r="B529" s="40"/>
      <c r="C529" s="42" t="s">
        <v>798</v>
      </c>
      <c r="D529" s="42" t="s">
        <v>1593</v>
      </c>
      <c r="E529" s="42" t="s">
        <v>836</v>
      </c>
      <c r="F529" s="47" t="s">
        <v>21</v>
      </c>
      <c r="G529" s="42" t="s">
        <v>837</v>
      </c>
      <c r="H529" s="42" t="s">
        <v>838</v>
      </c>
      <c r="I529" s="43"/>
    </row>
    <row r="530" spans="2:9" x14ac:dyDescent="0.25">
      <c r="B530" s="40"/>
      <c r="C530" s="42" t="s">
        <v>1594</v>
      </c>
      <c r="D530" s="42" t="s">
        <v>1595</v>
      </c>
      <c r="E530" s="42" t="s">
        <v>836</v>
      </c>
      <c r="F530" s="48" t="s">
        <v>278</v>
      </c>
      <c r="G530" s="42" t="s">
        <v>837</v>
      </c>
      <c r="H530" s="42" t="s">
        <v>838</v>
      </c>
      <c r="I530" s="43"/>
    </row>
    <row r="531" spans="2:9" x14ac:dyDescent="0.25">
      <c r="B531" s="40"/>
      <c r="C531" s="42" t="s">
        <v>200</v>
      </c>
      <c r="D531" s="42" t="s">
        <v>1596</v>
      </c>
      <c r="E531" s="42" t="s">
        <v>836</v>
      </c>
      <c r="F531" s="47" t="s">
        <v>21</v>
      </c>
      <c r="G531" s="42" t="s">
        <v>837</v>
      </c>
      <c r="H531" s="42" t="s">
        <v>838</v>
      </c>
      <c r="I531" s="43"/>
    </row>
    <row r="532" spans="2:9" x14ac:dyDescent="0.25">
      <c r="B532" s="40"/>
      <c r="C532" s="42" t="s">
        <v>1597</v>
      </c>
      <c r="D532" s="42" t="s">
        <v>1598</v>
      </c>
      <c r="E532" s="42" t="s">
        <v>836</v>
      </c>
      <c r="F532" s="51" t="s">
        <v>1051</v>
      </c>
      <c r="G532" s="42" t="s">
        <v>837</v>
      </c>
      <c r="H532" s="42" t="s">
        <v>838</v>
      </c>
      <c r="I532" s="43"/>
    </row>
    <row r="533" spans="2:9" x14ac:dyDescent="0.25">
      <c r="B533" s="40"/>
      <c r="C533" s="42" t="s">
        <v>764</v>
      </c>
      <c r="D533" s="42" t="s">
        <v>1599</v>
      </c>
      <c r="E533" s="42" t="s">
        <v>836</v>
      </c>
      <c r="F533" s="47" t="s">
        <v>21</v>
      </c>
      <c r="G533" s="42" t="s">
        <v>837</v>
      </c>
      <c r="H533" s="42" t="s">
        <v>838</v>
      </c>
      <c r="I533" s="43"/>
    </row>
    <row r="534" spans="2:9" x14ac:dyDescent="0.25">
      <c r="B534" s="40"/>
      <c r="C534" s="42" t="s">
        <v>1600</v>
      </c>
      <c r="D534" s="42" t="s">
        <v>1601</v>
      </c>
      <c r="E534" s="42" t="s">
        <v>836</v>
      </c>
      <c r="F534" s="47" t="s">
        <v>21</v>
      </c>
      <c r="G534" s="42" t="s">
        <v>837</v>
      </c>
      <c r="H534" s="42" t="s">
        <v>838</v>
      </c>
      <c r="I534" s="43"/>
    </row>
    <row r="535" spans="2:9" x14ac:dyDescent="0.25">
      <c r="B535" s="40"/>
      <c r="C535" s="42" t="s">
        <v>804</v>
      </c>
      <c r="D535" s="42" t="s">
        <v>1602</v>
      </c>
      <c r="E535" s="42" t="s">
        <v>836</v>
      </c>
      <c r="F535" s="47" t="s">
        <v>21</v>
      </c>
      <c r="G535" s="42" t="s">
        <v>837</v>
      </c>
      <c r="H535" s="42" t="s">
        <v>838</v>
      </c>
      <c r="I535" s="43"/>
    </row>
    <row r="536" spans="2:9" x14ac:dyDescent="0.25">
      <c r="B536" s="40"/>
      <c r="C536" s="42" t="s">
        <v>1603</v>
      </c>
      <c r="D536" s="42" t="s">
        <v>1604</v>
      </c>
      <c r="E536" s="42" t="s">
        <v>836</v>
      </c>
      <c r="F536" s="47" t="s">
        <v>21</v>
      </c>
      <c r="G536" s="42" t="s">
        <v>837</v>
      </c>
      <c r="H536" s="42" t="s">
        <v>838</v>
      </c>
      <c r="I536" s="43"/>
    </row>
    <row r="537" spans="2:9" x14ac:dyDescent="0.25">
      <c r="B537" s="40"/>
      <c r="C537" s="42" t="s">
        <v>806</v>
      </c>
      <c r="D537" s="42" t="s">
        <v>1605</v>
      </c>
      <c r="E537" s="42" t="s">
        <v>836</v>
      </c>
      <c r="F537" s="47" t="s">
        <v>21</v>
      </c>
      <c r="G537" s="42" t="s">
        <v>837</v>
      </c>
      <c r="H537" s="42" t="s">
        <v>838</v>
      </c>
      <c r="I537" s="43"/>
    </row>
    <row r="538" spans="2:9" x14ac:dyDescent="0.25">
      <c r="B538" s="40"/>
      <c r="C538" s="42" t="s">
        <v>1606</v>
      </c>
      <c r="D538" s="42" t="s">
        <v>1607</v>
      </c>
      <c r="E538" s="42" t="s">
        <v>836</v>
      </c>
      <c r="F538" s="47" t="s">
        <v>21</v>
      </c>
      <c r="G538" s="42" t="s">
        <v>837</v>
      </c>
      <c r="H538" s="42" t="s">
        <v>838</v>
      </c>
      <c r="I538" s="43"/>
    </row>
    <row r="539" spans="2:9" x14ac:dyDescent="0.25">
      <c r="B539" s="40"/>
      <c r="C539" s="42" t="s">
        <v>1608</v>
      </c>
      <c r="D539" s="42" t="s">
        <v>1609</v>
      </c>
      <c r="E539" s="42" t="s">
        <v>836</v>
      </c>
      <c r="F539" s="47" t="s">
        <v>21</v>
      </c>
      <c r="G539" s="42" t="s">
        <v>837</v>
      </c>
      <c r="H539" s="42" t="s">
        <v>838</v>
      </c>
      <c r="I539" s="43"/>
    </row>
    <row r="540" spans="2:9" x14ac:dyDescent="0.25">
      <c r="B540" s="40"/>
      <c r="C540" s="42" t="s">
        <v>809</v>
      </c>
      <c r="D540" s="42" t="s">
        <v>1610</v>
      </c>
      <c r="E540" s="42" t="s">
        <v>836</v>
      </c>
      <c r="F540" s="47" t="s">
        <v>21</v>
      </c>
      <c r="G540" s="42" t="s">
        <v>837</v>
      </c>
      <c r="H540" s="42" t="s">
        <v>838</v>
      </c>
      <c r="I540" s="43"/>
    </row>
    <row r="541" spans="2:9" x14ac:dyDescent="0.25">
      <c r="B541" s="40"/>
      <c r="C541" s="42" t="s">
        <v>811</v>
      </c>
      <c r="D541" s="42" t="s">
        <v>1611</v>
      </c>
      <c r="E541" s="42" t="s">
        <v>836</v>
      </c>
      <c r="F541" s="51" t="s">
        <v>1051</v>
      </c>
      <c r="G541" s="42" t="s">
        <v>837</v>
      </c>
      <c r="H541" s="42" t="s">
        <v>838</v>
      </c>
      <c r="I541" s="43"/>
    </row>
    <row r="542" spans="2:9" x14ac:dyDescent="0.25">
      <c r="B542" s="40"/>
      <c r="C542" s="42" t="s">
        <v>1612</v>
      </c>
      <c r="D542" s="42" t="s">
        <v>1613</v>
      </c>
      <c r="E542" s="42" t="s">
        <v>836</v>
      </c>
      <c r="F542" s="47" t="s">
        <v>21</v>
      </c>
      <c r="G542" s="42" t="s">
        <v>837</v>
      </c>
      <c r="H542" s="42" t="s">
        <v>838</v>
      </c>
      <c r="I542" s="43"/>
    </row>
    <row r="543" spans="2:9" x14ac:dyDescent="0.25">
      <c r="B543" s="40"/>
      <c r="C543" s="42" t="s">
        <v>1614</v>
      </c>
      <c r="D543" s="42" t="s">
        <v>1615</v>
      </c>
      <c r="E543" s="42" t="s">
        <v>836</v>
      </c>
      <c r="F543" s="47" t="s">
        <v>21</v>
      </c>
      <c r="G543" s="42" t="s">
        <v>837</v>
      </c>
      <c r="H543" s="42" t="s">
        <v>838</v>
      </c>
      <c r="I543" s="43"/>
    </row>
  </sheetData>
  <hyperlinks>
    <hyperlink ref="B3" r:id="rId1" display="https://amp.vexpenses.com/settings/membros-de-equipe/895944" xr:uid="{B14F00D6-D121-43FA-A2B3-2957CC88DF17}"/>
    <hyperlink ref="B4" r:id="rId2" display="https://amp.vexpenses.com/settings/membros-de-equipe/923558" xr:uid="{DFED27CA-1CA9-4713-BC4A-C7A7FAD52402}"/>
    <hyperlink ref="B5" r:id="rId3" display="https://amp.vexpenses.com/settings/membros-de-equipe/895945" xr:uid="{84D29A2F-5C6B-4B36-BA37-CC0217721976}"/>
    <hyperlink ref="B6" r:id="rId4" display="https://amp.vexpenses.com/settings/membros-de-equipe/895946" xr:uid="{2840F799-58C7-4833-9EFC-6D468EDCD2FD}"/>
    <hyperlink ref="B7" r:id="rId5" display="https://amp.vexpenses.com/settings/membros-de-equipe/895947" xr:uid="{A8CE911F-2DD9-44F7-A7BC-D387B4A221D8}"/>
    <hyperlink ref="B8" r:id="rId6" display="https://amp.vexpenses.com/settings/membros-de-equipe/895948" xr:uid="{C2922D23-2090-4A09-9684-A3C8DD42E8FD}"/>
    <hyperlink ref="B9" r:id="rId7" display="https://amp.vexpenses.com/settings/membros-de-equipe/895949" xr:uid="{43A2FA46-1663-466B-A4FA-58CB525AF76F}"/>
    <hyperlink ref="B10" r:id="rId8" display="https://amp.vexpenses.com/settings/membros-de-equipe/895950" xr:uid="{A75B313F-BEB6-43A2-8C3E-1682A4F55C22}"/>
    <hyperlink ref="B11" r:id="rId9" display="https://amp.vexpenses.com/settings/membros-de-equipe/895952" xr:uid="{EED94ECF-49EE-4B2C-A540-661D25AF6ED2}"/>
    <hyperlink ref="B12" r:id="rId10" display="https://amp.vexpenses.com/settings/membros-de-equipe/895954" xr:uid="{901558D1-85EE-4E15-A94C-8BE46EFB0638}"/>
    <hyperlink ref="B13" r:id="rId11" display="https://amp.vexpenses.com/settings/membros-de-equipe/895955" xr:uid="{C45B7AF6-1160-488B-BE2B-26206B1610B9}"/>
    <hyperlink ref="B14" r:id="rId12" display="https://amp.vexpenses.com/settings/membros-de-equipe/895956" xr:uid="{347E49A1-42B7-4420-8E97-B7453FC360CB}"/>
    <hyperlink ref="B15" r:id="rId13" display="https://amp.vexpenses.com/settings/membros-de-equipe/916910" xr:uid="{5BDFC682-EC62-4AA8-A090-6480F8810050}"/>
    <hyperlink ref="B16" r:id="rId14" display="https://amp.vexpenses.com/settings/membros-de-equipe/895957" xr:uid="{CDFC39AB-7C02-4CD0-BE08-FE8541903C72}"/>
    <hyperlink ref="B17" r:id="rId15" display="https://amp.vexpenses.com/settings/membros-de-equipe/895958" xr:uid="{E2D37BAD-F7B2-498A-85B3-1CD91A6CF415}"/>
    <hyperlink ref="B18" r:id="rId16" display="https://amp.vexpenses.com/settings/membros-de-equipe/929763" xr:uid="{7444025E-017C-4B7B-A4A2-2F2E4CB5C287}"/>
    <hyperlink ref="B19" r:id="rId17" display="https://amp.vexpenses.com/settings/membros-de-equipe/895959" xr:uid="{29A9B9F7-CDAB-4574-926E-1E5AE0F65E75}"/>
    <hyperlink ref="B20" r:id="rId18" display="https://amp.vexpenses.com/settings/membros-de-equipe/950625" xr:uid="{F76AC44E-49E9-4CCC-B2D7-657941FAEAB4}"/>
    <hyperlink ref="B21" r:id="rId19" display="https://amp.vexpenses.com/settings/membros-de-equipe/895961" xr:uid="{90430704-8F81-44C3-9B07-07E097C2A522}"/>
    <hyperlink ref="B22" r:id="rId20" display="https://amp.vexpenses.com/settings/membros-de-equipe/895962" xr:uid="{88DC60E3-9C32-4DB1-8C7E-20F747E47D87}"/>
    <hyperlink ref="B23" r:id="rId21" display="https://amp.vexpenses.com/settings/membros-de-equipe/895963" xr:uid="{0E5AA536-0846-4387-9325-DBA86E3A355B}"/>
    <hyperlink ref="B24" r:id="rId22" display="https://amp.vexpenses.com/settings/membros-de-equipe/895964" xr:uid="{B7362B8D-7A9D-4476-BA7B-6DE6720A304F}"/>
    <hyperlink ref="B25" r:id="rId23" display="https://amp.vexpenses.com/settings/membros-de-equipe/895965" xr:uid="{8A485613-DA36-424C-B12A-75B6EB591684}"/>
    <hyperlink ref="B26" r:id="rId24" display="https://amp.vexpenses.com/settings/membros-de-equipe/917314" xr:uid="{9DF2CAA0-C09C-4A34-9F25-EC224FDA11FD}"/>
    <hyperlink ref="B27" r:id="rId25" display="https://amp.vexpenses.com/settings/membros-de-equipe/895966" xr:uid="{5F393233-A33E-4E13-8FF6-03E7784F5AEB}"/>
    <hyperlink ref="B28" r:id="rId26" display="https://amp.vexpenses.com/settings/membros-de-equipe/895967" xr:uid="{6F5D1BAA-5BE4-4C16-944F-D2E447B1AB70}"/>
    <hyperlink ref="B29" r:id="rId27" display="https://amp.vexpenses.com/settings/membros-de-equipe/916897" xr:uid="{6340EEC7-FE58-41AC-9E8E-3B39F62CD746}"/>
    <hyperlink ref="B30" r:id="rId28" display="https://amp.vexpenses.com/settings/membros-de-equipe/895968" xr:uid="{256F67FF-F5E0-4776-AF6C-938353B148EE}"/>
    <hyperlink ref="B31" r:id="rId29" display="https://amp.vexpenses.com/settings/membros-de-equipe/917318" xr:uid="{743BF3F3-A4BC-48B7-81A2-D051E5EB3C9C}"/>
    <hyperlink ref="B32" r:id="rId30" display="https://amp.vexpenses.com/settings/membros-de-equipe/895969" xr:uid="{6DDEB49D-70FE-4E54-9F64-E631BDBE4579}"/>
    <hyperlink ref="B33" r:id="rId31" display="https://amp.vexpenses.com/settings/membros-de-equipe/918852" xr:uid="{16CEC440-A072-48B9-A4EC-17F2759B338F}"/>
    <hyperlink ref="B34" r:id="rId32" display="https://amp.vexpenses.com/settings/membros-de-equipe/895970" xr:uid="{3C4B1BEF-35D5-429B-ABCE-E9E23B521AA0}"/>
    <hyperlink ref="B35" r:id="rId33" display="https://amp.vexpenses.com/settings/membros-de-equipe/895971" xr:uid="{0024FCCA-3355-46F7-8394-43F6382491C2}"/>
    <hyperlink ref="B36" r:id="rId34" display="https://amp.vexpenses.com/settings/membros-de-equipe/895972" xr:uid="{8D78250B-B4CF-4F54-8CF0-ECF1AA8E7FCE}"/>
    <hyperlink ref="B37" r:id="rId35" display="https://amp.vexpenses.com/settings/membros-de-equipe/895974" xr:uid="{6A7AD985-21DD-4A03-B092-F981AE3E4C92}"/>
    <hyperlink ref="B38" r:id="rId36" display="https://amp.vexpenses.com/settings/membros-de-equipe/929757" xr:uid="{86E94D3E-15F5-4A85-B323-9F072AA427DC}"/>
    <hyperlink ref="B39" r:id="rId37" display="https://amp.vexpenses.com/settings/membros-de-equipe/895975" xr:uid="{C8595B02-B22D-4CA8-9930-BF7F5FC42206}"/>
    <hyperlink ref="B40" r:id="rId38" display="https://amp.vexpenses.com/settings/membros-de-equipe/895976" xr:uid="{DE2CA6B5-D77C-49A1-BAE2-38AD61423589}"/>
    <hyperlink ref="B41" r:id="rId39" display="https://amp.vexpenses.com/settings/membros-de-equipe/891979" xr:uid="{F5C9142C-59C5-4C83-B12C-8C4189F4F6D0}"/>
    <hyperlink ref="B42" r:id="rId40" display="https://amp.vexpenses.com/settings/membros-de-equipe/895977" xr:uid="{CCBAB9D1-F0EB-4F36-AE12-56CBE7AE8FA8}"/>
    <hyperlink ref="B43" r:id="rId41" display="https://amp.vexpenses.com/settings/membros-de-equipe/895978" xr:uid="{25557508-6AE2-47F3-A5BC-30340BE5B04E}"/>
    <hyperlink ref="B44" r:id="rId42" display="https://amp.vexpenses.com/settings/membros-de-equipe/952448" xr:uid="{D77465BC-C51E-40E6-ABF4-49E664BE592C}"/>
    <hyperlink ref="B45" r:id="rId43" display="https://amp.vexpenses.com/settings/membros-de-equipe/934784" xr:uid="{EF003735-0E33-473F-A836-3EFD52FB5003}"/>
    <hyperlink ref="B46" r:id="rId44" display="https://amp.vexpenses.com/settings/membros-de-equipe/917324" xr:uid="{167FB85B-9959-4836-AC25-0DA480B81D42}"/>
    <hyperlink ref="B47" r:id="rId45" display="https://amp.vexpenses.com/settings/membros-de-equipe/895981" xr:uid="{3E948075-0808-4D61-9E2F-29F6E57EA58E}"/>
    <hyperlink ref="B48" r:id="rId46" display="https://amp.vexpenses.com/settings/membros-de-equipe/895982" xr:uid="{C079681C-6227-4B7A-B3C8-90C1FE45C973}"/>
    <hyperlink ref="B49" r:id="rId47" display="https://amp.vexpenses.com/settings/membros-de-equipe/895983" xr:uid="{5C0C3D2F-51F6-441C-9883-E5CAD1AC7373}"/>
    <hyperlink ref="B50" r:id="rId48" display="https://amp.vexpenses.com/settings/membros-de-equipe/895984" xr:uid="{12AE47D0-6438-4AF8-A245-A62677F23211}"/>
    <hyperlink ref="B51" r:id="rId49" display="https://amp.vexpenses.com/settings/membros-de-equipe/895985" xr:uid="{0F42E90C-3A39-4A00-807E-6CAA6C7908B3}"/>
    <hyperlink ref="B52" r:id="rId50" display="https://amp.vexpenses.com/settings/membros-de-equipe/916889" xr:uid="{64677CC0-55D1-4999-8C87-B996ADF291C2}"/>
    <hyperlink ref="B53" r:id="rId51" display="https://amp.vexpenses.com/settings/membros-de-equipe/895986" xr:uid="{43CF8C12-B968-473C-85C4-7A3C6C293449}"/>
    <hyperlink ref="B54" r:id="rId52" display="https://amp.vexpenses.com/settings/membros-de-equipe/891977" xr:uid="{7E0FACA3-CF5D-4BD7-900C-63FDA4850522}"/>
    <hyperlink ref="B55" r:id="rId53" display="https://amp.vexpenses.com/settings/membros-de-equipe/895988" xr:uid="{AC19E263-472B-410A-8BB2-CED3F711B0EA}"/>
    <hyperlink ref="B56" r:id="rId54" display="https://amp.vexpenses.com/settings/membros-de-equipe/895989" xr:uid="{E7674ED3-0C10-4017-A440-95D2AD83F466}"/>
    <hyperlink ref="B57" r:id="rId55" display="https://amp.vexpenses.com/settings/membros-de-equipe/895991" xr:uid="{A23832DA-AB91-4C30-BAFF-DCD9E6F959C5}"/>
    <hyperlink ref="B58" r:id="rId56" display="https://amp.vexpenses.com/settings/membros-de-equipe/895992" xr:uid="{5FFB3128-75D2-4A85-AF38-79372E271086}"/>
    <hyperlink ref="B59" r:id="rId57" display="https://amp.vexpenses.com/settings/membros-de-equipe/895993" xr:uid="{39C53C32-0DCF-4AAC-BE8B-F1FEDF8BA436}"/>
    <hyperlink ref="B60" r:id="rId58" display="https://amp.vexpenses.com/settings/membros-de-equipe/895994" xr:uid="{3ED39DB6-A68F-43F0-BDBA-F8341C057E1B}"/>
    <hyperlink ref="B61" r:id="rId59" display="https://amp.vexpenses.com/settings/membros-de-equipe/920071" xr:uid="{81BF6BA1-EEE8-471E-B515-C77DEEA25EB1}"/>
    <hyperlink ref="B62" r:id="rId60" display="https://amp.vexpenses.com/settings/membros-de-equipe/895996" xr:uid="{1F1D5D22-B13A-4DCD-950D-B2856FFDD96B}"/>
    <hyperlink ref="B63" r:id="rId61" display="https://amp.vexpenses.com/settings/membros-de-equipe/895997" xr:uid="{A33C5BEE-C3A8-4195-88E0-9D5E6182AF83}"/>
    <hyperlink ref="B64" r:id="rId62" display="https://amp.vexpenses.com/settings/membros-de-equipe/917085" xr:uid="{8A084D46-69BC-4F1E-9EE7-808B996CD9C0}"/>
    <hyperlink ref="B65" r:id="rId63" display="https://amp.vexpenses.com/settings/membros-de-equipe/895998" xr:uid="{C13429D7-55A9-443F-931A-703B5A4B45DE}"/>
    <hyperlink ref="B66" r:id="rId64" display="https://amp.vexpenses.com/settings/membros-de-equipe/930416" xr:uid="{036E3DBF-4530-4008-A526-E3C3054E3C36}"/>
    <hyperlink ref="B67" r:id="rId65" display="https://amp.vexpenses.com/settings/membros-de-equipe/895999" xr:uid="{AFE33EA6-63F9-45EE-A298-E3E299931294}"/>
    <hyperlink ref="B68" r:id="rId66" display="https://amp.vexpenses.com/settings/membros-de-equipe/896000" xr:uid="{153EF5C7-76B2-4E4C-937E-F632F3236529}"/>
    <hyperlink ref="B69" r:id="rId67" display="https://amp.vexpenses.com/settings/membros-de-equipe/896001" xr:uid="{E7103424-C24D-4981-B45D-1CB4D1EC26A3}"/>
    <hyperlink ref="B70" r:id="rId68" display="https://amp.vexpenses.com/settings/membros-de-equipe/896002" xr:uid="{4EE4E995-DFC5-440F-9074-144B6C8B9D58}"/>
    <hyperlink ref="B71" r:id="rId69" display="https://amp.vexpenses.com/settings/membros-de-equipe/896003" xr:uid="{E357EF82-A212-461F-8C36-CA9BAA69C2BF}"/>
    <hyperlink ref="B72" r:id="rId70" display="https://amp.vexpenses.com/settings/membros-de-equipe/896004" xr:uid="{8E015410-1419-4ABE-B96B-5C7D159FA9CB}"/>
    <hyperlink ref="B73" r:id="rId71" display="https://amp.vexpenses.com/settings/membros-de-equipe/896005" xr:uid="{9019A56C-C57F-47C7-B462-E6460C9E0628}"/>
    <hyperlink ref="B74" r:id="rId72" display="https://amp.vexpenses.com/settings/membros-de-equipe/896006" xr:uid="{B8DD73D1-29F3-430C-A810-AFF035F37933}"/>
    <hyperlink ref="B75" r:id="rId73" display="https://amp.vexpenses.com/settings/membros-de-equipe/896007" xr:uid="{F7361752-DA91-4167-AF83-1411257F1A43}"/>
    <hyperlink ref="B76" r:id="rId74" display="https://amp.vexpenses.com/settings/membros-de-equipe/896008" xr:uid="{9BF9C68F-F01E-4240-9D91-BB6037323479}"/>
    <hyperlink ref="B77" r:id="rId75" display="https://amp.vexpenses.com/settings/membros-de-equipe/896009" xr:uid="{91F9EAEB-A566-4DE5-BFC4-5923C5E90404}"/>
    <hyperlink ref="B78" r:id="rId76" display="https://amp.vexpenses.com/settings/membros-de-equipe/896011" xr:uid="{C0463A6F-1E92-4488-B747-B974F59D2986}"/>
    <hyperlink ref="B79" r:id="rId77" display="https://amp.vexpenses.com/settings/membros-de-equipe/896012" xr:uid="{A2588AA1-E5AE-4801-BCE1-783363429F3A}"/>
    <hyperlink ref="B80" r:id="rId78" display="https://amp.vexpenses.com/settings/membros-de-equipe/896014" xr:uid="{23FC1DEB-0008-482E-859F-3AFDADEC2C4D}"/>
    <hyperlink ref="B81" r:id="rId79" display="https://amp.vexpenses.com/settings/membros-de-equipe/896015" xr:uid="{94859752-6D13-4192-BF20-BAECF5E1A26B}"/>
    <hyperlink ref="B82" r:id="rId80" display="https://amp.vexpenses.com/settings/membros-de-equipe/930924" xr:uid="{BD7DA130-01DE-4DF6-B4CF-417EB26CC30C}"/>
    <hyperlink ref="B83" r:id="rId81" display="https://amp.vexpenses.com/settings/membros-de-equipe/896017" xr:uid="{0DE91D5E-2027-4420-AF31-9E5A3BB7DBA1}"/>
    <hyperlink ref="B84" r:id="rId82" display="https://amp.vexpenses.com/settings/membros-de-equipe/917342" xr:uid="{1C158831-99A3-4EB5-A084-3848D84498E9}"/>
    <hyperlink ref="B85" r:id="rId83" display="https://amp.vexpenses.com/settings/membros-de-equipe/896018" xr:uid="{3CAB2A34-D38C-434E-A8DE-14EF5DF38D69}"/>
    <hyperlink ref="B86" r:id="rId84" display="https://amp.vexpenses.com/settings/membros-de-equipe/896019" xr:uid="{C5FEA631-1F5B-48C3-A89C-248BC33BCE6E}"/>
    <hyperlink ref="B87" r:id="rId85" display="https://amp.vexpenses.com/settings/membros-de-equipe/952397" xr:uid="{BB27DFDC-AD59-4214-9750-94A02CFEC1ED}"/>
    <hyperlink ref="B88" r:id="rId86" display="https://amp.vexpenses.com/settings/membros-de-equipe/896020" xr:uid="{AFE34E7A-5BB4-48B2-BA48-69FEC5FBEC2E}"/>
    <hyperlink ref="B89" r:id="rId87" display="https://amp.vexpenses.com/settings/membros-de-equipe/896021" xr:uid="{99D211DA-5FE3-4187-8A05-4ABD42DDD199}"/>
    <hyperlink ref="B90" r:id="rId88" display="https://amp.vexpenses.com/settings/membros-de-equipe/896023" xr:uid="{B84BA780-6797-46EE-B249-4ECC987B7F53}"/>
    <hyperlink ref="B91" r:id="rId89" display="https://amp.vexpenses.com/settings/membros-de-equipe/896024" xr:uid="{B7ECFE38-F9CA-43FB-B845-238F9E254CF7}"/>
    <hyperlink ref="B92" r:id="rId90" display="https://amp.vexpenses.com/settings/membros-de-equipe/896025" xr:uid="{ADD6FE46-D890-4C09-A788-4B5825074CBB}"/>
    <hyperlink ref="B93" r:id="rId91" display="https://amp.vexpenses.com/settings/membros-de-equipe/896026" xr:uid="{3638A4F8-68F8-4717-9AA0-3222F89E81E8}"/>
    <hyperlink ref="B94" r:id="rId92" display="https://amp.vexpenses.com/settings/membros-de-equipe/896027" xr:uid="{58EFB235-9165-4E9A-940B-1B1AC4F7A6FD}"/>
    <hyperlink ref="B95" r:id="rId93" display="https://amp.vexpenses.com/settings/membros-de-equipe/896028" xr:uid="{53C369C6-B0B1-4A2B-B289-01D45B01A435}"/>
    <hyperlink ref="B96" r:id="rId94" display="https://amp.vexpenses.com/settings/membros-de-equipe/896029" xr:uid="{897BABC9-F2A7-4F82-96C3-DE9487F0FEE3}"/>
    <hyperlink ref="B97" r:id="rId95" display="https://amp.vexpenses.com/settings/membros-de-equipe/896030" xr:uid="{18F2F89E-3D8D-4DE1-8180-2C1A2104B70C}"/>
    <hyperlink ref="B98" r:id="rId96" display="https://amp.vexpenses.com/settings/membros-de-equipe/896031" xr:uid="{3969CDDE-7074-466C-B471-207416C546A8}"/>
    <hyperlink ref="B99" r:id="rId97" display="https://amp.vexpenses.com/settings/membros-de-equipe/896032" xr:uid="{DAB7879A-84AF-4FCD-A14A-F9A4BA9E1CDF}"/>
    <hyperlink ref="B100" r:id="rId98" display="https://amp.vexpenses.com/settings/membros-de-equipe/896033" xr:uid="{3E5AA39C-CC9B-4E74-96CA-DFB405B6473E}"/>
    <hyperlink ref="B101" r:id="rId99" display="https://amp.vexpenses.com/settings/membros-de-equipe/930403" xr:uid="{BAE5794A-588F-435C-8DE3-575368F917AC}"/>
    <hyperlink ref="B102" r:id="rId100" display="https://amp.vexpenses.com/settings/membros-de-equipe/935041" xr:uid="{D3BCBDF0-166B-4EA9-B8DD-C66A75B0F685}"/>
    <hyperlink ref="B103" r:id="rId101" display="https://amp.vexpenses.com/settings/membros-de-equipe/896034" xr:uid="{07453F94-0054-4C6F-A4F8-EE16BEDE7E1E}"/>
    <hyperlink ref="B104" r:id="rId102" display="https://amp.vexpenses.com/settings/membros-de-equipe/921947" xr:uid="{6D4C8FF6-8AB8-46A0-B883-B148C134FE93}"/>
    <hyperlink ref="B105" r:id="rId103" display="https://amp.vexpenses.com/settings/membros-de-equipe/896035" xr:uid="{5E630464-CFE2-46DD-9598-38BED4FC9FDD}"/>
    <hyperlink ref="B106" r:id="rId104" display="https://amp.vexpenses.com/settings/membros-de-equipe/896036" xr:uid="{6D6F841E-7E6F-4881-AAF1-9FCAA8EAED42}"/>
    <hyperlink ref="B107" r:id="rId105" display="https://amp.vexpenses.com/settings/membros-de-equipe/890792" xr:uid="{188B7511-097D-4F6F-8435-FCB619AE79E6}"/>
    <hyperlink ref="B108" r:id="rId106" display="https://amp.vexpenses.com/settings/membros-de-equipe/919653" xr:uid="{352154EA-5577-40F0-B071-66413F3BDF4B}"/>
    <hyperlink ref="B109" r:id="rId107" display="https://amp.vexpenses.com/settings/membros-de-equipe/896037" xr:uid="{7ACE8385-2306-4EC8-8B5D-7CB16A61449A}"/>
    <hyperlink ref="B110" r:id="rId108" display="https://amp.vexpenses.com/settings/membros-de-equipe/917376" xr:uid="{2CCE0691-4B6D-4774-BB7B-45F16934CF63}"/>
    <hyperlink ref="B111" r:id="rId109" display="https://amp.vexpenses.com/settings/membros-de-equipe/930913" xr:uid="{7DBDD15C-50AE-4CB9-B6C3-DD308BD4A6BA}"/>
    <hyperlink ref="B112" r:id="rId110" display="https://amp.vexpenses.com/settings/membros-de-equipe/916919" xr:uid="{D03A4F7F-67CA-4831-87F3-2F58A7879B18}"/>
    <hyperlink ref="B113" r:id="rId111" display="https://amp.vexpenses.com/settings/membros-de-equipe/896040" xr:uid="{743F36AA-B66C-4DA0-8086-7150040326DC}"/>
    <hyperlink ref="B114" r:id="rId112" display="https://amp.vexpenses.com/settings/membros-de-equipe/923635" xr:uid="{2082145A-DB10-43F2-9DE5-CD26B20115A5}"/>
    <hyperlink ref="B115" r:id="rId113" display="https://amp.vexpenses.com/settings/membros-de-equipe/896419" xr:uid="{0F69B68C-F5BD-496C-A1C3-186A49BD7764}"/>
    <hyperlink ref="B116" r:id="rId114" display="https://amp.vexpenses.com/settings/membros-de-equipe/896041" xr:uid="{D1601B00-4815-46CF-B3DD-203E4A7D15B4}"/>
    <hyperlink ref="B117" r:id="rId115" display="https://amp.vexpenses.com/settings/membros-de-equipe/917060" xr:uid="{6C078DFE-C130-4027-BC42-036FB1642257}"/>
    <hyperlink ref="B118" r:id="rId116" display="https://amp.vexpenses.com/settings/membros-de-equipe/896043" xr:uid="{24A8325A-62C6-42D4-AE18-7D8F52D39EFD}"/>
    <hyperlink ref="B119" r:id="rId117" display="https://amp.vexpenses.com/settings/membros-de-equipe/896044" xr:uid="{E4E4E892-D1F4-4645-828B-396A3AEDED88}"/>
    <hyperlink ref="B120" r:id="rId118" display="https://amp.vexpenses.com/settings/membros-de-equipe/917345" xr:uid="{F4182B2F-0215-4A27-844D-E063B7502690}"/>
    <hyperlink ref="B121" r:id="rId119" display="https://amp.vexpenses.com/settings/membros-de-equipe/896045" xr:uid="{48BE4E5D-62DE-4DD2-B72A-3F32323A2691}"/>
    <hyperlink ref="B122" r:id="rId120" display="https://amp.vexpenses.com/settings/membros-de-equipe/896046" xr:uid="{3D3FCF1E-F63C-4884-A6FA-53BFCCFC9ECF}"/>
    <hyperlink ref="B123" r:id="rId121" display="https://amp.vexpenses.com/settings/membros-de-equipe/896047" xr:uid="{D662BA59-9DBF-4D53-AC0A-F97DEB9B902D}"/>
    <hyperlink ref="B124" r:id="rId122" display="https://amp.vexpenses.com/settings/membros-de-equipe/896048" xr:uid="{6FACC8E3-87FB-48F0-95FA-C8CA91C59503}"/>
    <hyperlink ref="B125" r:id="rId123" display="https://amp.vexpenses.com/settings/membros-de-equipe/896049" xr:uid="{818DF20F-E27F-458A-A56F-625CCB94D64C}"/>
    <hyperlink ref="B126" r:id="rId124" display="https://amp.vexpenses.com/settings/membros-de-equipe/896050" xr:uid="{8DDFD216-C76F-4B8B-9CAC-6FFD2F796A4A}"/>
    <hyperlink ref="B127" r:id="rId125" display="https://amp.vexpenses.com/settings/membros-de-equipe/896051" xr:uid="{D4E2D24D-B067-42E8-ADAC-A68289924041}"/>
    <hyperlink ref="B128" r:id="rId126" display="https://amp.vexpenses.com/settings/membros-de-equipe/896052" xr:uid="{22B52B58-1695-4672-97DA-735A578B63A6}"/>
    <hyperlink ref="B129" r:id="rId127" display="https://amp.vexpenses.com/settings/membros-de-equipe/896053" xr:uid="{6D0F4501-A945-4B8F-B436-C607A8E831A5}"/>
    <hyperlink ref="B130" r:id="rId128" display="https://amp.vexpenses.com/settings/membros-de-equipe/896054" xr:uid="{1B57D789-F2B0-42F6-B28F-22E74F00202B}"/>
    <hyperlink ref="B131" r:id="rId129" display="https://amp.vexpenses.com/settings/membros-de-equipe/896055" xr:uid="{D780882C-72E2-4CDB-92E3-02880A9BA8E4}"/>
    <hyperlink ref="B132" r:id="rId130" display="https://amp.vexpenses.com/settings/membros-de-equipe/896057" xr:uid="{E541B8C0-7B36-4D74-BE71-9A249CE9C714}"/>
    <hyperlink ref="B133" r:id="rId131" display="https://amp.vexpenses.com/settings/membros-de-equipe/896058" xr:uid="{62FE03B1-2595-4352-ABC3-AEA85F91FF15}"/>
    <hyperlink ref="B134" r:id="rId132" display="https://amp.vexpenses.com/settings/membros-de-equipe/896059" xr:uid="{8C1EDC82-791D-4AF1-B6DF-7425295AD891}"/>
    <hyperlink ref="B135" r:id="rId133" display="https://amp.vexpenses.com/settings/membros-de-equipe/896060" xr:uid="{4E9D40CA-E4E9-46C3-AF50-2D452D29BBE6}"/>
    <hyperlink ref="B136" r:id="rId134" display="https://amp.vexpenses.com/settings/membros-de-equipe/896061" xr:uid="{1803FB02-4FC9-42BE-ADF8-600E5032C0F2}"/>
    <hyperlink ref="B137" r:id="rId135" display="https://amp.vexpenses.com/settings/membros-de-equipe/896062" xr:uid="{F3F7DCF1-ADE1-423E-9A26-0246B890F417}"/>
    <hyperlink ref="B138" r:id="rId136" display="https://amp.vexpenses.com/settings/membros-de-equipe/927175" xr:uid="{469D5ADF-BCF5-4845-A9C6-0E389CEF0544}"/>
    <hyperlink ref="B139" r:id="rId137" display="https://amp.vexpenses.com/settings/membros-de-equipe/896063" xr:uid="{546E793D-D671-496F-9478-0C600A2D9961}"/>
    <hyperlink ref="B140" r:id="rId138" display="https://amp.vexpenses.com/settings/membros-de-equipe/896064" xr:uid="{64C9A312-D1E9-4CAD-BBD5-9EB58E8D98DB}"/>
    <hyperlink ref="B141" r:id="rId139" display="https://amp.vexpenses.com/settings/membros-de-equipe/920852" xr:uid="{1A6A52FC-FDDD-4A17-83C7-B5B5FFB4E13E}"/>
    <hyperlink ref="B142" r:id="rId140" display="https://amp.vexpenses.com/settings/membros-de-equipe/896065" xr:uid="{91CAF00D-26F3-44BF-A9EB-D538B67D41F9}"/>
    <hyperlink ref="B143" r:id="rId141" display="https://amp.vexpenses.com/settings/membros-de-equipe/896066" xr:uid="{56895E72-4790-4D7E-9051-5E7B7315D555}"/>
    <hyperlink ref="B144" r:id="rId142" display="https://amp.vexpenses.com/settings/membros-de-equipe/896067" xr:uid="{68182E71-EF49-4768-A20D-306A3D25F51C}"/>
    <hyperlink ref="B145" r:id="rId143" display="https://amp.vexpenses.com/settings/membros-de-equipe/896068" xr:uid="{2597A14A-6AD6-420B-B0DD-BBC34284E09E}"/>
    <hyperlink ref="B146" r:id="rId144" display="https://amp.vexpenses.com/settings/membros-de-equipe/896069" xr:uid="{6A9C356E-75EE-4D65-A48C-3D4EDAADABEB}"/>
    <hyperlink ref="B147" r:id="rId145" display="https://amp.vexpenses.com/settings/membros-de-equipe/930406" xr:uid="{E438F74F-F806-4F6B-9E26-1E9CB78EA2C5}"/>
    <hyperlink ref="B148" r:id="rId146" display="https://amp.vexpenses.com/settings/membros-de-equipe/896070" xr:uid="{E2CB9ADF-458B-4490-862C-64D04FE2922F}"/>
    <hyperlink ref="B149" r:id="rId147" display="https://amp.vexpenses.com/settings/membros-de-equipe/896071" xr:uid="{46751E9A-0AE6-42FA-8C29-F61A6D326EB8}"/>
    <hyperlink ref="B150" r:id="rId148" display="https://amp.vexpenses.com/settings/membros-de-equipe/896072" xr:uid="{A28B22AC-1140-4AE7-BD00-38E05A6A8006}"/>
    <hyperlink ref="B151" r:id="rId149" display="https://amp.vexpenses.com/settings/membros-de-equipe/896073" xr:uid="{A9EBCC50-F293-4765-AE31-2985F43105DD}"/>
    <hyperlink ref="B152" r:id="rId150" display="https://amp.vexpenses.com/settings/membros-de-equipe/896074" xr:uid="{DA5217EA-3BDC-4E2D-9134-37AFBBB337ED}"/>
    <hyperlink ref="B153" r:id="rId151" display="https://amp.vexpenses.com/settings/membros-de-equipe/896075" xr:uid="{2CE2D6D2-E3DC-4DAB-9449-7959976094B3}"/>
    <hyperlink ref="B154" r:id="rId152" display="https://amp.vexpenses.com/settings/membros-de-equipe/915374" xr:uid="{A69F8E72-F10E-4612-826E-AFD113B2FFEB}"/>
    <hyperlink ref="B155" r:id="rId153" display="https://amp.vexpenses.com/settings/membros-de-equipe/896076" xr:uid="{D1254186-26F4-4BB7-A4FF-FB80A65B0CC7}"/>
    <hyperlink ref="B156" r:id="rId154" display="https://amp.vexpenses.com/settings/membros-de-equipe/920845" xr:uid="{C3E2AB14-3213-482C-829F-66FE3D0B853D}"/>
    <hyperlink ref="B157" r:id="rId155" display="https://amp.vexpenses.com/settings/membros-de-equipe/896077" xr:uid="{6592C684-DF9E-4085-A7DF-24FA41E18B50}"/>
    <hyperlink ref="B158" r:id="rId156" display="https://amp.vexpenses.com/settings/membros-de-equipe/946535" xr:uid="{5B8369FA-CB7F-4062-A60C-AF4A99275205}"/>
    <hyperlink ref="B159" r:id="rId157" display="https://amp.vexpenses.com/settings/membros-de-equipe/896079" xr:uid="{9009BF04-B0CC-46BC-9A0E-4059F3B2666B}"/>
    <hyperlink ref="B160" r:id="rId158" display="https://amp.vexpenses.com/settings/membros-de-equipe/922738" xr:uid="{C31194A0-8709-4AD3-98B9-0FFC463792E0}"/>
    <hyperlink ref="B161" r:id="rId159" display="https://amp.vexpenses.com/settings/membros-de-equipe/896080" xr:uid="{B157E4FD-9DD7-4C21-9BC2-4FAD19BC0978}"/>
    <hyperlink ref="B162" r:id="rId160" display="https://amp.vexpenses.com/settings/membros-de-equipe/961468" xr:uid="{695F1A8D-50D7-42B0-B199-BA3EF466A96A}"/>
    <hyperlink ref="B163" r:id="rId161" display="https://amp.vexpenses.com/settings/membros-de-equipe/896081" xr:uid="{7B28A6F9-CB17-48D0-B3A9-7DC844F2099F}"/>
    <hyperlink ref="B164" r:id="rId162" display="https://amp.vexpenses.com/settings/membros-de-equipe/920872" xr:uid="{6F11AD04-951E-438C-8FD8-85127A40C660}"/>
    <hyperlink ref="B165" r:id="rId163" display="https://amp.vexpenses.com/settings/membros-de-equipe/896082" xr:uid="{E9A8C371-2FBF-4163-A52F-2670E228AE3D}"/>
    <hyperlink ref="B166" r:id="rId164" display="https://amp.vexpenses.com/settings/membros-de-equipe/896083" xr:uid="{738C26CB-0FB2-4F58-91DD-11DEC49DEDC4}"/>
    <hyperlink ref="B167" r:id="rId165" display="https://amp.vexpenses.com/settings/membros-de-equipe/930420" xr:uid="{CECDD103-951D-4064-A95C-28BB6AD6585F}"/>
    <hyperlink ref="B168" r:id="rId166" display="https://amp.vexpenses.com/settings/membros-de-equipe/896084" xr:uid="{CD958EFB-79E2-4C92-805F-62619D222020}"/>
    <hyperlink ref="B169" r:id="rId167" display="https://amp.vexpenses.com/settings/membros-de-equipe/896085" xr:uid="{B6BBCDC1-2C8E-46A9-B8E8-EB92AA6D1E5C}"/>
    <hyperlink ref="B170" r:id="rId168" display="https://amp.vexpenses.com/settings/membros-de-equipe/896086" xr:uid="{D18B6291-1D31-4642-BC44-A06B0EB242C8}"/>
    <hyperlink ref="B171" r:id="rId169" display="https://amp.vexpenses.com/settings/membros-de-equipe/946138" xr:uid="{23F9821A-0EA0-4712-8390-D9BA57D7CC80}"/>
    <hyperlink ref="B172" r:id="rId170" display="https://amp.vexpenses.com/settings/membros-de-equipe/896087" xr:uid="{35166969-D1BD-47B7-91B6-0957B771F0E7}"/>
    <hyperlink ref="B173" r:id="rId171" display="https://amp.vexpenses.com/settings/membros-de-equipe/896088" xr:uid="{1E5EF522-79E7-4E3F-9A47-BBBE4129CB16}"/>
    <hyperlink ref="B174" r:id="rId172" display="https://amp.vexpenses.com/settings/membros-de-equipe/896089" xr:uid="{0F6E6D7D-2A0E-4D0B-8A51-16009CF52FD6}"/>
    <hyperlink ref="B175" r:id="rId173" display="https://amp.vexpenses.com/settings/membros-de-equipe/896090" xr:uid="{DA8D242E-72AA-4954-8553-04732B0E1159}"/>
    <hyperlink ref="B176" r:id="rId174" display="https://amp.vexpenses.com/settings/membros-de-equipe/896420" xr:uid="{8030D30A-3B26-4297-AFAC-4768384383E6}"/>
    <hyperlink ref="B177" r:id="rId175" display="https://amp.vexpenses.com/settings/membros-de-equipe/944251" xr:uid="{219C4934-70C8-4EE0-AC98-2A71D5012BEA}"/>
    <hyperlink ref="B178" r:id="rId176" display="https://amp.vexpenses.com/settings/membros-de-equipe/917078" xr:uid="{C92DF68A-4483-48AB-B263-E2AAA0BE2458}"/>
    <hyperlink ref="B179" r:id="rId177" display="https://amp.vexpenses.com/settings/membros-de-equipe/896091" xr:uid="{59DCE334-F28E-42CE-B7B8-BE32070FF464}"/>
    <hyperlink ref="B180" r:id="rId178" display="https://amp.vexpenses.com/settings/membros-de-equipe/896092" xr:uid="{879A4FF7-B26B-4E7B-9F4F-D0FE9502964A}"/>
    <hyperlink ref="B181" r:id="rId179" display="https://amp.vexpenses.com/settings/membros-de-equipe/896093" xr:uid="{F6289CB0-701D-4C40-8457-9E8739D1D700}"/>
    <hyperlink ref="B182" r:id="rId180" display="https://amp.vexpenses.com/settings/membros-de-equipe/896094" xr:uid="{6820FFBF-685C-480C-A2D3-D29D30B7C829}"/>
    <hyperlink ref="B183" r:id="rId181" display="https://amp.vexpenses.com/settings/membros-de-equipe/896095" xr:uid="{219B96CD-34FB-422C-B514-C0C2B39ED990}"/>
    <hyperlink ref="B184" r:id="rId182" display="https://amp.vexpenses.com/settings/membros-de-equipe/896096" xr:uid="{9B85E3EF-69F2-4DC9-8023-752732A3D7C7}"/>
    <hyperlink ref="B185" r:id="rId183" display="https://amp.vexpenses.com/settings/membros-de-equipe/940437" xr:uid="{6B2E1846-CF94-4ABF-A943-D047D7FA91D8}"/>
    <hyperlink ref="B186" r:id="rId184" display="https://amp.vexpenses.com/settings/membros-de-equipe/896099" xr:uid="{F8A28A4C-D9D9-4083-9D32-1C269155B405}"/>
    <hyperlink ref="B187" r:id="rId185" display="https://amp.vexpenses.com/settings/membros-de-equipe/896101" xr:uid="{33991F68-68CB-4AD7-BAD4-0FC6742603D2}"/>
    <hyperlink ref="B188" r:id="rId186" display="https://amp.vexpenses.com/settings/membros-de-equipe/961342" xr:uid="{B14E1E2C-C567-4DCE-B808-42881648D7F7}"/>
    <hyperlink ref="B189" r:id="rId187" display="https://amp.vexpenses.com/settings/membros-de-equipe/896102" xr:uid="{622CAD2B-A4BE-42F9-B9A5-A8ADF0FBAC25}"/>
    <hyperlink ref="B190" r:id="rId188" display="https://amp.vexpenses.com/settings/membros-de-equipe/896103" xr:uid="{C2866EB7-9E13-4414-8E8E-C06761C8ED87}"/>
    <hyperlink ref="B191" r:id="rId189" display="https://amp.vexpenses.com/settings/membros-de-equipe/896104" xr:uid="{225B45F6-8762-4B79-8070-21402FA32E6A}"/>
    <hyperlink ref="B192" r:id="rId190" display="https://amp.vexpenses.com/settings/membros-de-equipe/896105" xr:uid="{9A6A908E-CF56-4F58-BB6B-BB6183497DCD}"/>
    <hyperlink ref="B193" r:id="rId191" display="https://amp.vexpenses.com/settings/membros-de-equipe/896106" xr:uid="{C4A60235-5718-4057-BF22-781EA0ECD37B}"/>
    <hyperlink ref="B194" r:id="rId192" display="https://amp.vexpenses.com/settings/membros-de-equipe/896107" xr:uid="{75D0A91D-F9E3-405D-B271-8B814899F510}"/>
    <hyperlink ref="B195" r:id="rId193" display="https://amp.vexpenses.com/settings/membros-de-equipe/917075" xr:uid="{BB70E620-020A-4EA3-8B6A-4D94AB892D3C}"/>
    <hyperlink ref="B196" r:id="rId194" display="https://amp.vexpenses.com/settings/membros-de-equipe/896109" xr:uid="{4C773D96-C4A3-4756-80BB-6A226A63B7E1}"/>
    <hyperlink ref="B197" r:id="rId195" display="https://amp.vexpenses.com/settings/membros-de-equipe/917058" xr:uid="{FF6A070D-69D2-4149-8810-E84121CDB3C3}"/>
    <hyperlink ref="B198" r:id="rId196" display="https://amp.vexpenses.com/settings/membros-de-equipe/896111" xr:uid="{CBE942EE-2576-4E46-B442-073841285C8E}"/>
    <hyperlink ref="B199" r:id="rId197" display="https://amp.vexpenses.com/settings/membros-de-equipe/927567" xr:uid="{7AD3B3B7-F808-4FBF-A428-D2E2573303BC}"/>
    <hyperlink ref="B200" r:id="rId198" display="https://amp.vexpenses.com/settings/membros-de-equipe/896112" xr:uid="{A5527775-62FC-42D2-9DC0-1531B72C34B3}"/>
    <hyperlink ref="B201" r:id="rId199" display="https://amp.vexpenses.com/settings/membros-de-equipe/896113" xr:uid="{102D7A17-7517-4683-9A00-D66C5171B807}"/>
    <hyperlink ref="B202" r:id="rId200" display="https://amp.vexpenses.com/settings/membros-de-equipe/930400" xr:uid="{688C3534-A790-4E77-9119-A1C677C53F07}"/>
    <hyperlink ref="B203" r:id="rId201" display="https://amp.vexpenses.com/settings/membros-de-equipe/896115" xr:uid="{5B0479BA-F44F-4373-8F2E-6D926EB5DD0C}"/>
    <hyperlink ref="B204" r:id="rId202" display="https://amp.vexpenses.com/settings/membros-de-equipe/896116" xr:uid="{F2EFBAE7-0F8A-4E3A-99DA-FB06416927B4}"/>
    <hyperlink ref="B205" r:id="rId203" display="https://amp.vexpenses.com/settings/membros-de-equipe/896117" xr:uid="{7B3A2A31-B477-4FE9-B7B5-00BFD012EC7F}"/>
    <hyperlink ref="B206" r:id="rId204" display="https://amp.vexpenses.com/settings/membros-de-equipe/896421" xr:uid="{857709C8-43A5-434D-BF75-B089A1D5F088}"/>
    <hyperlink ref="B207" r:id="rId205" display="https://amp.vexpenses.com/settings/membros-de-equipe/896118" xr:uid="{FBBBE0B5-95EE-4D91-801B-14B1ABC88FDB}"/>
    <hyperlink ref="B208" r:id="rId206" display="https://amp.vexpenses.com/settings/membros-de-equipe/896119" xr:uid="{96DEC703-F339-4C3A-B869-F5C902A7EE61}"/>
    <hyperlink ref="B209" r:id="rId207" display="https://amp.vexpenses.com/settings/membros-de-equipe/929756" xr:uid="{C569B8E1-C28C-40C6-A469-76AC8D36DB5A}"/>
    <hyperlink ref="B210" r:id="rId208" display="https://amp.vexpenses.com/settings/membros-de-equipe/896120" xr:uid="{1BB44CF4-DEFC-4417-B259-98C315815ACC}"/>
    <hyperlink ref="B211" r:id="rId209" display="https://amp.vexpenses.com/settings/membros-de-equipe/896121" xr:uid="{A3FA0DED-C98B-44DF-9D06-9CD3F6ED66F7}"/>
    <hyperlink ref="B212" r:id="rId210" display="https://amp.vexpenses.com/settings/membros-de-equipe/916905" xr:uid="{65EA538F-DEE1-4793-B65A-F2928662B29B}"/>
    <hyperlink ref="B213" r:id="rId211" display="https://amp.vexpenses.com/settings/membros-de-equipe/896122" xr:uid="{6B2BAC90-2D87-4935-B2FC-143E2CD0910E}"/>
    <hyperlink ref="B214" r:id="rId212" display="https://amp.vexpenses.com/settings/membros-de-equipe/929761" xr:uid="{D802F772-DB5A-4DA2-AE44-06EDFD568C5B}"/>
    <hyperlink ref="B215" r:id="rId213" display="https://amp.vexpenses.com/settings/membros-de-equipe/951179" xr:uid="{5005AB2E-499B-437E-9264-EDFE3AD1051F}"/>
    <hyperlink ref="B216" r:id="rId214" display="https://amp.vexpenses.com/settings/membros-de-equipe/896123" xr:uid="{D148D0BF-73D5-42A6-82C8-8A2795ED7D79}"/>
    <hyperlink ref="B217" r:id="rId215" display="https://amp.vexpenses.com/settings/membros-de-equipe/896124" xr:uid="{9E5D61D5-9E05-4E2A-978F-016E23E1A233}"/>
    <hyperlink ref="B218" r:id="rId216" display="https://amp.vexpenses.com/settings/membros-de-equipe/896125" xr:uid="{91912F34-B44B-4BDB-B255-739CB35D084F}"/>
    <hyperlink ref="B219" r:id="rId217" display="https://amp.vexpenses.com/settings/membros-de-equipe/916374" xr:uid="{69A3AA98-63FF-4913-8EB2-4501FE78E223}"/>
    <hyperlink ref="B220" r:id="rId218" display="https://amp.vexpenses.com/settings/membros-de-equipe/896127" xr:uid="{BDFE5982-2B6D-4F6B-97AC-EECB8776E71C}"/>
    <hyperlink ref="B221" r:id="rId219" display="https://amp.vexpenses.com/settings/membros-de-equipe/896128" xr:uid="{A751D521-9D19-4204-BA13-6694EAE62A0D}"/>
    <hyperlink ref="B222" r:id="rId220" display="https://amp.vexpenses.com/settings/membros-de-equipe/896129" xr:uid="{F262708D-AD6F-444A-82C0-6629A5E716F2}"/>
    <hyperlink ref="B223" r:id="rId221" display="https://amp.vexpenses.com/settings/membros-de-equipe/896131" xr:uid="{DE7E9E51-04DB-46FD-A610-1F85C76B330E}"/>
    <hyperlink ref="B224" r:id="rId222" display="https://amp.vexpenses.com/settings/membros-de-equipe/896132" xr:uid="{2897A086-2E73-4203-A1CB-75C9863ADE14}"/>
    <hyperlink ref="B225" r:id="rId223" display="https://amp.vexpenses.com/settings/membros-de-equipe/917353" xr:uid="{F5F35524-3C2E-4439-8AD8-1B56BEB254DD}"/>
    <hyperlink ref="B226" r:id="rId224" display="https://amp.vexpenses.com/settings/membros-de-equipe/896133" xr:uid="{EA8E2FDB-68F8-44BE-BAAD-25532DE4FE34}"/>
    <hyperlink ref="B227" r:id="rId225" display="https://amp.vexpenses.com/settings/membros-de-equipe/922784" xr:uid="{9AD16A68-301D-43B5-8CC2-096583EC92C0}"/>
    <hyperlink ref="B228" r:id="rId226" display="https://amp.vexpenses.com/settings/membros-de-equipe/916921" xr:uid="{2EA3E104-3285-4408-964B-76D9226B1AB4}"/>
    <hyperlink ref="B229" r:id="rId227" display="https://amp.vexpenses.com/settings/membros-de-equipe/896135" xr:uid="{C386C262-4A4B-4650-B44A-A46390F483AC}"/>
    <hyperlink ref="B230" r:id="rId228" display="https://amp.vexpenses.com/settings/membros-de-equipe/896136" xr:uid="{48C4C9BF-6E12-4344-9DCE-EB298E0C3C0B}"/>
    <hyperlink ref="B231" r:id="rId229" display="https://amp.vexpenses.com/settings/membros-de-equipe/896137" xr:uid="{FFE665B5-F456-4250-AD5A-666B9BF6973E}"/>
    <hyperlink ref="B232" r:id="rId230" display="https://amp.vexpenses.com/settings/membros-de-equipe/954733" xr:uid="{A01A62DB-EC38-4C70-899F-FD41327D9F13}"/>
    <hyperlink ref="B233" r:id="rId231" display="https://amp.vexpenses.com/settings/membros-de-equipe/896138" xr:uid="{7199E8BA-8E00-4B26-8E02-4650388610B8}"/>
    <hyperlink ref="B234" r:id="rId232" display="https://amp.vexpenses.com/settings/membros-de-equipe/896140" xr:uid="{8865AE37-3813-43A7-BFDE-2834F91E56E0}"/>
    <hyperlink ref="B235" r:id="rId233" display="https://amp.vexpenses.com/settings/membros-de-equipe/896141" xr:uid="{76A1AD70-6786-4078-A06D-B32CDF422382}"/>
    <hyperlink ref="B236" r:id="rId234" display="https://amp.vexpenses.com/settings/membros-de-equipe/896142" xr:uid="{4B39AA3F-26FA-4B43-B1E1-F562E5DF2D67}"/>
    <hyperlink ref="B237" r:id="rId235" display="https://amp.vexpenses.com/settings/membros-de-equipe/896143" xr:uid="{A8B180D4-44F2-4824-8601-B7A6B0E1C058}"/>
    <hyperlink ref="B238" r:id="rId236" display="https://amp.vexpenses.com/settings/membros-de-equipe/923893" xr:uid="{B80F397C-34A1-41D4-899C-C2ABBD7AFC36}"/>
    <hyperlink ref="B239" r:id="rId237" display="https://amp.vexpenses.com/settings/membros-de-equipe/896144" xr:uid="{CD57C911-6B82-403F-8633-176915453062}"/>
    <hyperlink ref="B240" r:id="rId238" display="https://amp.vexpenses.com/settings/membros-de-equipe/896145" xr:uid="{DE528A84-7AA7-4052-8540-87C407214936}"/>
    <hyperlink ref="B241" r:id="rId239" display="https://amp.vexpenses.com/settings/membros-de-equipe/958951" xr:uid="{7331684B-32EB-4188-95BF-DD13E0A7C46E}"/>
    <hyperlink ref="B242" r:id="rId240" display="https://amp.vexpenses.com/settings/membros-de-equipe/896147" xr:uid="{C5606316-F491-454B-8D36-1DDEBBB529EE}"/>
    <hyperlink ref="B243" r:id="rId241" display="https://amp.vexpenses.com/settings/membros-de-equipe/896148" xr:uid="{FD2A1D9B-F550-4DFB-9B56-EB793D71864B}"/>
    <hyperlink ref="B244" r:id="rId242" display="https://amp.vexpenses.com/settings/membros-de-equipe/896149" xr:uid="{8DCE00EF-97A7-494D-80B6-82897B26128A}"/>
    <hyperlink ref="B245" r:id="rId243" display="https://amp.vexpenses.com/settings/membros-de-equipe/896150" xr:uid="{47FED0D5-1D21-4524-84F2-25AA010389C9}"/>
    <hyperlink ref="B246" r:id="rId244" display="https://amp.vexpenses.com/settings/membros-de-equipe/923651" xr:uid="{A912DA4C-7AF7-49DE-A9C4-C9357931681C}"/>
    <hyperlink ref="B247" r:id="rId245" display="https://amp.vexpenses.com/settings/membros-de-equipe/896151" xr:uid="{1FFD0757-728A-41A7-893B-9FB0F11D0281}"/>
    <hyperlink ref="B248" r:id="rId246" display="https://amp.vexpenses.com/settings/membros-de-equipe/896152" xr:uid="{8DECEA05-CA01-4D9A-96AE-59701C916773}"/>
    <hyperlink ref="B249" r:id="rId247" display="https://amp.vexpenses.com/settings/membros-de-equipe/896153" xr:uid="{94DE802A-FA80-4F75-9026-A71CCBF0B05C}"/>
    <hyperlink ref="B250" r:id="rId248" display="https://amp.vexpenses.com/settings/membros-de-equipe/896154" xr:uid="{F0D02223-7DD5-4C82-820C-23742483DF57}"/>
    <hyperlink ref="B251" r:id="rId249" display="https://amp.vexpenses.com/settings/membros-de-equipe/896156" xr:uid="{0EE7574A-E5AE-4C91-A7DC-B7DF11B876EB}"/>
    <hyperlink ref="B252" r:id="rId250" display="https://amp.vexpenses.com/settings/membros-de-equipe/896157" xr:uid="{8D47CFD8-557B-453E-9169-DDA7B894717F}"/>
    <hyperlink ref="B253" r:id="rId251" display="https://amp.vexpenses.com/settings/membros-de-equipe/896158" xr:uid="{7B705B0F-797A-4B7D-A5E4-B731EAE5BA9D}"/>
    <hyperlink ref="B254" r:id="rId252" display="https://amp.vexpenses.com/settings/membros-de-equipe/931414" xr:uid="{F55AFA85-4A7F-4B4D-8FF6-E69AF3CE7AC9}"/>
    <hyperlink ref="B255" r:id="rId253" display="https://amp.vexpenses.com/settings/membros-de-equipe/896159" xr:uid="{C066CEF6-C121-43C4-986F-478A448E5457}"/>
    <hyperlink ref="B256" r:id="rId254" display="https://amp.vexpenses.com/settings/membros-de-equipe/930413" xr:uid="{BA595143-42BC-4BCF-A3BF-3470725E6B7D}"/>
    <hyperlink ref="B257" r:id="rId255" display="https://amp.vexpenses.com/settings/membros-de-equipe/896161" xr:uid="{2F2D87F7-1F31-4434-A158-9D591CDA7E38}"/>
    <hyperlink ref="B258" r:id="rId256" display="https://amp.vexpenses.com/settings/membros-de-equipe/896162" xr:uid="{2104431F-662D-4009-9FAE-19B8468EA558}"/>
    <hyperlink ref="B259" r:id="rId257" display="https://amp.vexpenses.com/settings/membros-de-equipe/896163" xr:uid="{D0D0F60C-95F3-4A86-913E-56A09FD8DE1E}"/>
    <hyperlink ref="B260" r:id="rId258" display="https://amp.vexpenses.com/settings/membros-de-equipe/916884" xr:uid="{0504DF7F-5B35-4B0B-8D61-9414DCA42544}"/>
    <hyperlink ref="B261" r:id="rId259" display="https://amp.vexpenses.com/settings/membros-de-equipe/896164" xr:uid="{19111EBB-9759-4ECC-A470-DC1BCCCBFCC6}"/>
    <hyperlink ref="B262" r:id="rId260" display="https://amp.vexpenses.com/settings/membros-de-equipe/896165" xr:uid="{15243490-AF82-45A7-8FED-B7DC48DAD635}"/>
    <hyperlink ref="B263" r:id="rId261" display="https://amp.vexpenses.com/settings/membros-de-equipe/896166" xr:uid="{6916D1E9-F177-4284-A3FC-484C2C2741F9}"/>
    <hyperlink ref="B264" r:id="rId262" display="https://amp.vexpenses.com/settings/membros-de-equipe/921956" xr:uid="{11E15CAB-BC82-467B-994F-3C94D884FDC9}"/>
    <hyperlink ref="B265" r:id="rId263" display="https://amp.vexpenses.com/settings/membros-de-equipe/896168" xr:uid="{4743B53D-33DD-4F78-8195-0DE3A95114A2}"/>
    <hyperlink ref="B266" r:id="rId264" display="https://amp.vexpenses.com/settings/membros-de-equipe/896170" xr:uid="{73E8823B-57A1-45CA-9295-3C1FA6C1DF11}"/>
    <hyperlink ref="B267" r:id="rId265" display="https://amp.vexpenses.com/settings/membros-de-equipe/896171" xr:uid="{34EE65A5-288B-4639-B9A5-B1FC1E26D084}"/>
    <hyperlink ref="B268" r:id="rId266" display="https://amp.vexpenses.com/settings/membros-de-equipe/896172" xr:uid="{335A5022-F763-425E-8E90-C4808F61D3A4}"/>
    <hyperlink ref="B269" r:id="rId267" display="https://amp.vexpenses.com/settings/membros-de-equipe/896173" xr:uid="{CDBC6D1A-B817-4770-AE32-52555E5A8C82}"/>
    <hyperlink ref="B270" r:id="rId268" display="https://amp.vexpenses.com/settings/membros-de-equipe/896174" xr:uid="{F82ED6E6-CB14-4B48-B14A-F0EF033C8426}"/>
    <hyperlink ref="B271" r:id="rId269" display="https://amp.vexpenses.com/settings/membros-de-equipe/957803" xr:uid="{6373CFCD-DE0A-4782-80E7-0F1655FF5729}"/>
    <hyperlink ref="B272" r:id="rId270" display="https://amp.vexpenses.com/settings/membros-de-equipe/916893" xr:uid="{027FAEB7-2518-44E0-8974-AF03E7E1BD32}"/>
    <hyperlink ref="B273" r:id="rId271" display="https://amp.vexpenses.com/settings/membros-de-equipe/896175" xr:uid="{203DBFB3-1D38-41F6-93CD-8D3374720EA8}"/>
    <hyperlink ref="B274" r:id="rId272" display="https://amp.vexpenses.com/settings/membros-de-equipe/896176" xr:uid="{965011AF-2700-4B8D-BF8F-9D750D2DDB59}"/>
    <hyperlink ref="B275" r:id="rId273" display="https://amp.vexpenses.com/settings/membros-de-equipe/896177" xr:uid="{A4105E29-1EDE-4698-B5CD-132AEAF82C3D}"/>
    <hyperlink ref="B276" r:id="rId274" display="https://amp.vexpenses.com/settings/membros-de-equipe/896178" xr:uid="{1B2171DC-065B-458A-8928-DF289BD12111}"/>
    <hyperlink ref="B277" r:id="rId275" display="https://amp.vexpenses.com/settings/membros-de-equipe/896179" xr:uid="{B02DCCE9-DF81-41AB-9E75-4EEB0DF39E24}"/>
    <hyperlink ref="B278" r:id="rId276" display="https://amp.vexpenses.com/settings/membros-de-equipe/896180" xr:uid="{4A28F1F5-083E-461D-98EF-1CFE343219D6}"/>
    <hyperlink ref="B279" r:id="rId277" display="https://amp.vexpenses.com/settings/membros-de-equipe/896181" xr:uid="{276364D7-B4F4-4FDD-BD75-9AEA0E6B70DC}"/>
    <hyperlink ref="B280" r:id="rId278" display="https://amp.vexpenses.com/settings/membros-de-equipe/896183" xr:uid="{CCE087DA-0CE9-496A-9600-D8713D7FF994}"/>
    <hyperlink ref="B281" r:id="rId279" display="https://amp.vexpenses.com/settings/membros-de-equipe/896184" xr:uid="{1725E33B-B998-4699-B031-C5D134F7D52B}"/>
    <hyperlink ref="B282" r:id="rId280" display="https://amp.vexpenses.com/settings/membros-de-equipe/921535" xr:uid="{4275A5A7-A322-4F3F-AFAE-3B28C70C0953}"/>
    <hyperlink ref="B283" r:id="rId281" display="https://amp.vexpenses.com/settings/membros-de-equipe/896185" xr:uid="{F06C7322-37F6-4FA4-A63D-EFEBA06EAFEF}"/>
    <hyperlink ref="B284" r:id="rId282" display="https://amp.vexpenses.com/settings/membros-de-equipe/896186" xr:uid="{A4766BD3-6BC8-455D-A51B-E2F957EA2E36}"/>
    <hyperlink ref="B285" r:id="rId283" display="https://amp.vexpenses.com/settings/membros-de-equipe/896188" xr:uid="{C6CF86A9-7DBE-42B0-8DCD-ECA411B754CD}"/>
    <hyperlink ref="B286" r:id="rId284" display="https://amp.vexpenses.com/settings/membros-de-equipe/896189" xr:uid="{FA6D24A1-0B80-4F02-B252-B0C18F4AB134}"/>
    <hyperlink ref="B287" r:id="rId285" display="https://amp.vexpenses.com/settings/membros-de-equipe/958523" xr:uid="{27D61771-B532-434A-AD0D-801B99B5FB89}"/>
    <hyperlink ref="B288" r:id="rId286" display="https://amp.vexpenses.com/settings/membros-de-equipe/896191" xr:uid="{753C903E-5BF0-44AB-9A85-28C167B98BBD}"/>
    <hyperlink ref="B289" r:id="rId287" display="https://amp.vexpenses.com/settings/membros-de-equipe/896192" xr:uid="{C3250E2B-A9CD-4FF7-A3E4-1A40CF28945F}"/>
    <hyperlink ref="B290" r:id="rId288" display="https://amp.vexpenses.com/settings/membros-de-equipe/896193" xr:uid="{61A1AED2-3584-4FE7-AC0E-7CFCA84E7805}"/>
    <hyperlink ref="B291" r:id="rId289" display="https://amp.vexpenses.com/settings/membros-de-equipe/896195" xr:uid="{A367091E-E265-4606-9D6B-7F02E697A0BC}"/>
    <hyperlink ref="B292" r:id="rId290" display="https://amp.vexpenses.com/settings/membros-de-equipe/896196" xr:uid="{5F312F74-4244-4261-821D-1DCFE8E74F46}"/>
    <hyperlink ref="B293" r:id="rId291" display="https://amp.vexpenses.com/settings/membros-de-equipe/896197" xr:uid="{E0BD80B2-E84A-45CA-9320-5C5A7391126E}"/>
    <hyperlink ref="B294" r:id="rId292" display="https://amp.vexpenses.com/settings/membros-de-equipe/896198" xr:uid="{84586754-E049-43E4-8F82-DEBC2741E667}"/>
    <hyperlink ref="B295" r:id="rId293" display="https://amp.vexpenses.com/settings/membros-de-equipe/896199" xr:uid="{403E82E3-F6D8-4E59-A820-99693166CC53}"/>
    <hyperlink ref="B296" r:id="rId294" display="https://amp.vexpenses.com/settings/membros-de-equipe/896200" xr:uid="{3DDE6892-7ED6-403B-B213-090637839A3A}"/>
    <hyperlink ref="B297" r:id="rId295" display="https://amp.vexpenses.com/settings/membros-de-equipe/896201" xr:uid="{65831D6E-7E53-416F-8526-4338DB53F30F}"/>
    <hyperlink ref="B298" r:id="rId296" display="https://amp.vexpenses.com/settings/membros-de-equipe/896202" xr:uid="{EDDDB0D3-F8FA-487E-8335-263ED88BA273}"/>
    <hyperlink ref="B299" r:id="rId297" display="https://amp.vexpenses.com/settings/membros-de-equipe/896203" xr:uid="{CF65C1E9-16DD-4F5D-AC7D-17BFD6B6C0B2}"/>
    <hyperlink ref="B300" r:id="rId298" display="https://amp.vexpenses.com/settings/membros-de-equipe/896204" xr:uid="{FF81633D-A120-430B-AF38-6D349F5ABC25}"/>
    <hyperlink ref="B301" r:id="rId299" display="https://amp.vexpenses.com/settings/membros-de-equipe/896422" xr:uid="{499E7976-20BF-42D8-960E-C5DD242F9141}"/>
    <hyperlink ref="B302" r:id="rId300" display="https://amp.vexpenses.com/settings/membros-de-equipe/923628" xr:uid="{8BA16223-87CC-4E16-9E8A-EDC210EBA84E}"/>
    <hyperlink ref="B303" r:id="rId301" display="https://amp.vexpenses.com/settings/membros-de-equipe/896205" xr:uid="{699CCBE1-C065-4ECF-99A8-5D12EECEA8BA}"/>
    <hyperlink ref="B304" r:id="rId302" display="https://amp.vexpenses.com/settings/membros-de-equipe/921952" xr:uid="{0D3ED628-A07B-411A-A188-DCCBF84A6AA7}"/>
    <hyperlink ref="B305" r:id="rId303" display="https://amp.vexpenses.com/settings/membros-de-equipe/896206" xr:uid="{FA2C8707-AFB3-4601-BFC5-154DC6EFCC5C}"/>
    <hyperlink ref="B306" r:id="rId304" display="https://amp.vexpenses.com/settings/membros-de-equipe/896207" xr:uid="{725B6563-773C-4B9B-88EB-FEA1741232A7}"/>
    <hyperlink ref="B307" r:id="rId305" display="https://amp.vexpenses.com/settings/membros-de-equipe/916936" xr:uid="{1EFBAEAC-7573-4C34-90B4-EA903784BB36}"/>
    <hyperlink ref="B308" r:id="rId306" display="https://amp.vexpenses.com/settings/membros-de-equipe/896208" xr:uid="{347830D2-B961-426C-B5E2-BF041C2E7375}"/>
    <hyperlink ref="B309" r:id="rId307" display="https://amp.vexpenses.com/settings/membros-de-equipe/896209" xr:uid="{B198076D-26CC-4C8A-8424-18B48E1BF547}"/>
    <hyperlink ref="B310" r:id="rId308" display="https://amp.vexpenses.com/settings/membros-de-equipe/896210" xr:uid="{2D0EF12B-CD2E-4A0F-8F72-3BEE49931677}"/>
    <hyperlink ref="B311" r:id="rId309" display="https://amp.vexpenses.com/settings/membros-de-equipe/896211" xr:uid="{DA97D38A-4C35-4C76-8753-B588028C3F9B}"/>
    <hyperlink ref="B312" r:id="rId310" display="https://amp.vexpenses.com/settings/membros-de-equipe/922276" xr:uid="{DF57ACB5-21D3-4924-9CE0-F75FA310A50F}"/>
    <hyperlink ref="B313" r:id="rId311" display="https://amp.vexpenses.com/settings/membros-de-equipe/896212" xr:uid="{AD81741A-C651-4183-B1FA-E1A70060E7C8}"/>
    <hyperlink ref="B314" r:id="rId312" display="https://amp.vexpenses.com/settings/membros-de-equipe/896213" xr:uid="{412D3AB1-B1BD-4647-A897-DFC2083A82B2}"/>
    <hyperlink ref="B315" r:id="rId313" display="https://amp.vexpenses.com/settings/membros-de-equipe/923302" xr:uid="{450E4997-71F9-40D6-A0A2-9D809A570997}"/>
    <hyperlink ref="B316" r:id="rId314" display="https://amp.vexpenses.com/settings/membros-de-equipe/896214" xr:uid="{4B556D79-1AFA-4F14-8EBE-671DC686A83F}"/>
    <hyperlink ref="B317" r:id="rId315" display="https://amp.vexpenses.com/settings/membros-de-equipe/917049" xr:uid="{8FE07603-EAAE-4D9C-BFCE-9856A1433495}"/>
    <hyperlink ref="B318" r:id="rId316" display="https://amp.vexpenses.com/settings/membros-de-equipe/896215" xr:uid="{E3049DEF-8E49-4410-A5EF-2F354F35BD95}"/>
    <hyperlink ref="B319" r:id="rId317" display="https://amp.vexpenses.com/settings/membros-de-equipe/961469" xr:uid="{FD37F41B-8F00-47F1-8B45-E1B9E03A23A8}"/>
    <hyperlink ref="B320" r:id="rId318" display="https://amp.vexpenses.com/settings/membros-de-equipe/896216" xr:uid="{893E0370-91C7-42FC-A2EA-8EF727ABB780}"/>
    <hyperlink ref="B321" r:id="rId319" display="https://amp.vexpenses.com/settings/membros-de-equipe/896217" xr:uid="{16297472-AE23-4F48-ADEB-3209BA94C9BD}"/>
    <hyperlink ref="B322" r:id="rId320" display="https://amp.vexpenses.com/settings/membros-de-equipe/896218" xr:uid="{350C5F62-004A-4198-B8B6-5DCF3FE24E44}"/>
    <hyperlink ref="B323" r:id="rId321" display="https://amp.vexpenses.com/settings/membros-de-equipe/916906" xr:uid="{0FFDC79D-1197-4EF2-875B-75BA9CA85895}"/>
    <hyperlink ref="B324" r:id="rId322" display="https://amp.vexpenses.com/settings/membros-de-equipe/917357" xr:uid="{F4051A98-D7D7-4624-A081-4949FAE5BC88}"/>
    <hyperlink ref="B325" r:id="rId323" display="https://amp.vexpenses.com/settings/membros-de-equipe/916930" xr:uid="{0BFC5034-0D66-4FAD-90FA-E941FA165A8F}"/>
    <hyperlink ref="B326" r:id="rId324" display="https://amp.vexpenses.com/settings/membros-de-equipe/896219" xr:uid="{ABEFCD88-7386-4DD4-87DF-0113E0E48801}"/>
    <hyperlink ref="B327" r:id="rId325" display="https://amp.vexpenses.com/settings/membros-de-equipe/896220" xr:uid="{04DA5EE9-898C-4982-8D71-CB068FE4D8BE}"/>
    <hyperlink ref="B328" r:id="rId326" display="https://amp.vexpenses.com/settings/membros-de-equipe/891904" xr:uid="{5796AAC6-81AD-4A58-ACB0-4E926C13CB53}"/>
    <hyperlink ref="B329" r:id="rId327" display="https://amp.vexpenses.com/settings/membros-de-equipe/940725" xr:uid="{69EF6A5D-6167-438F-B793-93904A968CD9}"/>
    <hyperlink ref="B330" r:id="rId328" display="https://amp.vexpenses.com/settings/membros-de-equipe/896221" xr:uid="{A598C2B2-1828-417F-B785-A28ADCC6688E}"/>
    <hyperlink ref="B331" r:id="rId329" display="https://amp.vexpenses.com/settings/membros-de-equipe/923895" xr:uid="{A665BD41-D0E5-492D-9AD6-D8483AED9F61}"/>
    <hyperlink ref="B332" r:id="rId330" display="https://amp.vexpenses.com/settings/membros-de-equipe/896222" xr:uid="{3642F890-22A7-48FD-B714-50ACFC88A156}"/>
    <hyperlink ref="B333" r:id="rId331" display="https://amp.vexpenses.com/settings/membros-de-equipe/896423" xr:uid="{B688BE7E-78DE-480F-A5FF-63B92B16016B}"/>
    <hyperlink ref="B334" r:id="rId332" display="https://amp.vexpenses.com/settings/membros-de-equipe/917361" xr:uid="{442096DF-E81C-4391-A2AF-F6EC73CF50E4}"/>
    <hyperlink ref="B335" r:id="rId333" display="https://amp.vexpenses.com/settings/membros-de-equipe/896223" xr:uid="{BA1BB2ED-0866-4D7C-996C-B9F4444468BC}"/>
    <hyperlink ref="B336" r:id="rId334" display="https://amp.vexpenses.com/settings/membros-de-equipe/896224" xr:uid="{CFA4EB04-0C2C-4237-A0FD-409EAC57A536}"/>
    <hyperlink ref="B337" r:id="rId335" display="https://amp.vexpenses.com/settings/membros-de-equipe/896225" xr:uid="{BC2F17CC-F36F-4EE2-9645-3034913F6DC9}"/>
    <hyperlink ref="B338" r:id="rId336" display="https://amp.vexpenses.com/settings/membros-de-equipe/896226" xr:uid="{D7BD949A-9A21-4550-B8B2-8DC04D9FA86B}"/>
    <hyperlink ref="B339" r:id="rId337" display="https://amp.vexpenses.com/settings/membros-de-equipe/925993" xr:uid="{E8C5AAD4-E1B3-4D49-BF67-0BA7A1B95137}"/>
    <hyperlink ref="B340" r:id="rId338" display="https://amp.vexpenses.com/settings/membros-de-equipe/896227" xr:uid="{F8F268DC-1640-418C-83D5-989B4D065159}"/>
    <hyperlink ref="B341" r:id="rId339" display="https://amp.vexpenses.com/settings/membros-de-equipe/896228" xr:uid="{C8AF77B9-C9F0-41D5-91F7-96C4AB546443}"/>
    <hyperlink ref="B342" r:id="rId340" display="https://amp.vexpenses.com/settings/membros-de-equipe/896229" xr:uid="{2061A3C0-D31A-4B08-A6A0-DE8C542A9FDC}"/>
    <hyperlink ref="B343" r:id="rId341" display="https://amp.vexpenses.com/settings/membros-de-equipe/896230" xr:uid="{03B10BBB-32A8-424F-80B8-176FCCC6BDE1}"/>
    <hyperlink ref="B344" r:id="rId342" display="https://amp.vexpenses.com/settings/membros-de-equipe/896231" xr:uid="{8BE24E4C-095B-4639-A480-D7D7FF380C61}"/>
    <hyperlink ref="B345" r:id="rId343" display="https://amp.vexpenses.com/settings/membros-de-equipe/916932" xr:uid="{B7247E05-001D-4C77-ABF3-FD2813E896F1}"/>
    <hyperlink ref="B346" r:id="rId344" display="https://amp.vexpenses.com/settings/membros-de-equipe/896232" xr:uid="{36495A69-AD69-4591-A473-5558CE0A4E19}"/>
    <hyperlink ref="B347" r:id="rId345" display="https://amp.vexpenses.com/settings/membros-de-equipe/896233" xr:uid="{78F69657-E499-4F9C-BDE7-56B7BF8F87CE}"/>
    <hyperlink ref="B348" r:id="rId346" display="https://amp.vexpenses.com/settings/membros-de-equipe/896234" xr:uid="{A9DA4306-37B7-410A-9488-9D280309C76C}"/>
    <hyperlink ref="B349" r:id="rId347" display="https://amp.vexpenses.com/settings/membros-de-equipe/896235" xr:uid="{1CBE3B67-5FE4-483E-845F-F54B5EFAC77B}"/>
    <hyperlink ref="B350" r:id="rId348" display="https://amp.vexpenses.com/settings/membros-de-equipe/896236" xr:uid="{566391E9-B272-45AD-9F64-58A9FEA5A664}"/>
    <hyperlink ref="B351" r:id="rId349" display="https://amp.vexpenses.com/settings/membros-de-equipe/896237" xr:uid="{DD56AEBB-8134-4733-8587-8B1BC28912A9}"/>
    <hyperlink ref="B352" r:id="rId350" display="https://amp.vexpenses.com/settings/membros-de-equipe/916912" xr:uid="{700E9256-ECA4-49C8-954A-76117650AC75}"/>
    <hyperlink ref="B353" r:id="rId351" display="https://amp.vexpenses.com/settings/membros-de-equipe/896238" xr:uid="{C583DED9-A746-4477-AC80-5C3C49E516D5}"/>
    <hyperlink ref="B354" r:id="rId352" display="https://amp.vexpenses.com/settings/membros-de-equipe/896239" xr:uid="{71F89685-219C-4CB2-906F-436D80883531}"/>
    <hyperlink ref="B355" r:id="rId353" display="https://amp.vexpenses.com/settings/membros-de-equipe/896240" xr:uid="{4502400E-296F-445E-B3F2-0F2E1B5D42F9}"/>
    <hyperlink ref="B356" r:id="rId354" display="https://amp.vexpenses.com/settings/membros-de-equipe/896241" xr:uid="{A2D1CAC3-A879-4FAF-AD5B-1E4915DDD522}"/>
    <hyperlink ref="B357" r:id="rId355" display="https://amp.vexpenses.com/settings/membros-de-equipe/896242" xr:uid="{84AB6716-395A-4441-80AB-FA69398C8F1F}"/>
    <hyperlink ref="B358" r:id="rId356" display="https://amp.vexpenses.com/settings/membros-de-equipe/896243" xr:uid="{0EB124A5-5246-4BA8-AF5D-572690165A6A}"/>
    <hyperlink ref="B359" r:id="rId357" display="https://amp.vexpenses.com/settings/membros-de-equipe/933048" xr:uid="{3B063C63-EFB6-401B-BFBE-AF0669786745}"/>
    <hyperlink ref="B360" r:id="rId358" display="https://amp.vexpenses.com/settings/membros-de-equipe/928767" xr:uid="{50D08F64-31E9-418E-8752-E86CCCDE464D}"/>
    <hyperlink ref="B361" r:id="rId359" display="https://amp.vexpenses.com/settings/membros-de-equipe/917057" xr:uid="{DF5EAEDA-87D5-4BD3-B2F7-4E063F680F7F}"/>
    <hyperlink ref="B362" r:id="rId360" display="https://amp.vexpenses.com/settings/membros-de-equipe/917365" xr:uid="{A932203B-469C-4419-B904-82B5EB11D210}"/>
    <hyperlink ref="B363" r:id="rId361" display="https://amp.vexpenses.com/settings/membros-de-equipe/896244" xr:uid="{1AD93847-559F-4371-A235-578C2FF779AB}"/>
    <hyperlink ref="B364" r:id="rId362" display="https://amp.vexpenses.com/settings/membros-de-equipe/935493" xr:uid="{6DBF706A-0FFC-4D8F-B647-54ECF8ECF3EC}"/>
    <hyperlink ref="B365" r:id="rId363" display="https://amp.vexpenses.com/settings/membros-de-equipe/896245" xr:uid="{EBD24167-91AF-4448-88EB-D39F73B774F0}"/>
    <hyperlink ref="B366" r:id="rId364" display="https://amp.vexpenses.com/settings/membros-de-equipe/948926" xr:uid="{76B10AD0-7EB0-4AF4-A879-E232F23C25E5}"/>
    <hyperlink ref="B367" r:id="rId365" display="https://amp.vexpenses.com/settings/membros-de-equipe/929759" xr:uid="{D3C504F6-FAD9-464C-934A-438803AE9DD1}"/>
    <hyperlink ref="B368" r:id="rId366" display="https://amp.vexpenses.com/settings/membros-de-equipe/896246" xr:uid="{47F3FC37-BD85-4279-80D1-1E4FE9E95EED}"/>
    <hyperlink ref="B369" r:id="rId367" display="https://amp.vexpenses.com/settings/membros-de-equipe/896248" xr:uid="{2339080D-A3E6-48AC-BABC-8C3014675DB0}"/>
    <hyperlink ref="B370" r:id="rId368" display="https://amp.vexpenses.com/settings/membros-de-equipe/896249" xr:uid="{32AC0C92-678B-44F6-B5D7-91DA23C407D7}"/>
    <hyperlink ref="B371" r:id="rId369" display="https://amp.vexpenses.com/settings/membros-de-equipe/896250" xr:uid="{68B2B4FD-3DAE-4911-B874-B70AB2E76E93}"/>
    <hyperlink ref="B372" r:id="rId370" display="https://amp.vexpenses.com/settings/membros-de-equipe/913936" xr:uid="{863C3CE5-168E-4830-8355-81B21F3E78F2}"/>
    <hyperlink ref="B373" r:id="rId371" display="https://amp.vexpenses.com/settings/membros-de-equipe/896251" xr:uid="{99F552D9-1A4E-4FA8-A4B4-EA1F7E04D2B0}"/>
    <hyperlink ref="B374" r:id="rId372" display="https://amp.vexpenses.com/settings/membros-de-equipe/896425" xr:uid="{41D203F9-D696-41EE-B922-4A351554EE63}"/>
    <hyperlink ref="B375" r:id="rId373" display="https://amp.vexpenses.com/settings/membros-de-equipe/896252" xr:uid="{43BAE3E8-1D8D-46DD-A9FA-0B5B07C7CA45}"/>
    <hyperlink ref="B376" r:id="rId374" display="https://amp.vexpenses.com/settings/membros-de-equipe/896253" xr:uid="{AD368EF0-8F5C-4CF1-BDD2-8F8946AEC230}"/>
    <hyperlink ref="B377" r:id="rId375" display="https://amp.vexpenses.com/settings/membros-de-equipe/896254" xr:uid="{EA41731E-959F-41DA-B61F-596709E64FB2}"/>
    <hyperlink ref="B378" r:id="rId376" display="https://amp.vexpenses.com/settings/membros-de-equipe/896333" xr:uid="{9B420BE3-6BA4-4F86-BB9D-923A5286CA45}"/>
    <hyperlink ref="B379" r:id="rId377" display="https://amp.vexpenses.com/settings/membros-de-equipe/896255" xr:uid="{9A93677A-498D-42F9-895E-0D6FA5CCE4D1}"/>
    <hyperlink ref="B380" r:id="rId378" display="https://amp.vexpenses.com/settings/membros-de-equipe/896256" xr:uid="{9CCFEA39-29EE-4554-AE3D-539D852EA75D}"/>
    <hyperlink ref="B381" r:id="rId379" display="https://amp.vexpenses.com/settings/membros-de-equipe/896257" xr:uid="{55A81827-7896-4809-AF13-224CC26B2E3D}"/>
    <hyperlink ref="B382" r:id="rId380" display="https://amp.vexpenses.com/settings/membros-de-equipe/896258" xr:uid="{B1C3A8D9-4758-41EE-B708-229D7E776019}"/>
    <hyperlink ref="B383" r:id="rId381" display="https://amp.vexpenses.com/settings/membros-de-equipe/896259" xr:uid="{B8B4F09B-5B65-4E11-974A-E18A489440AB}"/>
    <hyperlink ref="B384" r:id="rId382" display="https://amp.vexpenses.com/settings/membros-de-equipe/946419" xr:uid="{E37A71A4-9367-460F-AFCB-18270C3CD75B}"/>
    <hyperlink ref="B385" r:id="rId383" display="https://amp.vexpenses.com/settings/membros-de-equipe/891980" xr:uid="{8A82F333-6407-43C2-9FE9-C7FB70DF2D94}"/>
    <hyperlink ref="B386" r:id="rId384" display="https://amp.vexpenses.com/settings/membros-de-equipe/896262" xr:uid="{01160631-9224-4F08-BC5C-B8AA4EC907D1}"/>
    <hyperlink ref="B387" r:id="rId385" display="https://amp.vexpenses.com/settings/membros-de-equipe/896264" xr:uid="{0BED106D-3290-4303-AD13-BCE39C46D32E}"/>
    <hyperlink ref="B388" r:id="rId386" display="https://amp.vexpenses.com/settings/membros-de-equipe/896265" xr:uid="{CC0A4E51-6337-44E6-827D-C9138BB63CEF}"/>
    <hyperlink ref="B389" r:id="rId387" display="https://amp.vexpenses.com/settings/membros-de-equipe/896266" xr:uid="{11A16CEB-A7E4-4DB9-8DAB-7E06847964E6}"/>
    <hyperlink ref="B390" r:id="rId388" display="https://amp.vexpenses.com/settings/membros-de-equipe/924050" xr:uid="{F41133E6-DE37-4E65-9737-B6BF9F9F9875}"/>
    <hyperlink ref="B391" r:id="rId389" display="https://amp.vexpenses.com/settings/membros-de-equipe/917363" xr:uid="{CB4D867C-366B-4CDD-B228-4EE363255E5A}"/>
    <hyperlink ref="B392" r:id="rId390" display="https://amp.vexpenses.com/settings/membros-de-equipe/896267" xr:uid="{AE5FC205-BB44-4F96-80AC-6EDA6831BA18}"/>
    <hyperlink ref="B393" r:id="rId391" display="https://amp.vexpenses.com/settings/membros-de-equipe/896269" xr:uid="{2A228790-EA72-484B-9E61-26B95E3CCA2B}"/>
    <hyperlink ref="B394" r:id="rId392" display="https://amp.vexpenses.com/settings/membros-de-equipe/896270" xr:uid="{EF2637A5-0D28-4ABB-B89E-F4FF2E6D5664}"/>
    <hyperlink ref="B395" r:id="rId393" display="https://amp.vexpenses.com/settings/membros-de-equipe/943299" xr:uid="{B110D5C8-D50F-47C3-9951-538BFF3E26F6}"/>
    <hyperlink ref="B396" r:id="rId394" display="https://amp.vexpenses.com/settings/membros-de-equipe/896271" xr:uid="{F2E54DF5-1ACB-4E92-BB97-525081FF9BBD}"/>
    <hyperlink ref="B397" r:id="rId395" display="https://amp.vexpenses.com/settings/membros-de-equipe/896272" xr:uid="{F6B3AF9F-9B21-4B2E-AA6B-1DE20BA37E20}"/>
    <hyperlink ref="B398" r:id="rId396" display="https://amp.vexpenses.com/settings/membros-de-equipe/896273" xr:uid="{805050E5-C15F-4567-AB78-939FAB894A0B}"/>
    <hyperlink ref="B399" r:id="rId397" display="https://amp.vexpenses.com/settings/membros-de-equipe/896274" xr:uid="{8BCDA9D2-CFD4-40F4-8944-3FDD926D534C}"/>
    <hyperlink ref="B400" r:id="rId398" display="https://amp.vexpenses.com/settings/membros-de-equipe/896275" xr:uid="{04EBD418-BF6E-4104-BA45-C32773F3A19D}"/>
    <hyperlink ref="B401" r:id="rId399" display="https://amp.vexpenses.com/settings/membros-de-equipe/896276" xr:uid="{4AFBDBB7-6CC2-43E5-B9BB-E35254986C12}"/>
    <hyperlink ref="B402" r:id="rId400" display="https://amp.vexpenses.com/settings/membros-de-equipe/896277" xr:uid="{B49A8E77-ABFB-4014-BEE5-75C1B3F06DDC}"/>
    <hyperlink ref="B403" r:id="rId401" display="https://amp.vexpenses.com/settings/membros-de-equipe/896278" xr:uid="{4B011E01-9030-4A48-BF39-50E0882198E5}"/>
    <hyperlink ref="B404" r:id="rId402" display="https://amp.vexpenses.com/settings/membros-de-equipe/896279" xr:uid="{412E0B23-1719-4B24-9587-C1792E807A64}"/>
    <hyperlink ref="B405" r:id="rId403" display="https://amp.vexpenses.com/settings/membros-de-equipe/896280" xr:uid="{EF70968B-1F2F-457A-A2C3-0B7A658A1684}"/>
    <hyperlink ref="B406" r:id="rId404" display="https://amp.vexpenses.com/settings/membros-de-equipe/916915" xr:uid="{90B5D09C-84C5-4559-BA7D-04C2007C0B53}"/>
    <hyperlink ref="B407" r:id="rId405" display="https://amp.vexpenses.com/settings/membros-de-equipe/896281" xr:uid="{F3B35F4B-E1DC-4411-8FA3-25B8E21E96F7}"/>
    <hyperlink ref="B408" r:id="rId406" display="https://amp.vexpenses.com/settings/membros-de-equipe/896282" xr:uid="{FA800710-6253-4317-BCE4-F5B7562E97FD}"/>
    <hyperlink ref="B409" r:id="rId407" display="https://amp.vexpenses.com/settings/membros-de-equipe/896283" xr:uid="{9BA0316B-D471-4BA0-8FD0-9B9F4D24528F}"/>
    <hyperlink ref="B410" r:id="rId408" display="https://amp.vexpenses.com/settings/membros-de-equipe/896284" xr:uid="{3A632112-E09F-42C1-9150-A9701481BE49}"/>
    <hyperlink ref="B411" r:id="rId409" display="https://amp.vexpenses.com/settings/membros-de-equipe/896285" xr:uid="{CA4B4A5A-6015-4C24-B3C1-15ABABB3FB79}"/>
    <hyperlink ref="B412" r:id="rId410" display="https://amp.vexpenses.com/settings/membros-de-equipe/896286" xr:uid="{BEE2A61F-653A-47A2-8CA0-2A5FA07849B8}"/>
    <hyperlink ref="B413" r:id="rId411" display="https://amp.vexpenses.com/settings/membros-de-equipe/921927" xr:uid="{9A70CA6D-D544-4D79-9B39-90A16817375F}"/>
    <hyperlink ref="B414" r:id="rId412" display="https://amp.vexpenses.com/settings/membros-de-equipe/896287" xr:uid="{7B4A36D1-5E00-4789-AB08-AF3E279EB638}"/>
    <hyperlink ref="B415" r:id="rId413" display="https://amp.vexpenses.com/settings/membros-de-equipe/896288" xr:uid="{5A3A3BE8-F99F-47B0-8660-B4B94577AC39}"/>
    <hyperlink ref="B416" r:id="rId414" display="https://amp.vexpenses.com/settings/membros-de-equipe/896289" xr:uid="{033F2B62-8B74-4CD9-8155-A0F2A2AA435A}"/>
    <hyperlink ref="B417" r:id="rId415" display="https://amp.vexpenses.com/settings/membros-de-equipe/896290" xr:uid="{F07B5679-08E2-4170-A045-E05536399C57}"/>
    <hyperlink ref="B418" r:id="rId416" display="https://amp.vexpenses.com/settings/membros-de-equipe/954642" xr:uid="{B5814AC6-0FE1-44C9-A9DF-2091FEB74264}"/>
    <hyperlink ref="B419" r:id="rId417" display="https://amp.vexpenses.com/settings/membros-de-equipe/896291" xr:uid="{3DBA61AB-A3AA-41CC-BA6A-D7CCD0AC62D6}"/>
    <hyperlink ref="B420" r:id="rId418" display="https://amp.vexpenses.com/settings/membros-de-equipe/896292" xr:uid="{E2D81075-7B8B-4042-9CFA-45C066E39D57}"/>
    <hyperlink ref="B421" r:id="rId419" display="https://amp.vexpenses.com/settings/membros-de-equipe/896293" xr:uid="{99324EDB-B92C-403C-8D01-39CF04FB701B}"/>
    <hyperlink ref="B422" r:id="rId420" display="https://amp.vexpenses.com/settings/membros-de-equipe/950243" xr:uid="{9677C7E0-DF13-44D6-8C16-A4CA187371E4}"/>
    <hyperlink ref="B423" r:id="rId421" display="https://amp.vexpenses.com/settings/membros-de-equipe/896294" xr:uid="{4C7BAFA6-3AAD-46D9-88FF-EE4A9991E363}"/>
    <hyperlink ref="B424" r:id="rId422" display="https://amp.vexpenses.com/settings/membros-de-equipe/896295" xr:uid="{F9396B3E-9137-4476-BCAA-A5AE6D4490B8}"/>
    <hyperlink ref="B425" r:id="rId423" display="https://amp.vexpenses.com/settings/membros-de-equipe/920825" xr:uid="{EFED3C25-A7BC-4F39-950C-772D80AC856A}"/>
    <hyperlink ref="B426" r:id="rId424" display="https://amp.vexpenses.com/settings/membros-de-equipe/896296" xr:uid="{713F4BFF-EBE9-4089-A8D1-426EA0A1961F}"/>
    <hyperlink ref="B427" r:id="rId425" display="https://amp.vexpenses.com/settings/membros-de-equipe/896297" xr:uid="{52BBA52E-8A84-4944-832B-8E0C5B00D3BB}"/>
    <hyperlink ref="B428" r:id="rId426" display="https://amp.vexpenses.com/settings/membros-de-equipe/920083" xr:uid="{F42A2DD2-49FA-4019-8093-CF5885F50417}"/>
    <hyperlink ref="B429" r:id="rId427" display="https://amp.vexpenses.com/settings/membros-de-equipe/896298" xr:uid="{F93D6E2D-3EF8-4EF5-816A-CF6187499525}"/>
    <hyperlink ref="B430" r:id="rId428" display="https://amp.vexpenses.com/settings/membros-de-equipe/891978" xr:uid="{F6BCC65F-4B39-49A4-BF42-DA376E5B3FBD}"/>
    <hyperlink ref="B431" r:id="rId429" display="https://amp.vexpenses.com/settings/membros-de-equipe/918849" xr:uid="{B0FE2019-E454-46CC-9330-3B8DA2AA1258}"/>
    <hyperlink ref="B432" r:id="rId430" display="https://amp.vexpenses.com/settings/membros-de-equipe/896299" xr:uid="{958E67CC-928D-4BB8-9050-B82FD34CC683}"/>
    <hyperlink ref="B433" r:id="rId431" display="https://amp.vexpenses.com/settings/membros-de-equipe/896300" xr:uid="{F85ACF63-D2B6-42DD-BDE6-ACB567C78C21}"/>
    <hyperlink ref="B434" r:id="rId432" display="https://amp.vexpenses.com/settings/membros-de-equipe/896301" xr:uid="{E383DA86-7E8C-461C-8B4B-F1D97677C9E5}"/>
    <hyperlink ref="B435" r:id="rId433" display="https://amp.vexpenses.com/settings/membros-de-equipe/896302" xr:uid="{2F9BE00D-82A3-4337-8ED2-445F732BA50D}"/>
    <hyperlink ref="B436" r:id="rId434" display="https://amp.vexpenses.com/settings/membros-de-equipe/896303" xr:uid="{1E7411E8-BB63-4EFF-B23B-BF87D49C1B1F}"/>
    <hyperlink ref="B437" r:id="rId435" display="https://amp.vexpenses.com/settings/membros-de-equipe/923649" xr:uid="{A43A6F85-8CA8-48F6-A594-F014F7A1C8C3}"/>
    <hyperlink ref="B438" r:id="rId436" display="https://amp.vexpenses.com/settings/membros-de-equipe/896304" xr:uid="{0714D200-4C81-48EF-ADD8-143405D3F91D}"/>
    <hyperlink ref="B439" r:id="rId437" display="https://amp.vexpenses.com/settings/membros-de-equipe/921795" xr:uid="{987FED51-09EF-4A75-B5F9-8E490CEC5CFF}"/>
    <hyperlink ref="B440" r:id="rId438" display="https://amp.vexpenses.com/settings/membros-de-equipe/896305" xr:uid="{5B598D3A-9309-4DB8-8A7F-2D04AAA337C5}"/>
    <hyperlink ref="B441" r:id="rId439" display="https://amp.vexpenses.com/settings/membros-de-equipe/917065" xr:uid="{19732FB3-4D16-431A-884B-3C63F3C22FFF}"/>
    <hyperlink ref="B442" r:id="rId440" display="https://amp.vexpenses.com/settings/membros-de-equipe/928994" xr:uid="{D3DC6F76-C277-4D12-82B5-D4F9F7CDF807}"/>
    <hyperlink ref="B443" r:id="rId441" display="https://amp.vexpenses.com/settings/membros-de-equipe/896306" xr:uid="{61BFFC2C-226D-4D9C-86AF-B093ABD65E4A}"/>
    <hyperlink ref="B444" r:id="rId442" display="https://amp.vexpenses.com/settings/membros-de-equipe/896308" xr:uid="{EC4B7291-474D-407E-91C3-C226754D29D1}"/>
    <hyperlink ref="B445" r:id="rId443" display="https://amp.vexpenses.com/settings/membros-de-equipe/896310" xr:uid="{78415116-0F42-45D1-9CD6-A4E0D4A64280}"/>
    <hyperlink ref="B446" r:id="rId444" display="https://amp.vexpenses.com/settings/membros-de-equipe/896311" xr:uid="{BB71E914-1142-4C19-BF32-590CE1AA043C}"/>
    <hyperlink ref="B447" r:id="rId445" display="https://amp.vexpenses.com/settings/membros-de-equipe/896312" xr:uid="{4C4AD85B-8F46-4F59-B4EF-27326BBBAB06}"/>
    <hyperlink ref="B448" r:id="rId446" display="https://amp.vexpenses.com/settings/membros-de-equipe/896313" xr:uid="{85BC32A0-1F35-40C1-AF6F-C250AE57391D}"/>
    <hyperlink ref="B449" r:id="rId447" display="https://amp.vexpenses.com/settings/membros-de-equipe/896314" xr:uid="{73C2D7B8-8A74-409F-9107-AE2502BFDD94}"/>
    <hyperlink ref="B450" r:id="rId448" display="https://amp.vexpenses.com/settings/membros-de-equipe/917081" xr:uid="{830E10FC-D762-4830-817B-071BE923AB8E}"/>
    <hyperlink ref="B451" r:id="rId449" display="https://amp.vexpenses.com/settings/membros-de-equipe/896315" xr:uid="{5077633D-CF7D-49F7-825B-B32B9CA83440}"/>
    <hyperlink ref="B452" r:id="rId450" display="https://amp.vexpenses.com/settings/membros-de-equipe/922275" xr:uid="{08347E88-8CCF-4E95-ACC7-D32D73E866A0}"/>
    <hyperlink ref="B453" r:id="rId451" display="https://amp.vexpenses.com/settings/membros-de-equipe/950558" xr:uid="{9C07FDD8-A589-4885-915F-37BF526EA406}"/>
    <hyperlink ref="B454" r:id="rId452" display="https://amp.vexpenses.com/settings/membros-de-equipe/896316" xr:uid="{7B7D4D05-3F13-4F09-9213-35B33201B4AD}"/>
    <hyperlink ref="B455" r:id="rId453" display="https://amp.vexpenses.com/settings/membros-de-equipe/896317" xr:uid="{DC63954F-0593-4B3C-BC35-5126978F9840}"/>
    <hyperlink ref="B456" r:id="rId454" display="https://amp.vexpenses.com/settings/membros-de-equipe/896318" xr:uid="{F8DFCA57-1713-454D-9C7C-A6E2E74E0D79}"/>
    <hyperlink ref="B457" r:id="rId455" display="https://amp.vexpenses.com/settings/membros-de-equipe/896319" xr:uid="{C3937373-1558-4A8F-A570-3F82005FBA14}"/>
    <hyperlink ref="B458" r:id="rId456" display="https://amp.vexpenses.com/settings/membros-de-equipe/896321" xr:uid="{E8710846-0F45-414C-A38E-CF184FC4FCC6}"/>
    <hyperlink ref="B459" r:id="rId457" display="https://amp.vexpenses.com/settings/membros-de-equipe/896322" xr:uid="{3A66A04E-416C-4401-BD1E-F70CE78368BE}"/>
    <hyperlink ref="B460" r:id="rId458" display="https://amp.vexpenses.com/settings/membros-de-equipe/930412" xr:uid="{6BE49BEF-9012-4304-B782-74C4B3768C77}"/>
    <hyperlink ref="B461" r:id="rId459" display="https://amp.vexpenses.com/settings/membros-de-equipe/896324" xr:uid="{734BD826-9FD1-499A-A1A0-B255C8A1BC57}"/>
    <hyperlink ref="B462" r:id="rId460" display="https://amp.vexpenses.com/settings/membros-de-equipe/896325" xr:uid="{42838674-C420-4C5E-A2DC-55D8FE8ABCA5}"/>
    <hyperlink ref="B463" r:id="rId461" display="https://amp.vexpenses.com/settings/membros-de-equipe/896326" xr:uid="{D8774B60-0AD2-42D0-8798-9779A7659456}"/>
    <hyperlink ref="B464" r:id="rId462" display="https://amp.vexpenses.com/settings/membros-de-equipe/896327" xr:uid="{B0670FDA-CC4F-45ED-9473-CB892A9E215D}"/>
    <hyperlink ref="B465" r:id="rId463" display="https://amp.vexpenses.com/settings/membros-de-equipe/896328" xr:uid="{A391E780-036E-4399-8D98-C969F666E41D}"/>
    <hyperlink ref="B466" r:id="rId464" display="https://amp.vexpenses.com/settings/membros-de-equipe/917069" xr:uid="{9D95EF4D-3B1A-4A1B-8279-052CC5CBFBFD}"/>
    <hyperlink ref="B467" r:id="rId465" display="https://amp.vexpenses.com/settings/membros-de-equipe/896329" xr:uid="{0D39E7CD-23DA-4327-A8FC-36C359BF5ACA}"/>
    <hyperlink ref="B468" r:id="rId466" display="https://amp.vexpenses.com/settings/membros-de-equipe/896330" xr:uid="{96FB6208-135D-4018-B7FE-20B847E51F3B}"/>
    <hyperlink ref="B469" r:id="rId467" display="https://amp.vexpenses.com/settings/membros-de-equipe/963612" xr:uid="{DC405244-DC6F-429A-B714-32DE562E5D93}"/>
    <hyperlink ref="B470" r:id="rId468" display="https://amp.vexpenses.com/settings/membros-de-equipe/896331" xr:uid="{0DAEA5AF-EC9E-4FC4-80EC-CF45AAD21B63}"/>
    <hyperlink ref="B471" r:id="rId469" display="https://amp.vexpenses.com/settings/membros-de-equipe/896332" xr:uid="{1CF2528F-D456-4C66-B1AF-7B275BCB922B}"/>
    <hyperlink ref="B472" r:id="rId470" display="https://amp.vexpenses.com/settings/membros-de-equipe/896357" xr:uid="{0895541F-48E6-4D1E-AF30-5F7CB1DB3CF6}"/>
    <hyperlink ref="B473" r:id="rId471" display="https://amp.vexpenses.com/settings/membros-de-equipe/896335" xr:uid="{E782CF3F-C899-4A9A-A4A7-24863BD2A091}"/>
    <hyperlink ref="B474" r:id="rId472" display="https://amp.vexpenses.com/settings/membros-de-equipe/928097" xr:uid="{9A543724-9993-41EA-B190-71171AC1971C}"/>
    <hyperlink ref="B475" r:id="rId473" display="https://amp.vexpenses.com/settings/membros-de-equipe/921961" xr:uid="{812043F3-F200-4F3E-85ED-BFADC8FC288E}"/>
    <hyperlink ref="B476" r:id="rId474" display="https://amp.vexpenses.com/settings/membros-de-equipe/896336" xr:uid="{6C1F0E65-EE6E-408F-9394-CE7F8A59786D}"/>
    <hyperlink ref="B477" r:id="rId475" display="https://amp.vexpenses.com/settings/membros-de-equipe/917059" xr:uid="{31B9D1EF-BCEB-41E3-B02E-80F1C29ADD4A}"/>
    <hyperlink ref="B478" r:id="rId476" display="https://amp.vexpenses.com/settings/membros-de-equipe/896338" xr:uid="{F26CB4C3-BCC1-4EF1-965F-341577E5EBA4}"/>
    <hyperlink ref="B479" r:id="rId477" display="https://amp.vexpenses.com/settings/membros-de-equipe/917364" xr:uid="{7F73E80E-A7CB-49A3-8502-3D8638231370}"/>
    <hyperlink ref="B480" r:id="rId478" display="https://amp.vexpenses.com/settings/membros-de-equipe/896339" xr:uid="{750F6991-2835-4966-8862-C94E7C22AE2D}"/>
    <hyperlink ref="B481" r:id="rId479" display="https://amp.vexpenses.com/settings/membros-de-equipe/896340" xr:uid="{3446224B-5C14-4413-A0C1-D86BA16B293C}"/>
    <hyperlink ref="B482" r:id="rId480" display="https://amp.vexpenses.com/settings/membros-de-equipe/896341" xr:uid="{F3311D8E-5575-46D8-8D48-149A9B4D7140}"/>
    <hyperlink ref="B483" r:id="rId481" display="https://amp.vexpenses.com/settings/membros-de-equipe/896342" xr:uid="{B1CB1AE0-C510-4D66-A4E6-A54B578C09BB}"/>
    <hyperlink ref="B484" r:id="rId482" display="https://amp.vexpenses.com/settings/membros-de-equipe/896343" xr:uid="{21530DAD-55A7-4710-96DC-DA475E41773F}"/>
    <hyperlink ref="B485" r:id="rId483" display="https://amp.vexpenses.com/settings/membros-de-equipe/896344" xr:uid="{91AD4FAB-AFF8-4E37-A35F-8238C1D75C74}"/>
    <hyperlink ref="B486" r:id="rId484" display="https://amp.vexpenses.com/settings/membros-de-equipe/896346" xr:uid="{8327CD6C-15CF-4ABC-9737-2DFDA53AEBFD}"/>
    <hyperlink ref="B487" r:id="rId485" display="https://amp.vexpenses.com/settings/membros-de-equipe/896347" xr:uid="{629BF2E8-8330-46F0-AEB9-182ACC2EAE90}"/>
    <hyperlink ref="B488" r:id="rId486" display="https://amp.vexpenses.com/settings/membros-de-equipe/896348" xr:uid="{AAFC0F20-AC04-4383-B05F-45CD15E600A4}"/>
    <hyperlink ref="B489" r:id="rId487" display="https://amp.vexpenses.com/settings/membros-de-equipe/896349" xr:uid="{5C8CCECD-20FC-4682-9656-6915416D6111}"/>
    <hyperlink ref="B490" r:id="rId488" display="https://amp.vexpenses.com/settings/membros-de-equipe/896350" xr:uid="{09433BD4-884E-4EB0-8C7D-88BFFD08B375}"/>
    <hyperlink ref="B491" r:id="rId489" display="https://amp.vexpenses.com/settings/membros-de-equipe/896351" xr:uid="{122D7928-3562-4369-83A6-0DD6836179D3}"/>
    <hyperlink ref="B492" r:id="rId490" display="https://amp.vexpenses.com/settings/membros-de-equipe/896352" xr:uid="{BD2F9F84-9EC8-42AC-9AB0-4E0D81EBD435}"/>
    <hyperlink ref="B493" r:id="rId491" display="https://amp.vexpenses.com/settings/membros-de-equipe/896353" xr:uid="{6B39D86B-AD59-4883-B3A2-D75F48DA3F85}"/>
    <hyperlink ref="B494" r:id="rId492" display="https://amp.vexpenses.com/settings/membros-de-equipe/920862" xr:uid="{D466692E-96EE-4204-A964-A92B465DEA94}"/>
    <hyperlink ref="B495" r:id="rId493" display="https://amp.vexpenses.com/settings/membros-de-equipe/896354" xr:uid="{D6AAF31F-2D20-4195-92CE-55A1706988C6}"/>
    <hyperlink ref="B496" r:id="rId494" display="https://amp.vexpenses.com/settings/membros-de-equipe/896355" xr:uid="{96F92C3F-D921-4C7F-8046-866310364735}"/>
    <hyperlink ref="B497" r:id="rId495" display="https://amp.vexpenses.com/settings/membros-de-equipe/917051" xr:uid="{BA1CD265-0C2B-4593-9ED5-D991C0519B92}"/>
    <hyperlink ref="B498" r:id="rId496" display="https://amp.vexpenses.com/settings/membros-de-equipe/896356" xr:uid="{ED73C91A-D689-4661-83CA-DA8BF929B3E8}"/>
    <hyperlink ref="B499" r:id="rId497" display="https://amp.vexpenses.com/settings/membros-de-equipe/896397" xr:uid="{F8B6B3B5-E1FF-406D-A064-C3E353A6F0A3}"/>
    <hyperlink ref="B500" r:id="rId498" display="https://amp.vexpenses.com/settings/membros-de-equipe/896358" xr:uid="{1C809440-2A15-4EB9-8A05-B269C06764DA}"/>
    <hyperlink ref="B501" r:id="rId499" display="https://amp.vexpenses.com/settings/membros-de-equipe/930440" xr:uid="{D3DBD394-C307-435A-9052-B1FCAB63036C}"/>
    <hyperlink ref="B502" r:id="rId500" display="https://amp.vexpenses.com/settings/membros-de-equipe/896359" xr:uid="{00BD720E-BA25-407E-A672-977F95ED2C1E}"/>
    <hyperlink ref="B503" r:id="rId501" display="https://amp.vexpenses.com/settings/membros-de-equipe/896360" xr:uid="{282E4872-017D-4333-ABA6-D659CD0A2C9A}"/>
    <hyperlink ref="B504" r:id="rId502" display="https://amp.vexpenses.com/settings/membros-de-equipe/896361" xr:uid="{F8663A56-1E05-495E-8F82-A49F734FA66D}"/>
    <hyperlink ref="B505" r:id="rId503" display="https://amp.vexpenses.com/settings/membros-de-equipe/920855" xr:uid="{44889353-8B05-4054-9468-1F3B216CF400}"/>
    <hyperlink ref="B506" r:id="rId504" display="https://amp.vexpenses.com/settings/membros-de-equipe/896362" xr:uid="{0471A053-A648-413D-9280-32C83D518759}"/>
    <hyperlink ref="B507" r:id="rId505" display="https://amp.vexpenses.com/settings/membros-de-equipe/896363" xr:uid="{1BAE6324-7475-4287-8B49-BCED133DAA12}"/>
    <hyperlink ref="B508" r:id="rId506" display="https://amp.vexpenses.com/settings/membros-de-equipe/896364" xr:uid="{E4ACC2C5-35FC-4C10-8680-DDA2893B6530}"/>
    <hyperlink ref="B509" r:id="rId507" display="https://amp.vexpenses.com/settings/membros-de-equipe/896365" xr:uid="{72F41F33-B555-466A-B6AD-D12D7F4F4A9B}"/>
    <hyperlink ref="B510" r:id="rId508" display="https://amp.vexpenses.com/settings/membros-de-equipe/917052" xr:uid="{5642F606-E437-4855-8AFE-6F06B4226FA6}"/>
    <hyperlink ref="B511" r:id="rId509" display="https://amp.vexpenses.com/settings/membros-de-equipe/896366" xr:uid="{9CF642B6-6715-40EF-B86A-AD78102F53D3}"/>
    <hyperlink ref="B512" r:id="rId510" display="https://amp.vexpenses.com/settings/membros-de-equipe/896367" xr:uid="{053F4940-3CC6-459B-9842-C9666633A355}"/>
    <hyperlink ref="B513" r:id="rId511" display="https://amp.vexpenses.com/settings/membros-de-equipe/896369" xr:uid="{B9434ABF-A4EC-4369-AFD5-27418F30C633}"/>
    <hyperlink ref="B514" r:id="rId512" display="https://amp.vexpenses.com/settings/membros-de-equipe/931255" xr:uid="{935E6F1C-798E-45B7-9126-02A24FBC7D4D}"/>
    <hyperlink ref="B515" r:id="rId513" display="https://amp.vexpenses.com/settings/membros-de-equipe/922852" xr:uid="{263B9BEE-E9FC-4A20-91CF-5427B6A78446}"/>
    <hyperlink ref="B516" r:id="rId514" display="https://amp.vexpenses.com/settings/membros-de-equipe/896372" xr:uid="{DD473640-57E8-4C41-A9D0-6541C06B258A}"/>
    <hyperlink ref="B517" r:id="rId515" display="https://amp.vexpenses.com/settings/membros-de-equipe/896373" xr:uid="{352F380F-AC11-4B8E-B000-E65436DAFAE0}"/>
    <hyperlink ref="B518" r:id="rId516" display="https://amp.vexpenses.com/settings/membros-de-equipe/920868" xr:uid="{0F5AFEF1-2D32-474C-A1EC-39482BFA8327}"/>
    <hyperlink ref="B519" r:id="rId517" display="https://amp.vexpenses.com/settings/membros-de-equipe/917368" xr:uid="{2D8119CB-B232-4953-B172-7375C305FB1F}"/>
    <hyperlink ref="B520" r:id="rId518" display="https://amp.vexpenses.com/settings/membros-de-equipe/896424" xr:uid="{F7548C04-B1CE-4476-BD60-99AD7AC27A49}"/>
    <hyperlink ref="B521" r:id="rId519" display="https://amp.vexpenses.com/settings/membros-de-equipe/896376" xr:uid="{0EA05F73-E429-4763-821C-8CCCA9F9173D}"/>
    <hyperlink ref="B522" r:id="rId520" display="https://amp.vexpenses.com/settings/membros-de-equipe/896377" xr:uid="{3C5E0C78-3C85-40F5-B617-E178E49DBA71}"/>
    <hyperlink ref="B523" r:id="rId521" display="https://amp.vexpenses.com/settings/membros-de-equipe/896378" xr:uid="{C51D91FF-C603-423D-B97E-92D8B8014D9B}"/>
    <hyperlink ref="B524" r:id="rId522" display="https://amp.vexpenses.com/settings/membros-de-equipe/896379" xr:uid="{8F6E43F2-4059-4B57-83CE-B3B215CB01A0}"/>
    <hyperlink ref="B525" r:id="rId523" display="https://amp.vexpenses.com/settings/membros-de-equipe/957806" xr:uid="{3F819D51-D5B5-4230-9A61-35890385BBDC}"/>
    <hyperlink ref="B526" r:id="rId524" display="https://amp.vexpenses.com/settings/membros-de-equipe/923842" xr:uid="{4A807F1A-81C9-439B-8FB8-3C9599081B0E}"/>
    <hyperlink ref="B527" r:id="rId525" display="https://amp.vexpenses.com/settings/membros-de-equipe/896380" xr:uid="{42581028-F390-4EEB-9EB7-134A93AB1CD1}"/>
    <hyperlink ref="B528" r:id="rId526" display="https://amp.vexpenses.com/settings/membros-de-equipe/896381" xr:uid="{BC003C06-BE2F-4397-B8AB-73111D4F0564}"/>
    <hyperlink ref="B529" r:id="rId527" display="https://amp.vexpenses.com/settings/membros-de-equipe/896383" xr:uid="{929F14D1-EA09-4018-BEC8-8C636FAA3A40}"/>
    <hyperlink ref="B530" r:id="rId528" display="https://amp.vexpenses.com/settings/membros-de-equipe/896384" xr:uid="{7EE62659-F573-4B3D-90E1-D8C63BBD73F4}"/>
    <hyperlink ref="B531" r:id="rId529" display="https://amp.vexpenses.com/settings/membros-de-equipe/896385" xr:uid="{F918EDCB-9512-4427-B3DA-F5CA22D96A6B}"/>
    <hyperlink ref="B532" r:id="rId530" display="https://amp.vexpenses.com/settings/membros-de-equipe/896386" xr:uid="{68557B99-2E06-4BFD-9DB5-F707EE1BE770}"/>
    <hyperlink ref="B533" r:id="rId531" display="https://amp.vexpenses.com/settings/membros-de-equipe/896387" xr:uid="{C62770C5-7A32-4D5E-BE6D-33A687F2C3C1}"/>
    <hyperlink ref="B534" r:id="rId532" display="https://amp.vexpenses.com/settings/membros-de-equipe/896388" xr:uid="{27B61034-F361-4E1F-AFB7-8CC9B92C8A96}"/>
    <hyperlink ref="B535" r:id="rId533" display="https://amp.vexpenses.com/settings/membros-de-equipe/896389" xr:uid="{A8EB2A28-D1E1-4377-82A5-18960936716E}"/>
    <hyperlink ref="B536" r:id="rId534" display="https://amp.vexpenses.com/settings/membros-de-equipe/896390" xr:uid="{1CBE88A2-25EA-43CA-BC1A-2727E5C93162}"/>
    <hyperlink ref="B537" r:id="rId535" display="https://amp.vexpenses.com/settings/membros-de-equipe/896391" xr:uid="{922523B0-3B01-40D4-9247-447306300DD2}"/>
    <hyperlink ref="B538" r:id="rId536" display="https://amp.vexpenses.com/settings/membros-de-equipe/896392" xr:uid="{66B9B1F8-6BD5-4C15-8E5C-75B1468D86BD}"/>
    <hyperlink ref="B539" r:id="rId537" display="https://amp.vexpenses.com/settings/membros-de-equipe/896393" xr:uid="{B4E49C57-C74F-43D0-A81F-55176B5A9357}"/>
    <hyperlink ref="B540" r:id="rId538" display="https://amp.vexpenses.com/settings/membros-de-equipe/896394" xr:uid="{F550F029-CAE2-470C-85E3-3DFCF36E4366}"/>
    <hyperlink ref="B541" r:id="rId539" display="https://amp.vexpenses.com/settings/membros-de-equipe/916366" xr:uid="{069DE8A3-5E2B-41EA-BC35-5172FD74C3B4}"/>
    <hyperlink ref="B542" r:id="rId540" display="https://amp.vexpenses.com/settings/membros-de-equipe/921921" xr:uid="{2A03CAA9-11D7-41DE-AC1A-596BBA0416A9}"/>
    <hyperlink ref="B543" r:id="rId541" display="https://amp.vexpenses.com/settings/membros-de-equipe/896395" xr:uid="{638E1583-4F48-4A47-944A-42317B94BB46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0E92-52DF-4E39-B5BF-0853FB6E847E}">
  <sheetPr filterMode="1"/>
  <dimension ref="B1:I533"/>
  <sheetViews>
    <sheetView workbookViewId="0">
      <selection activeCell="B1" sqref="B1:I1"/>
    </sheetView>
  </sheetViews>
  <sheetFormatPr defaultRowHeight="15.75" x14ac:dyDescent="0.25"/>
  <cols>
    <col min="2" max="2" width="4.125" bestFit="1" customWidth="1"/>
    <col min="3" max="3" width="33.125" bestFit="1" customWidth="1"/>
    <col min="4" max="4" width="27.75" bestFit="1" customWidth="1"/>
    <col min="5" max="5" width="9.75" bestFit="1" customWidth="1"/>
    <col min="6" max="6" width="12" bestFit="1" customWidth="1"/>
    <col min="7" max="7" width="12.25" bestFit="1" customWidth="1"/>
    <col min="8" max="8" width="10.25" bestFit="1" customWidth="1"/>
  </cols>
  <sheetData>
    <row r="1" spans="2:9" x14ac:dyDescent="0.25">
      <c r="B1" s="55" t="s">
        <v>827</v>
      </c>
      <c r="C1" s="55" t="s">
        <v>828</v>
      </c>
      <c r="D1" s="55" t="s">
        <v>829</v>
      </c>
      <c r="E1" s="55" t="s">
        <v>830</v>
      </c>
      <c r="F1" s="55" t="s">
        <v>831</v>
      </c>
      <c r="G1" s="55" t="s">
        <v>832</v>
      </c>
      <c r="H1" s="55" t="s">
        <v>833</v>
      </c>
      <c r="I1" s="55" t="s">
        <v>834</v>
      </c>
    </row>
    <row r="2" spans="2:9" hidden="1" x14ac:dyDescent="0.25">
      <c r="B2" s="40"/>
      <c r="C2" s="42" t="s">
        <v>250</v>
      </c>
      <c r="D2" s="42" t="s">
        <v>835</v>
      </c>
      <c r="E2" s="42" t="s">
        <v>836</v>
      </c>
      <c r="F2" s="47" t="s">
        <v>21</v>
      </c>
      <c r="G2" s="42" t="s">
        <v>837</v>
      </c>
      <c r="H2" s="42" t="s">
        <v>838</v>
      </c>
      <c r="I2" s="43"/>
    </row>
    <row r="3" spans="2:9" hidden="1" x14ac:dyDescent="0.25">
      <c r="B3" s="40"/>
      <c r="C3" s="42" t="s">
        <v>202</v>
      </c>
      <c r="D3" s="42" t="s">
        <v>839</v>
      </c>
      <c r="E3" s="42" t="s">
        <v>836</v>
      </c>
      <c r="F3" s="47" t="s">
        <v>21</v>
      </c>
      <c r="G3" s="42" t="s">
        <v>837</v>
      </c>
      <c r="H3" s="42" t="s">
        <v>838</v>
      </c>
      <c r="I3" s="43"/>
    </row>
    <row r="4" spans="2:9" hidden="1" x14ac:dyDescent="0.25">
      <c r="B4" s="40"/>
      <c r="C4" s="42" t="s">
        <v>231</v>
      </c>
      <c r="D4" s="42" t="s">
        <v>840</v>
      </c>
      <c r="E4" s="42" t="s">
        <v>836</v>
      </c>
      <c r="F4" s="47" t="s">
        <v>21</v>
      </c>
      <c r="G4" s="42" t="s">
        <v>837</v>
      </c>
      <c r="H4" s="42" t="s">
        <v>838</v>
      </c>
      <c r="I4" s="43"/>
    </row>
    <row r="5" spans="2:9" hidden="1" x14ac:dyDescent="0.25">
      <c r="B5" s="40"/>
      <c r="C5" s="42" t="s">
        <v>247</v>
      </c>
      <c r="D5" s="42" t="s">
        <v>841</v>
      </c>
      <c r="E5" s="42" t="s">
        <v>836</v>
      </c>
      <c r="F5" s="47" t="s">
        <v>21</v>
      </c>
      <c r="G5" s="42" t="s">
        <v>837</v>
      </c>
      <c r="H5" s="42" t="s">
        <v>838</v>
      </c>
      <c r="I5" s="43"/>
    </row>
    <row r="6" spans="2:9" hidden="1" x14ac:dyDescent="0.25">
      <c r="B6" s="40"/>
      <c r="C6" s="42" t="s">
        <v>233</v>
      </c>
      <c r="D6" s="42" t="s">
        <v>842</v>
      </c>
      <c r="E6" s="42" t="s">
        <v>836</v>
      </c>
      <c r="F6" s="47" t="s">
        <v>21</v>
      </c>
      <c r="G6" s="42" t="s">
        <v>837</v>
      </c>
      <c r="H6" s="42" t="s">
        <v>838</v>
      </c>
      <c r="I6" s="43"/>
    </row>
    <row r="7" spans="2:9" hidden="1" x14ac:dyDescent="0.25">
      <c r="B7" s="40"/>
      <c r="C7" s="42" t="s">
        <v>843</v>
      </c>
      <c r="D7" s="42" t="s">
        <v>844</v>
      </c>
      <c r="E7" s="42" t="s">
        <v>845</v>
      </c>
      <c r="F7" s="48" t="s">
        <v>278</v>
      </c>
      <c r="G7" s="42" t="s">
        <v>837</v>
      </c>
      <c r="H7" s="42" t="s">
        <v>838</v>
      </c>
      <c r="I7" s="43"/>
    </row>
    <row r="8" spans="2:9" hidden="1" x14ac:dyDescent="0.25">
      <c r="B8" s="40"/>
      <c r="C8" s="42" t="s">
        <v>237</v>
      </c>
      <c r="D8" s="42" t="s">
        <v>846</v>
      </c>
      <c r="E8" s="42" t="s">
        <v>836</v>
      </c>
      <c r="F8" s="47" t="s">
        <v>21</v>
      </c>
      <c r="G8" s="42" t="s">
        <v>837</v>
      </c>
      <c r="H8" s="42" t="s">
        <v>838</v>
      </c>
      <c r="I8" s="43"/>
    </row>
    <row r="9" spans="2:9" hidden="1" x14ac:dyDescent="0.25">
      <c r="B9" s="40"/>
      <c r="C9" s="42" t="s">
        <v>241</v>
      </c>
      <c r="D9" s="42" t="s">
        <v>847</v>
      </c>
      <c r="E9" s="42" t="s">
        <v>836</v>
      </c>
      <c r="F9" s="47" t="s">
        <v>21</v>
      </c>
      <c r="G9" s="42" t="s">
        <v>837</v>
      </c>
      <c r="H9" s="42" t="s">
        <v>838</v>
      </c>
      <c r="I9" s="43"/>
    </row>
    <row r="10" spans="2:9" hidden="1" x14ac:dyDescent="0.25">
      <c r="B10" s="40"/>
      <c r="C10" s="42" t="s">
        <v>848</v>
      </c>
      <c r="D10" s="42" t="s">
        <v>849</v>
      </c>
      <c r="E10" s="42" t="s">
        <v>836</v>
      </c>
      <c r="F10" s="48" t="s">
        <v>278</v>
      </c>
      <c r="G10" s="42" t="s">
        <v>837</v>
      </c>
      <c r="H10" s="42" t="s">
        <v>838</v>
      </c>
      <c r="I10" s="43"/>
    </row>
    <row r="11" spans="2:9" hidden="1" x14ac:dyDescent="0.25">
      <c r="B11" s="40"/>
      <c r="C11" s="42" t="s">
        <v>850</v>
      </c>
      <c r="D11" s="42" t="s">
        <v>851</v>
      </c>
      <c r="E11" s="42" t="s">
        <v>836</v>
      </c>
      <c r="F11" s="49" t="s">
        <v>423</v>
      </c>
      <c r="G11" s="42" t="s">
        <v>837</v>
      </c>
      <c r="H11" s="42" t="s">
        <v>838</v>
      </c>
      <c r="I11" s="43"/>
    </row>
    <row r="12" spans="2:9" hidden="1" x14ac:dyDescent="0.25">
      <c r="B12" s="40"/>
      <c r="C12" s="42" t="s">
        <v>245</v>
      </c>
      <c r="D12" s="42" t="s">
        <v>852</v>
      </c>
      <c r="E12" s="42" t="s">
        <v>836</v>
      </c>
      <c r="F12" s="47" t="s">
        <v>21</v>
      </c>
      <c r="G12" s="42" t="s">
        <v>837</v>
      </c>
      <c r="H12" s="42" t="s">
        <v>838</v>
      </c>
      <c r="I12" s="43"/>
    </row>
    <row r="13" spans="2:9" hidden="1" x14ac:dyDescent="0.25">
      <c r="B13" s="40"/>
      <c r="C13" s="42" t="s">
        <v>15</v>
      </c>
      <c r="D13" s="42" t="s">
        <v>853</v>
      </c>
      <c r="E13" s="42" t="s">
        <v>836</v>
      </c>
      <c r="F13" s="47" t="s">
        <v>21</v>
      </c>
      <c r="G13" s="42" t="s">
        <v>837</v>
      </c>
      <c r="H13" s="42" t="s">
        <v>838</v>
      </c>
      <c r="I13" s="43"/>
    </row>
    <row r="14" spans="2:9" hidden="1" x14ac:dyDescent="0.25">
      <c r="B14" s="40"/>
      <c r="C14" s="42" t="s">
        <v>854</v>
      </c>
      <c r="D14" s="42" t="s">
        <v>855</v>
      </c>
      <c r="E14" s="42" t="s">
        <v>836</v>
      </c>
      <c r="F14" s="48" t="s">
        <v>278</v>
      </c>
      <c r="G14" s="42" t="s">
        <v>837</v>
      </c>
      <c r="H14" s="42" t="s">
        <v>838</v>
      </c>
      <c r="I14" s="43"/>
    </row>
    <row r="15" spans="2:9" hidden="1" x14ac:dyDescent="0.25">
      <c r="B15" s="40"/>
      <c r="C15" s="42" t="s">
        <v>22</v>
      </c>
      <c r="D15" s="42" t="s">
        <v>856</v>
      </c>
      <c r="E15" s="42" t="s">
        <v>836</v>
      </c>
      <c r="F15" s="47" t="s">
        <v>21</v>
      </c>
      <c r="G15" s="42" t="s">
        <v>837</v>
      </c>
      <c r="H15" s="42" t="s">
        <v>838</v>
      </c>
      <c r="I15" s="43"/>
    </row>
    <row r="16" spans="2:9" hidden="1" x14ac:dyDescent="0.25">
      <c r="B16" s="40"/>
      <c r="C16" s="42" t="s">
        <v>857</v>
      </c>
      <c r="D16" s="42" t="s">
        <v>858</v>
      </c>
      <c r="E16" s="42" t="s">
        <v>836</v>
      </c>
      <c r="F16" s="47" t="s">
        <v>21</v>
      </c>
      <c r="G16" s="42" t="s">
        <v>837</v>
      </c>
      <c r="H16" s="42" t="s">
        <v>838</v>
      </c>
      <c r="I16" s="43"/>
    </row>
    <row r="17" spans="2:9" hidden="1" x14ac:dyDescent="0.25">
      <c r="B17" s="40"/>
      <c r="C17" s="42" t="s">
        <v>859</v>
      </c>
      <c r="D17" s="42" t="s">
        <v>860</v>
      </c>
      <c r="E17" s="42" t="s">
        <v>836</v>
      </c>
      <c r="F17" s="49" t="s">
        <v>423</v>
      </c>
      <c r="G17" s="42" t="s">
        <v>837</v>
      </c>
      <c r="H17" s="42" t="s">
        <v>838</v>
      </c>
      <c r="I17" s="43"/>
    </row>
    <row r="18" spans="2:9" hidden="1" x14ac:dyDescent="0.25">
      <c r="B18" s="40"/>
      <c r="C18" s="42" t="s">
        <v>254</v>
      </c>
      <c r="D18" s="42" t="s">
        <v>861</v>
      </c>
      <c r="E18" s="42" t="s">
        <v>836</v>
      </c>
      <c r="F18" s="47" t="s">
        <v>21</v>
      </c>
      <c r="G18" s="42" t="s">
        <v>837</v>
      </c>
      <c r="H18" s="42" t="s">
        <v>838</v>
      </c>
      <c r="I18" s="43"/>
    </row>
    <row r="19" spans="2:9" hidden="1" x14ac:dyDescent="0.25">
      <c r="B19" s="40"/>
      <c r="C19" s="42" t="s">
        <v>26</v>
      </c>
      <c r="D19" s="42" t="s">
        <v>864</v>
      </c>
      <c r="E19" s="42" t="s">
        <v>836</v>
      </c>
      <c r="F19" s="47" t="s">
        <v>21</v>
      </c>
      <c r="G19" s="42" t="s">
        <v>837</v>
      </c>
      <c r="H19" s="42" t="s">
        <v>838</v>
      </c>
      <c r="I19" s="43"/>
    </row>
    <row r="20" spans="2:9" hidden="1" x14ac:dyDescent="0.25">
      <c r="B20" s="40"/>
      <c r="C20" s="42" t="s">
        <v>865</v>
      </c>
      <c r="D20" s="42" t="s">
        <v>866</v>
      </c>
      <c r="E20" s="42" t="s">
        <v>836</v>
      </c>
      <c r="F20" s="48" t="s">
        <v>278</v>
      </c>
      <c r="G20" s="42" t="s">
        <v>837</v>
      </c>
      <c r="H20" s="42" t="s">
        <v>838</v>
      </c>
      <c r="I20" s="43"/>
    </row>
    <row r="21" spans="2:9" hidden="1" x14ac:dyDescent="0.25">
      <c r="B21" s="40"/>
      <c r="C21" s="42" t="s">
        <v>29</v>
      </c>
      <c r="D21" s="42" t="s">
        <v>867</v>
      </c>
      <c r="E21" s="42" t="s">
        <v>836</v>
      </c>
      <c r="F21" s="47" t="s">
        <v>21</v>
      </c>
      <c r="G21" s="42" t="s">
        <v>837</v>
      </c>
      <c r="H21" s="42" t="s">
        <v>838</v>
      </c>
      <c r="I21" s="43"/>
    </row>
    <row r="22" spans="2:9" hidden="1" x14ac:dyDescent="0.25">
      <c r="B22" s="40"/>
      <c r="C22" s="42" t="s">
        <v>257</v>
      </c>
      <c r="D22" s="42" t="s">
        <v>868</v>
      </c>
      <c r="E22" s="42" t="s">
        <v>836</v>
      </c>
      <c r="F22" s="47" t="s">
        <v>21</v>
      </c>
      <c r="G22" s="42" t="s">
        <v>837</v>
      </c>
      <c r="H22" s="42" t="s">
        <v>838</v>
      </c>
      <c r="I22" s="43"/>
    </row>
    <row r="23" spans="2:9" hidden="1" x14ac:dyDescent="0.25">
      <c r="B23" s="40"/>
      <c r="C23" s="42" t="s">
        <v>869</v>
      </c>
      <c r="D23" s="42" t="s">
        <v>870</v>
      </c>
      <c r="E23" s="42" t="s">
        <v>836</v>
      </c>
      <c r="F23" s="47" t="s">
        <v>21</v>
      </c>
      <c r="G23" s="42" t="s">
        <v>837</v>
      </c>
      <c r="H23" s="42" t="s">
        <v>838</v>
      </c>
      <c r="I23" s="43"/>
    </row>
    <row r="24" spans="2:9" hidden="1" x14ac:dyDescent="0.25">
      <c r="B24" s="40"/>
      <c r="C24" s="42" t="s">
        <v>260</v>
      </c>
      <c r="D24" s="42" t="s">
        <v>871</v>
      </c>
      <c r="E24" s="42" t="s">
        <v>836</v>
      </c>
      <c r="F24" s="47" t="s">
        <v>21</v>
      </c>
      <c r="G24" s="42" t="s">
        <v>837</v>
      </c>
      <c r="H24" s="42" t="s">
        <v>838</v>
      </c>
      <c r="I24" s="43"/>
    </row>
    <row r="25" spans="2:9" hidden="1" x14ac:dyDescent="0.25">
      <c r="B25" s="40"/>
      <c r="C25" s="42" t="s">
        <v>872</v>
      </c>
      <c r="D25" s="42" t="s">
        <v>873</v>
      </c>
      <c r="E25" s="42" t="s">
        <v>836</v>
      </c>
      <c r="F25" s="48" t="s">
        <v>278</v>
      </c>
      <c r="G25" s="42" t="s">
        <v>837</v>
      </c>
      <c r="H25" s="42" t="s">
        <v>838</v>
      </c>
      <c r="I25" s="43"/>
    </row>
    <row r="26" spans="2:9" hidden="1" x14ac:dyDescent="0.25">
      <c r="B26" s="40"/>
      <c r="C26" s="42" t="s">
        <v>263</v>
      </c>
      <c r="D26" s="42" t="s">
        <v>874</v>
      </c>
      <c r="E26" s="42" t="s">
        <v>845</v>
      </c>
      <c r="F26" s="47" t="s">
        <v>21</v>
      </c>
      <c r="G26" s="42" t="s">
        <v>837</v>
      </c>
      <c r="H26" s="42" t="s">
        <v>838</v>
      </c>
      <c r="I26" s="43"/>
    </row>
    <row r="27" spans="2:9" hidden="1" x14ac:dyDescent="0.25">
      <c r="B27" s="40"/>
      <c r="C27" s="42" t="s">
        <v>875</v>
      </c>
      <c r="D27" s="42" t="s">
        <v>876</v>
      </c>
      <c r="E27" s="42" t="s">
        <v>836</v>
      </c>
      <c r="F27" s="48" t="s">
        <v>278</v>
      </c>
      <c r="G27" s="42" t="s">
        <v>837</v>
      </c>
      <c r="H27" s="42" t="s">
        <v>838</v>
      </c>
      <c r="I27" s="43"/>
    </row>
    <row r="28" spans="2:9" hidden="1" x14ac:dyDescent="0.25">
      <c r="B28" s="40"/>
      <c r="C28" s="42" t="s">
        <v>877</v>
      </c>
      <c r="D28" s="42" t="s">
        <v>878</v>
      </c>
      <c r="E28" s="42" t="s">
        <v>836</v>
      </c>
      <c r="F28" s="47" t="s">
        <v>21</v>
      </c>
      <c r="G28" s="42" t="s">
        <v>837</v>
      </c>
      <c r="H28" s="42" t="s">
        <v>838</v>
      </c>
      <c r="I28" s="43"/>
    </row>
    <row r="29" spans="2:9" hidden="1" x14ac:dyDescent="0.25">
      <c r="B29" s="40"/>
      <c r="C29" s="42" t="s">
        <v>879</v>
      </c>
      <c r="D29" s="42" t="s">
        <v>880</v>
      </c>
      <c r="E29" s="42" t="s">
        <v>836</v>
      </c>
      <c r="F29" s="47" t="s">
        <v>21</v>
      </c>
      <c r="G29" s="42" t="s">
        <v>837</v>
      </c>
      <c r="H29" s="42" t="s">
        <v>838</v>
      </c>
      <c r="I29" s="43"/>
    </row>
    <row r="30" spans="2:9" hidden="1" x14ac:dyDescent="0.25">
      <c r="B30" s="40"/>
      <c r="C30" s="42" t="s">
        <v>266</v>
      </c>
      <c r="D30" s="42" t="s">
        <v>881</v>
      </c>
      <c r="E30" s="42" t="s">
        <v>836</v>
      </c>
      <c r="F30" s="48" t="s">
        <v>278</v>
      </c>
      <c r="G30" s="42" t="s">
        <v>837</v>
      </c>
      <c r="H30" s="42" t="s">
        <v>838</v>
      </c>
      <c r="I30" s="43"/>
    </row>
    <row r="31" spans="2:9" hidden="1" x14ac:dyDescent="0.25">
      <c r="B31" s="40"/>
      <c r="C31" s="42" t="s">
        <v>268</v>
      </c>
      <c r="D31" s="42" t="s">
        <v>882</v>
      </c>
      <c r="E31" s="42" t="s">
        <v>836</v>
      </c>
      <c r="F31" s="47" t="s">
        <v>21</v>
      </c>
      <c r="G31" s="42" t="s">
        <v>837</v>
      </c>
      <c r="H31" s="42" t="s">
        <v>838</v>
      </c>
      <c r="I31" s="43"/>
    </row>
    <row r="32" spans="2:9" hidden="1" x14ac:dyDescent="0.25">
      <c r="B32" s="40"/>
      <c r="C32" s="42" t="s">
        <v>593</v>
      </c>
      <c r="D32" s="42" t="s">
        <v>883</v>
      </c>
      <c r="E32" s="42" t="s">
        <v>845</v>
      </c>
      <c r="F32" s="47" t="s">
        <v>21</v>
      </c>
      <c r="G32" s="42" t="s">
        <v>837</v>
      </c>
      <c r="H32" s="42" t="s">
        <v>884</v>
      </c>
      <c r="I32" s="43"/>
    </row>
    <row r="33" spans="2:9" hidden="1" x14ac:dyDescent="0.25">
      <c r="B33" s="40"/>
      <c r="C33" s="42" t="s">
        <v>885</v>
      </c>
      <c r="D33" s="42" t="s">
        <v>886</v>
      </c>
      <c r="E33" s="42" t="s">
        <v>836</v>
      </c>
      <c r="F33" s="47" t="s">
        <v>21</v>
      </c>
      <c r="G33" s="42" t="s">
        <v>837</v>
      </c>
      <c r="H33" s="42" t="s">
        <v>838</v>
      </c>
      <c r="I33" s="43"/>
    </row>
    <row r="34" spans="2:9" hidden="1" x14ac:dyDescent="0.25">
      <c r="B34" s="40"/>
      <c r="C34" s="42" t="s">
        <v>273</v>
      </c>
      <c r="D34" s="42" t="s">
        <v>887</v>
      </c>
      <c r="E34" s="42" t="s">
        <v>836</v>
      </c>
      <c r="F34" s="47" t="s">
        <v>21</v>
      </c>
      <c r="G34" s="42" t="s">
        <v>837</v>
      </c>
      <c r="H34" s="42" t="s">
        <v>838</v>
      </c>
      <c r="I34" s="43"/>
    </row>
    <row r="35" spans="2:9" hidden="1" x14ac:dyDescent="0.25">
      <c r="B35" s="40"/>
      <c r="C35" s="42" t="s">
        <v>34</v>
      </c>
      <c r="D35" s="42" t="s">
        <v>888</v>
      </c>
      <c r="E35" s="42" t="s">
        <v>836</v>
      </c>
      <c r="F35" s="47" t="s">
        <v>21</v>
      </c>
      <c r="G35" s="42" t="s">
        <v>837</v>
      </c>
      <c r="H35" s="42" t="s">
        <v>838</v>
      </c>
      <c r="I35" s="43"/>
    </row>
    <row r="36" spans="2:9" hidden="1" x14ac:dyDescent="0.25">
      <c r="B36" s="40"/>
      <c r="C36" s="42" t="s">
        <v>889</v>
      </c>
      <c r="D36" s="42" t="s">
        <v>890</v>
      </c>
      <c r="E36" s="42" t="s">
        <v>836</v>
      </c>
      <c r="F36" s="48" t="s">
        <v>278</v>
      </c>
      <c r="G36" s="42" t="s">
        <v>837</v>
      </c>
      <c r="H36" s="42" t="s">
        <v>838</v>
      </c>
      <c r="I36" s="43"/>
    </row>
    <row r="37" spans="2:9" hidden="1" x14ac:dyDescent="0.25">
      <c r="B37" s="40"/>
      <c r="C37" s="42" t="s">
        <v>279</v>
      </c>
      <c r="D37" s="42" t="s">
        <v>891</v>
      </c>
      <c r="E37" s="42" t="s">
        <v>836</v>
      </c>
      <c r="F37" s="47" t="s">
        <v>21</v>
      </c>
      <c r="G37" s="42" t="s">
        <v>837</v>
      </c>
      <c r="H37" s="42" t="s">
        <v>838</v>
      </c>
      <c r="I37" s="43"/>
    </row>
    <row r="38" spans="2:9" hidden="1" x14ac:dyDescent="0.25">
      <c r="B38" s="40"/>
      <c r="C38" s="42" t="s">
        <v>892</v>
      </c>
      <c r="D38" s="42" t="s">
        <v>893</v>
      </c>
      <c r="E38" s="42" t="s">
        <v>836</v>
      </c>
      <c r="F38" s="47" t="s">
        <v>21</v>
      </c>
      <c r="G38" s="42" t="s">
        <v>837</v>
      </c>
      <c r="H38" s="42" t="s">
        <v>838</v>
      </c>
      <c r="I38" s="43"/>
    </row>
    <row r="39" spans="2:9" hidden="1" x14ac:dyDescent="0.25">
      <c r="B39" s="40"/>
      <c r="C39" s="42" t="s">
        <v>894</v>
      </c>
      <c r="D39" s="42" t="s">
        <v>895</v>
      </c>
      <c r="E39" s="42" t="s">
        <v>896</v>
      </c>
      <c r="F39" s="48" t="s">
        <v>278</v>
      </c>
      <c r="G39" s="42" t="s">
        <v>837</v>
      </c>
      <c r="H39" s="42" t="s">
        <v>884</v>
      </c>
      <c r="I39" s="43"/>
    </row>
    <row r="40" spans="2:9" hidden="1" x14ac:dyDescent="0.25">
      <c r="B40" s="40"/>
      <c r="C40" s="42" t="s">
        <v>486</v>
      </c>
      <c r="D40" s="42" t="s">
        <v>897</v>
      </c>
      <c r="E40" s="42" t="s">
        <v>836</v>
      </c>
      <c r="F40" s="47" t="s">
        <v>21</v>
      </c>
      <c r="G40" s="42" t="s">
        <v>837</v>
      </c>
      <c r="H40" s="42" t="s">
        <v>838</v>
      </c>
      <c r="I40" s="43"/>
    </row>
    <row r="41" spans="2:9" hidden="1" x14ac:dyDescent="0.25">
      <c r="B41" s="40"/>
      <c r="C41" s="42" t="s">
        <v>421</v>
      </c>
      <c r="D41" s="42" t="s">
        <v>898</v>
      </c>
      <c r="E41" s="42" t="s">
        <v>836</v>
      </c>
      <c r="F41" s="47" t="s">
        <v>21</v>
      </c>
      <c r="G41" s="42" t="s">
        <v>837</v>
      </c>
      <c r="H41" s="42" t="s">
        <v>838</v>
      </c>
      <c r="I41" s="43"/>
    </row>
    <row r="42" spans="2:9" hidden="1" x14ac:dyDescent="0.25">
      <c r="B42" s="40"/>
      <c r="C42" s="42" t="s">
        <v>288</v>
      </c>
      <c r="D42" s="42" t="s">
        <v>900</v>
      </c>
      <c r="E42" s="42" t="s">
        <v>836</v>
      </c>
      <c r="F42" s="47" t="s">
        <v>21</v>
      </c>
      <c r="G42" s="42" t="s">
        <v>837</v>
      </c>
      <c r="H42" s="42" t="s">
        <v>838</v>
      </c>
      <c r="I42" s="43"/>
    </row>
    <row r="43" spans="2:9" hidden="1" x14ac:dyDescent="0.25">
      <c r="B43" s="40"/>
      <c r="C43" s="42" t="s">
        <v>901</v>
      </c>
      <c r="D43" s="42" t="s">
        <v>902</v>
      </c>
      <c r="E43" s="42" t="s">
        <v>836</v>
      </c>
      <c r="F43" s="47" t="s">
        <v>21</v>
      </c>
      <c r="G43" s="42" t="s">
        <v>837</v>
      </c>
      <c r="H43" s="42" t="s">
        <v>838</v>
      </c>
      <c r="I43" s="43"/>
    </row>
    <row r="44" spans="2:9" hidden="1" x14ac:dyDescent="0.25">
      <c r="B44" s="40"/>
      <c r="C44" s="42" t="s">
        <v>291</v>
      </c>
      <c r="D44" s="42" t="s">
        <v>903</v>
      </c>
      <c r="E44" s="42" t="s">
        <v>836</v>
      </c>
      <c r="F44" s="47" t="s">
        <v>21</v>
      </c>
      <c r="G44" s="42" t="s">
        <v>837</v>
      </c>
      <c r="H44" s="42" t="s">
        <v>838</v>
      </c>
      <c r="I44" s="43"/>
    </row>
    <row r="45" spans="2:9" hidden="1" x14ac:dyDescent="0.25">
      <c r="B45" s="40"/>
      <c r="C45" s="42" t="s">
        <v>904</v>
      </c>
      <c r="D45" s="42" t="s">
        <v>905</v>
      </c>
      <c r="E45" s="42" t="s">
        <v>836</v>
      </c>
      <c r="F45" s="48" t="s">
        <v>278</v>
      </c>
      <c r="G45" s="42" t="s">
        <v>837</v>
      </c>
      <c r="H45" s="42" t="s">
        <v>838</v>
      </c>
      <c r="I45" s="43"/>
    </row>
    <row r="46" spans="2:9" hidden="1" x14ac:dyDescent="0.25">
      <c r="B46" s="40"/>
      <c r="C46" s="42" t="s">
        <v>294</v>
      </c>
      <c r="D46" s="42" t="s">
        <v>906</v>
      </c>
      <c r="E46" s="42" t="s">
        <v>836</v>
      </c>
      <c r="F46" s="47" t="s">
        <v>21</v>
      </c>
      <c r="G46" s="42" t="s">
        <v>837</v>
      </c>
      <c r="H46" s="42" t="s">
        <v>838</v>
      </c>
      <c r="I46" s="43"/>
    </row>
    <row r="47" spans="2:9" hidden="1" x14ac:dyDescent="0.25">
      <c r="B47" s="40"/>
      <c r="C47" s="42" t="s">
        <v>297</v>
      </c>
      <c r="D47" s="42" t="s">
        <v>907</v>
      </c>
      <c r="E47" s="42" t="s">
        <v>836</v>
      </c>
      <c r="F47" s="47" t="s">
        <v>21</v>
      </c>
      <c r="G47" s="42" t="s">
        <v>837</v>
      </c>
      <c r="H47" s="42" t="s">
        <v>838</v>
      </c>
      <c r="I47" s="43"/>
    </row>
    <row r="48" spans="2:9" hidden="1" x14ac:dyDescent="0.25">
      <c r="B48" s="40"/>
      <c r="C48" s="42" t="s">
        <v>300</v>
      </c>
      <c r="D48" s="42" t="s">
        <v>908</v>
      </c>
      <c r="E48" s="42" t="s">
        <v>836</v>
      </c>
      <c r="F48" s="47" t="s">
        <v>21</v>
      </c>
      <c r="G48" s="42" t="s">
        <v>837</v>
      </c>
      <c r="H48" s="42" t="s">
        <v>838</v>
      </c>
      <c r="I48" s="43"/>
    </row>
    <row r="49" spans="2:9" hidden="1" x14ac:dyDescent="0.25">
      <c r="B49" s="40"/>
      <c r="C49" s="42" t="s">
        <v>909</v>
      </c>
      <c r="D49" s="42" t="s">
        <v>910</v>
      </c>
      <c r="E49" s="42" t="s">
        <v>836</v>
      </c>
      <c r="F49" s="47" t="s">
        <v>21</v>
      </c>
      <c r="G49" s="42" t="s">
        <v>837</v>
      </c>
      <c r="H49" s="42" t="s">
        <v>838</v>
      </c>
      <c r="I49" s="43"/>
    </row>
    <row r="50" spans="2:9" hidden="1" x14ac:dyDescent="0.25">
      <c r="B50" s="40"/>
      <c r="C50" s="42" t="s">
        <v>302</v>
      </c>
      <c r="D50" s="42" t="s">
        <v>911</v>
      </c>
      <c r="E50" s="42" t="s">
        <v>836</v>
      </c>
      <c r="F50" s="47" t="s">
        <v>21</v>
      </c>
      <c r="G50" s="42" t="s">
        <v>837</v>
      </c>
      <c r="H50" s="42" t="s">
        <v>838</v>
      </c>
      <c r="I50" s="43"/>
    </row>
    <row r="51" spans="2:9" hidden="1" x14ac:dyDescent="0.25">
      <c r="B51" s="41"/>
      <c r="C51" s="44" t="s">
        <v>912</v>
      </c>
      <c r="D51" s="44" t="s">
        <v>913</v>
      </c>
      <c r="E51" s="44" t="s">
        <v>896</v>
      </c>
      <c r="F51" s="50" t="s">
        <v>278</v>
      </c>
      <c r="G51" s="44" t="s">
        <v>837</v>
      </c>
      <c r="H51" s="44" t="s">
        <v>884</v>
      </c>
      <c r="I51" s="39"/>
    </row>
    <row r="52" spans="2:9" hidden="1" x14ac:dyDescent="0.25">
      <c r="B52" s="40"/>
      <c r="C52" s="42" t="s">
        <v>914</v>
      </c>
      <c r="D52" s="42" t="s">
        <v>915</v>
      </c>
      <c r="E52" s="42" t="s">
        <v>836</v>
      </c>
      <c r="F52" s="48" t="s">
        <v>278</v>
      </c>
      <c r="G52" s="42" t="s">
        <v>837</v>
      </c>
      <c r="H52" s="42" t="s">
        <v>838</v>
      </c>
      <c r="I52" s="43"/>
    </row>
    <row r="53" spans="2:9" hidden="1" x14ac:dyDescent="0.25">
      <c r="B53" s="40"/>
      <c r="C53" s="42" t="s">
        <v>916</v>
      </c>
      <c r="D53" s="42" t="s">
        <v>917</v>
      </c>
      <c r="E53" s="42" t="s">
        <v>836</v>
      </c>
      <c r="F53" s="47" t="s">
        <v>21</v>
      </c>
      <c r="G53" s="42" t="s">
        <v>837</v>
      </c>
      <c r="H53" s="42" t="s">
        <v>838</v>
      </c>
      <c r="I53" s="43"/>
    </row>
    <row r="54" spans="2:9" hidden="1" x14ac:dyDescent="0.25">
      <c r="B54" s="40"/>
      <c r="C54" s="42" t="s">
        <v>1618</v>
      </c>
      <c r="D54" s="42" t="s">
        <v>1619</v>
      </c>
      <c r="E54" s="42" t="s">
        <v>836</v>
      </c>
      <c r="F54" s="47" t="s">
        <v>21</v>
      </c>
      <c r="G54" s="42" t="s">
        <v>837</v>
      </c>
      <c r="H54" s="42" t="s">
        <v>838</v>
      </c>
      <c r="I54" s="43"/>
    </row>
    <row r="55" spans="2:9" hidden="1" x14ac:dyDescent="0.25">
      <c r="B55" s="40"/>
      <c r="C55" s="42" t="s">
        <v>37</v>
      </c>
      <c r="D55" s="42" t="s">
        <v>918</v>
      </c>
      <c r="E55" s="42" t="s">
        <v>836</v>
      </c>
      <c r="F55" s="47" t="s">
        <v>21</v>
      </c>
      <c r="G55" s="42" t="s">
        <v>837</v>
      </c>
      <c r="H55" s="42" t="s">
        <v>838</v>
      </c>
      <c r="I55" s="43"/>
    </row>
    <row r="56" spans="2:9" hidden="1" x14ac:dyDescent="0.25">
      <c r="B56" s="40"/>
      <c r="C56" s="42" t="s">
        <v>305</v>
      </c>
      <c r="D56" s="42" t="s">
        <v>919</v>
      </c>
      <c r="E56" s="42" t="s">
        <v>836</v>
      </c>
      <c r="F56" s="47" t="s">
        <v>21</v>
      </c>
      <c r="G56" s="42" t="s">
        <v>837</v>
      </c>
      <c r="H56" s="42" t="s">
        <v>838</v>
      </c>
      <c r="I56" s="43"/>
    </row>
    <row r="57" spans="2:9" hidden="1" x14ac:dyDescent="0.25">
      <c r="B57" s="40"/>
      <c r="C57" s="42" t="s">
        <v>40</v>
      </c>
      <c r="D57" s="42" t="s">
        <v>920</v>
      </c>
      <c r="E57" s="42" t="s">
        <v>836</v>
      </c>
      <c r="F57" s="47" t="s">
        <v>21</v>
      </c>
      <c r="G57" s="42" t="s">
        <v>837</v>
      </c>
      <c r="H57" s="42" t="s">
        <v>838</v>
      </c>
      <c r="I57" s="43"/>
    </row>
    <row r="58" spans="2:9" hidden="1" x14ac:dyDescent="0.25">
      <c r="B58" s="40"/>
      <c r="C58" s="42" t="s">
        <v>684</v>
      </c>
      <c r="D58" s="42" t="s">
        <v>921</v>
      </c>
      <c r="E58" s="42" t="s">
        <v>836</v>
      </c>
      <c r="F58" s="47" t="s">
        <v>21</v>
      </c>
      <c r="G58" s="42" t="s">
        <v>837</v>
      </c>
      <c r="H58" s="42" t="s">
        <v>838</v>
      </c>
      <c r="I58" s="43"/>
    </row>
    <row r="59" spans="2:9" hidden="1" x14ac:dyDescent="0.25">
      <c r="B59" s="40"/>
      <c r="C59" s="42" t="s">
        <v>310</v>
      </c>
      <c r="D59" s="42" t="s">
        <v>922</v>
      </c>
      <c r="E59" s="42" t="s">
        <v>836</v>
      </c>
      <c r="F59" s="47" t="s">
        <v>21</v>
      </c>
      <c r="G59" s="42" t="s">
        <v>837</v>
      </c>
      <c r="H59" s="42" t="s">
        <v>838</v>
      </c>
      <c r="I59" s="43"/>
    </row>
    <row r="60" spans="2:9" hidden="1" x14ac:dyDescent="0.25">
      <c r="B60" s="40"/>
      <c r="C60" s="42" t="s">
        <v>43</v>
      </c>
      <c r="D60" s="42" t="s">
        <v>923</v>
      </c>
      <c r="E60" s="42" t="s">
        <v>836</v>
      </c>
      <c r="F60" s="47" t="s">
        <v>21</v>
      </c>
      <c r="G60" s="42" t="s">
        <v>837</v>
      </c>
      <c r="H60" s="42" t="s">
        <v>838</v>
      </c>
      <c r="I60" s="43"/>
    </row>
    <row r="61" spans="2:9" hidden="1" x14ac:dyDescent="0.25">
      <c r="B61" s="40"/>
      <c r="C61" s="42" t="s">
        <v>316</v>
      </c>
      <c r="D61" s="42" t="s">
        <v>924</v>
      </c>
      <c r="E61" s="42" t="s">
        <v>836</v>
      </c>
      <c r="F61" s="47" t="s">
        <v>21</v>
      </c>
      <c r="G61" s="42" t="s">
        <v>837</v>
      </c>
      <c r="H61" s="42" t="s">
        <v>838</v>
      </c>
      <c r="I61" s="43"/>
    </row>
    <row r="62" spans="2:9" hidden="1" x14ac:dyDescent="0.25">
      <c r="B62" s="40"/>
      <c r="C62" s="42" t="s">
        <v>925</v>
      </c>
      <c r="D62" s="42" t="s">
        <v>926</v>
      </c>
      <c r="E62" s="42" t="s">
        <v>836</v>
      </c>
      <c r="F62" s="48" t="s">
        <v>278</v>
      </c>
      <c r="G62" s="42" t="s">
        <v>837</v>
      </c>
      <c r="H62" s="42" t="s">
        <v>838</v>
      </c>
      <c r="I62" s="43"/>
    </row>
    <row r="63" spans="2:9" hidden="1" x14ac:dyDescent="0.25">
      <c r="B63" s="40"/>
      <c r="C63" s="42" t="s">
        <v>927</v>
      </c>
      <c r="D63" s="42" t="s">
        <v>928</v>
      </c>
      <c r="E63" s="42" t="s">
        <v>836</v>
      </c>
      <c r="F63" s="47" t="s">
        <v>21</v>
      </c>
      <c r="G63" s="42" t="s">
        <v>837</v>
      </c>
      <c r="H63" s="42" t="s">
        <v>838</v>
      </c>
      <c r="I63" s="43"/>
    </row>
    <row r="64" spans="2:9" hidden="1" x14ac:dyDescent="0.25">
      <c r="B64" s="40"/>
      <c r="C64" s="42" t="s">
        <v>318</v>
      </c>
      <c r="D64" s="42" t="s">
        <v>929</v>
      </c>
      <c r="E64" s="42" t="s">
        <v>836</v>
      </c>
      <c r="F64" s="47" t="s">
        <v>21</v>
      </c>
      <c r="G64" s="42" t="s">
        <v>837</v>
      </c>
      <c r="H64" s="42" t="s">
        <v>838</v>
      </c>
      <c r="I64" s="43"/>
    </row>
    <row r="65" spans="2:9" hidden="1" x14ac:dyDescent="0.25">
      <c r="B65" s="40"/>
      <c r="C65" s="42" t="s">
        <v>320</v>
      </c>
      <c r="D65" s="42" t="s">
        <v>930</v>
      </c>
      <c r="E65" s="42" t="s">
        <v>836</v>
      </c>
      <c r="F65" s="47" t="s">
        <v>21</v>
      </c>
      <c r="G65" s="42" t="s">
        <v>837</v>
      </c>
      <c r="H65" s="42" t="s">
        <v>838</v>
      </c>
      <c r="I65" s="43"/>
    </row>
    <row r="66" spans="2:9" hidden="1" x14ac:dyDescent="0.25">
      <c r="B66" s="40"/>
      <c r="C66" s="42" t="s">
        <v>322</v>
      </c>
      <c r="D66" s="42" t="s">
        <v>931</v>
      </c>
      <c r="E66" s="42" t="s">
        <v>836</v>
      </c>
      <c r="F66" s="47" t="s">
        <v>21</v>
      </c>
      <c r="G66" s="42" t="s">
        <v>837</v>
      </c>
      <c r="H66" s="42" t="s">
        <v>838</v>
      </c>
      <c r="I66" s="43"/>
    </row>
    <row r="67" spans="2:9" hidden="1" x14ac:dyDescent="0.25">
      <c r="B67" s="40"/>
      <c r="C67" s="42" t="s">
        <v>47</v>
      </c>
      <c r="D67" s="42" t="s">
        <v>932</v>
      </c>
      <c r="E67" s="42" t="s">
        <v>836</v>
      </c>
      <c r="F67" s="47" t="s">
        <v>21</v>
      </c>
      <c r="G67" s="42" t="s">
        <v>837</v>
      </c>
      <c r="H67" s="42" t="s">
        <v>838</v>
      </c>
      <c r="I67" s="43"/>
    </row>
    <row r="68" spans="2:9" hidden="1" x14ac:dyDescent="0.25">
      <c r="B68" s="40"/>
      <c r="C68" s="42" t="s">
        <v>324</v>
      </c>
      <c r="D68" s="42" t="s">
        <v>933</v>
      </c>
      <c r="E68" s="42" t="s">
        <v>836</v>
      </c>
      <c r="F68" s="48" t="s">
        <v>278</v>
      </c>
      <c r="G68" s="42" t="s">
        <v>837</v>
      </c>
      <c r="H68" s="42" t="s">
        <v>838</v>
      </c>
      <c r="I68" s="43"/>
    </row>
    <row r="69" spans="2:9" hidden="1" x14ac:dyDescent="0.25">
      <c r="B69" s="40"/>
      <c r="C69" s="42" t="s">
        <v>661</v>
      </c>
      <c r="D69" s="42" t="s">
        <v>934</v>
      </c>
      <c r="E69" s="42" t="s">
        <v>845</v>
      </c>
      <c r="F69" s="49" t="s">
        <v>423</v>
      </c>
      <c r="G69" s="42" t="s">
        <v>837</v>
      </c>
      <c r="H69" s="42" t="s">
        <v>838</v>
      </c>
      <c r="I69" s="43"/>
    </row>
    <row r="70" spans="2:9" hidden="1" x14ac:dyDescent="0.25">
      <c r="B70" s="40"/>
      <c r="C70" s="42" t="s">
        <v>328</v>
      </c>
      <c r="D70" s="42" t="s">
        <v>935</v>
      </c>
      <c r="E70" s="42" t="s">
        <v>836</v>
      </c>
      <c r="F70" s="47" t="s">
        <v>21</v>
      </c>
      <c r="G70" s="42" t="s">
        <v>837</v>
      </c>
      <c r="H70" s="42" t="s">
        <v>838</v>
      </c>
      <c r="I70" s="43"/>
    </row>
    <row r="71" spans="2:9" hidden="1" x14ac:dyDescent="0.25">
      <c r="B71" s="40"/>
      <c r="C71" s="42" t="s">
        <v>786</v>
      </c>
      <c r="D71" s="42" t="s">
        <v>936</v>
      </c>
      <c r="E71" s="42" t="s">
        <v>845</v>
      </c>
      <c r="F71" s="49" t="s">
        <v>423</v>
      </c>
      <c r="G71" s="42" t="s">
        <v>837</v>
      </c>
      <c r="H71" s="42" t="s">
        <v>838</v>
      </c>
      <c r="I71" s="43"/>
    </row>
    <row r="72" spans="2:9" hidden="1" x14ac:dyDescent="0.25">
      <c r="B72" s="40"/>
      <c r="C72" s="42" t="s">
        <v>52</v>
      </c>
      <c r="D72" s="42" t="s">
        <v>937</v>
      </c>
      <c r="E72" s="42" t="s">
        <v>836</v>
      </c>
      <c r="F72" s="47" t="s">
        <v>21</v>
      </c>
      <c r="G72" s="42" t="s">
        <v>837</v>
      </c>
      <c r="H72" s="42" t="s">
        <v>838</v>
      </c>
      <c r="I72" s="43"/>
    </row>
    <row r="73" spans="2:9" hidden="1" x14ac:dyDescent="0.25">
      <c r="B73" s="40"/>
      <c r="C73" s="42" t="s">
        <v>331</v>
      </c>
      <c r="D73" s="42" t="s">
        <v>938</v>
      </c>
      <c r="E73" s="42" t="s">
        <v>836</v>
      </c>
      <c r="F73" s="47" t="s">
        <v>21</v>
      </c>
      <c r="G73" s="42" t="s">
        <v>837</v>
      </c>
      <c r="H73" s="42" t="s">
        <v>838</v>
      </c>
      <c r="I73" s="43"/>
    </row>
    <row r="74" spans="2:9" hidden="1" x14ac:dyDescent="0.25">
      <c r="B74" s="40"/>
      <c r="C74" s="42" t="s">
        <v>334</v>
      </c>
      <c r="D74" s="42" t="s">
        <v>939</v>
      </c>
      <c r="E74" s="42" t="s">
        <v>836</v>
      </c>
      <c r="F74" s="47" t="s">
        <v>21</v>
      </c>
      <c r="G74" s="42" t="s">
        <v>837</v>
      </c>
      <c r="H74" s="42" t="s">
        <v>838</v>
      </c>
      <c r="I74" s="43"/>
    </row>
    <row r="75" spans="2:9" hidden="1" x14ac:dyDescent="0.25">
      <c r="B75" s="40"/>
      <c r="C75" s="42" t="s">
        <v>336</v>
      </c>
      <c r="D75" s="42" t="s">
        <v>940</v>
      </c>
      <c r="E75" s="42" t="s">
        <v>836</v>
      </c>
      <c r="F75" s="51" t="s">
        <v>1063</v>
      </c>
      <c r="G75" s="42" t="s">
        <v>837</v>
      </c>
      <c r="H75" s="42" t="s">
        <v>838</v>
      </c>
      <c r="I75" s="43"/>
    </row>
    <row r="76" spans="2:9" hidden="1" x14ac:dyDescent="0.25">
      <c r="B76" s="40"/>
      <c r="C76" s="42" t="s">
        <v>339</v>
      </c>
      <c r="D76" s="42" t="s">
        <v>941</v>
      </c>
      <c r="E76" s="42" t="s">
        <v>836</v>
      </c>
      <c r="F76" s="47" t="s">
        <v>21</v>
      </c>
      <c r="G76" s="42" t="s">
        <v>837</v>
      </c>
      <c r="H76" s="42" t="s">
        <v>838</v>
      </c>
      <c r="I76" s="43"/>
    </row>
    <row r="77" spans="2:9" hidden="1" x14ac:dyDescent="0.25">
      <c r="B77" s="40"/>
      <c r="C77" s="42" t="s">
        <v>57</v>
      </c>
      <c r="D77" s="42" t="s">
        <v>942</v>
      </c>
      <c r="E77" s="42" t="s">
        <v>836</v>
      </c>
      <c r="F77" s="47" t="s">
        <v>21</v>
      </c>
      <c r="G77" s="42" t="s">
        <v>837</v>
      </c>
      <c r="H77" s="42" t="s">
        <v>838</v>
      </c>
      <c r="I77" s="43"/>
    </row>
    <row r="78" spans="2:9" hidden="1" x14ac:dyDescent="0.25">
      <c r="B78" s="40"/>
      <c r="C78" s="42" t="s">
        <v>943</v>
      </c>
      <c r="D78" s="42" t="s">
        <v>944</v>
      </c>
      <c r="E78" s="42" t="s">
        <v>836</v>
      </c>
      <c r="F78" s="48" t="s">
        <v>278</v>
      </c>
      <c r="G78" s="42" t="s">
        <v>837</v>
      </c>
      <c r="H78" s="42" t="s">
        <v>838</v>
      </c>
      <c r="I78" s="43"/>
    </row>
    <row r="79" spans="2:9" hidden="1" x14ac:dyDescent="0.25">
      <c r="B79" s="40"/>
      <c r="C79" s="42" t="s">
        <v>711</v>
      </c>
      <c r="D79" s="42" t="s">
        <v>945</v>
      </c>
      <c r="E79" s="42" t="s">
        <v>836</v>
      </c>
      <c r="F79" s="47" t="s">
        <v>21</v>
      </c>
      <c r="G79" s="42" t="s">
        <v>837</v>
      </c>
      <c r="H79" s="42" t="s">
        <v>838</v>
      </c>
      <c r="I79" s="43"/>
    </row>
    <row r="80" spans="2:9" hidden="1" x14ac:dyDescent="0.25">
      <c r="B80" s="40"/>
      <c r="C80" s="42" t="s">
        <v>946</v>
      </c>
      <c r="D80" s="42" t="s">
        <v>947</v>
      </c>
      <c r="E80" s="42" t="s">
        <v>836</v>
      </c>
      <c r="F80" s="47" t="s">
        <v>21</v>
      </c>
      <c r="G80" s="42" t="s">
        <v>837</v>
      </c>
      <c r="H80" s="42" t="s">
        <v>838</v>
      </c>
      <c r="I80" s="43"/>
    </row>
    <row r="81" spans="2:9" hidden="1" x14ac:dyDescent="0.25">
      <c r="B81" s="40"/>
      <c r="C81" s="42" t="s">
        <v>948</v>
      </c>
      <c r="D81" s="42" t="s">
        <v>949</v>
      </c>
      <c r="E81" s="42" t="s">
        <v>836</v>
      </c>
      <c r="F81" s="47" t="s">
        <v>21</v>
      </c>
      <c r="G81" s="42" t="s">
        <v>837</v>
      </c>
      <c r="H81" s="42" t="s">
        <v>838</v>
      </c>
      <c r="I81" s="43"/>
    </row>
    <row r="82" spans="2:9" hidden="1" x14ac:dyDescent="0.25">
      <c r="B82" s="40"/>
      <c r="C82" s="42" t="s">
        <v>950</v>
      </c>
      <c r="D82" s="42" t="s">
        <v>951</v>
      </c>
      <c r="E82" s="42" t="s">
        <v>836</v>
      </c>
      <c r="F82" s="48" t="s">
        <v>278</v>
      </c>
      <c r="G82" s="42" t="s">
        <v>837</v>
      </c>
      <c r="H82" s="42" t="s">
        <v>838</v>
      </c>
      <c r="I82" s="43"/>
    </row>
    <row r="83" spans="2:9" hidden="1" x14ac:dyDescent="0.25">
      <c r="B83" s="40"/>
      <c r="C83" s="42" t="s">
        <v>271</v>
      </c>
      <c r="D83" s="42" t="s">
        <v>952</v>
      </c>
      <c r="E83" s="42" t="s">
        <v>836</v>
      </c>
      <c r="F83" s="47" t="s">
        <v>21</v>
      </c>
      <c r="G83" s="42" t="s">
        <v>837</v>
      </c>
      <c r="H83" s="42" t="s">
        <v>838</v>
      </c>
      <c r="I83" s="43"/>
    </row>
    <row r="84" spans="2:9" hidden="1" x14ac:dyDescent="0.25">
      <c r="B84" s="40"/>
      <c r="C84" s="42" t="s">
        <v>342</v>
      </c>
      <c r="D84" s="42" t="s">
        <v>953</v>
      </c>
      <c r="E84" s="42" t="s">
        <v>836</v>
      </c>
      <c r="F84" s="47" t="s">
        <v>21</v>
      </c>
      <c r="G84" s="42" t="s">
        <v>837</v>
      </c>
      <c r="H84" s="42" t="s">
        <v>838</v>
      </c>
      <c r="I84" s="43"/>
    </row>
    <row r="85" spans="2:9" hidden="1" x14ac:dyDescent="0.25">
      <c r="B85" s="40"/>
      <c r="C85" s="42" t="s">
        <v>955</v>
      </c>
      <c r="D85" s="42" t="s">
        <v>956</v>
      </c>
      <c r="E85" s="42" t="s">
        <v>836</v>
      </c>
      <c r="F85" s="48" t="s">
        <v>278</v>
      </c>
      <c r="G85" s="42" t="s">
        <v>837</v>
      </c>
      <c r="H85" s="42" t="s">
        <v>838</v>
      </c>
      <c r="I85" s="43"/>
    </row>
    <row r="86" spans="2:9" hidden="1" x14ac:dyDescent="0.25">
      <c r="B86" s="40"/>
      <c r="C86" s="42" t="s">
        <v>957</v>
      </c>
      <c r="D86" s="42" t="s">
        <v>958</v>
      </c>
      <c r="E86" s="42" t="s">
        <v>836</v>
      </c>
      <c r="F86" s="48" t="s">
        <v>278</v>
      </c>
      <c r="G86" s="42" t="s">
        <v>837</v>
      </c>
      <c r="H86" s="42" t="s">
        <v>838</v>
      </c>
      <c r="I86" s="43"/>
    </row>
    <row r="87" spans="2:9" hidden="1" x14ac:dyDescent="0.25">
      <c r="B87" s="40"/>
      <c r="C87" s="42" t="s">
        <v>1620</v>
      </c>
      <c r="D87" s="42" t="s">
        <v>1621</v>
      </c>
      <c r="E87" s="42" t="s">
        <v>836</v>
      </c>
      <c r="F87" s="47" t="s">
        <v>21</v>
      </c>
      <c r="G87" s="42" t="s">
        <v>837</v>
      </c>
      <c r="H87" s="42" t="s">
        <v>838</v>
      </c>
      <c r="I87" s="43"/>
    </row>
    <row r="88" spans="2:9" hidden="1" x14ac:dyDescent="0.25">
      <c r="B88" s="40"/>
      <c r="C88" s="42" t="s">
        <v>60</v>
      </c>
      <c r="D88" s="42" t="s">
        <v>959</v>
      </c>
      <c r="E88" s="42" t="s">
        <v>836</v>
      </c>
      <c r="F88" s="47" t="s">
        <v>21</v>
      </c>
      <c r="G88" s="42" t="s">
        <v>837</v>
      </c>
      <c r="H88" s="42" t="s">
        <v>838</v>
      </c>
      <c r="I88" s="43"/>
    </row>
    <row r="89" spans="2:9" hidden="1" x14ac:dyDescent="0.25">
      <c r="B89" s="40"/>
      <c r="C89" s="42" t="s">
        <v>348</v>
      </c>
      <c r="D89" s="42" t="s">
        <v>960</v>
      </c>
      <c r="E89" s="42" t="s">
        <v>836</v>
      </c>
      <c r="F89" s="47" t="s">
        <v>21</v>
      </c>
      <c r="G89" s="42" t="s">
        <v>837</v>
      </c>
      <c r="H89" s="42" t="s">
        <v>838</v>
      </c>
      <c r="I89" s="43"/>
    </row>
    <row r="90" spans="2:9" hidden="1" x14ac:dyDescent="0.25">
      <c r="B90" s="40"/>
      <c r="C90" s="42" t="s">
        <v>790</v>
      </c>
      <c r="D90" s="42" t="s">
        <v>961</v>
      </c>
      <c r="E90" s="42" t="s">
        <v>836</v>
      </c>
      <c r="F90" s="48" t="s">
        <v>278</v>
      </c>
      <c r="G90" s="42" t="s">
        <v>837</v>
      </c>
      <c r="H90" s="42" t="s">
        <v>838</v>
      </c>
      <c r="I90" s="43"/>
    </row>
    <row r="91" spans="2:9" hidden="1" x14ac:dyDescent="0.25">
      <c r="B91" s="40"/>
      <c r="C91" s="42" t="s">
        <v>447</v>
      </c>
      <c r="D91" s="42" t="s">
        <v>962</v>
      </c>
      <c r="E91" s="42" t="s">
        <v>836</v>
      </c>
      <c r="F91" s="47" t="s">
        <v>21</v>
      </c>
      <c r="G91" s="42" t="s">
        <v>837</v>
      </c>
      <c r="H91" s="42" t="s">
        <v>838</v>
      </c>
      <c r="I91" s="43"/>
    </row>
    <row r="92" spans="2:9" hidden="1" x14ac:dyDescent="0.25">
      <c r="B92" s="40"/>
      <c r="C92" s="42" t="s">
        <v>636</v>
      </c>
      <c r="D92" s="42" t="s">
        <v>963</v>
      </c>
      <c r="E92" s="42" t="s">
        <v>836</v>
      </c>
      <c r="F92" s="47" t="s">
        <v>21</v>
      </c>
      <c r="G92" s="42" t="s">
        <v>837</v>
      </c>
      <c r="H92" s="42" t="s">
        <v>838</v>
      </c>
      <c r="I92" s="43"/>
    </row>
    <row r="93" spans="2:9" hidden="1" x14ac:dyDescent="0.25">
      <c r="B93" s="40"/>
      <c r="C93" s="42" t="s">
        <v>358</v>
      </c>
      <c r="D93" s="42" t="s">
        <v>964</v>
      </c>
      <c r="E93" s="42" t="s">
        <v>836</v>
      </c>
      <c r="F93" s="47" t="s">
        <v>21</v>
      </c>
      <c r="G93" s="42" t="s">
        <v>837</v>
      </c>
      <c r="H93" s="42" t="s">
        <v>838</v>
      </c>
      <c r="I93" s="43"/>
    </row>
    <row r="94" spans="2:9" hidden="1" x14ac:dyDescent="0.25">
      <c r="B94" s="40"/>
      <c r="C94" s="42" t="s">
        <v>965</v>
      </c>
      <c r="D94" s="42" t="s">
        <v>966</v>
      </c>
      <c r="E94" s="42" t="s">
        <v>836</v>
      </c>
      <c r="F94" s="47" t="s">
        <v>21</v>
      </c>
      <c r="G94" s="42" t="s">
        <v>837</v>
      </c>
      <c r="H94" s="42" t="s">
        <v>838</v>
      </c>
      <c r="I94" s="43"/>
    </row>
    <row r="95" spans="2:9" hidden="1" x14ac:dyDescent="0.25">
      <c r="B95" s="40"/>
      <c r="C95" s="42" t="s">
        <v>361</v>
      </c>
      <c r="D95" s="42" t="s">
        <v>967</v>
      </c>
      <c r="E95" s="42" t="s">
        <v>836</v>
      </c>
      <c r="F95" s="47" t="s">
        <v>21</v>
      </c>
      <c r="G95" s="42" t="s">
        <v>837</v>
      </c>
      <c r="H95" s="42" t="s">
        <v>838</v>
      </c>
      <c r="I95" s="43"/>
    </row>
    <row r="96" spans="2:9" hidden="1" x14ac:dyDescent="0.25">
      <c r="B96" s="40"/>
      <c r="C96" s="42" t="s">
        <v>363</v>
      </c>
      <c r="D96" s="42" t="s">
        <v>968</v>
      </c>
      <c r="E96" s="42" t="s">
        <v>836</v>
      </c>
      <c r="F96" s="47" t="s">
        <v>21</v>
      </c>
      <c r="G96" s="42" t="s">
        <v>837</v>
      </c>
      <c r="H96" s="42" t="s">
        <v>838</v>
      </c>
      <c r="I96" s="43"/>
    </row>
    <row r="97" spans="2:9" hidden="1" x14ac:dyDescent="0.25">
      <c r="B97" s="40"/>
      <c r="C97" s="42" t="s">
        <v>969</v>
      </c>
      <c r="D97" s="42" t="s">
        <v>970</v>
      </c>
      <c r="E97" s="42" t="s">
        <v>836</v>
      </c>
      <c r="F97" s="47" t="s">
        <v>21</v>
      </c>
      <c r="G97" s="42" t="s">
        <v>837</v>
      </c>
      <c r="H97" s="42" t="s">
        <v>838</v>
      </c>
      <c r="I97" s="43"/>
    </row>
    <row r="98" spans="2:9" hidden="1" x14ac:dyDescent="0.25">
      <c r="B98" s="40"/>
      <c r="C98" s="42" t="s">
        <v>365</v>
      </c>
      <c r="D98" s="42" t="s">
        <v>971</v>
      </c>
      <c r="E98" s="42" t="s">
        <v>836</v>
      </c>
      <c r="F98" s="47" t="s">
        <v>21</v>
      </c>
      <c r="G98" s="42" t="s">
        <v>837</v>
      </c>
      <c r="H98" s="42" t="s">
        <v>838</v>
      </c>
      <c r="I98" s="43"/>
    </row>
    <row r="99" spans="2:9" hidden="1" x14ac:dyDescent="0.25">
      <c r="B99" s="40"/>
      <c r="C99" s="42" t="s">
        <v>972</v>
      </c>
      <c r="D99" s="42" t="s">
        <v>973</v>
      </c>
      <c r="E99" s="42" t="s">
        <v>836</v>
      </c>
      <c r="F99" s="52" t="s">
        <v>974</v>
      </c>
      <c r="G99" s="42" t="s">
        <v>838</v>
      </c>
      <c r="H99" s="42" t="s">
        <v>838</v>
      </c>
      <c r="I99" s="43"/>
    </row>
    <row r="100" spans="2:9" hidden="1" x14ac:dyDescent="0.25">
      <c r="B100" s="41"/>
      <c r="C100" s="44" t="s">
        <v>975</v>
      </c>
      <c r="D100" s="44" t="s">
        <v>976</v>
      </c>
      <c r="E100" s="44" t="s">
        <v>836</v>
      </c>
      <c r="F100" s="53" t="s">
        <v>21</v>
      </c>
      <c r="G100" s="44" t="s">
        <v>837</v>
      </c>
      <c r="H100" s="44" t="s">
        <v>838</v>
      </c>
      <c r="I100" s="45"/>
    </row>
    <row r="101" spans="2:9" hidden="1" x14ac:dyDescent="0.25">
      <c r="B101" s="40"/>
      <c r="C101" s="42" t="s">
        <v>977</v>
      </c>
      <c r="D101" s="42" t="s">
        <v>978</v>
      </c>
      <c r="E101" s="42" t="s">
        <v>836</v>
      </c>
      <c r="F101" s="48" t="s">
        <v>278</v>
      </c>
      <c r="G101" s="42" t="s">
        <v>837</v>
      </c>
      <c r="H101" s="42" t="s">
        <v>838</v>
      </c>
      <c r="I101" s="43"/>
    </row>
    <row r="102" spans="2:9" hidden="1" x14ac:dyDescent="0.25">
      <c r="B102" s="40"/>
      <c r="C102" s="42" t="s">
        <v>979</v>
      </c>
      <c r="D102" s="42" t="s">
        <v>980</v>
      </c>
      <c r="E102" s="42" t="s">
        <v>836</v>
      </c>
      <c r="F102" s="47" t="s">
        <v>21</v>
      </c>
      <c r="G102" s="42" t="s">
        <v>837</v>
      </c>
      <c r="H102" s="42" t="s">
        <v>838</v>
      </c>
      <c r="I102" s="43"/>
    </row>
    <row r="103" spans="2:9" hidden="1" x14ac:dyDescent="0.25">
      <c r="B103" s="40"/>
      <c r="C103" s="42" t="s">
        <v>369</v>
      </c>
      <c r="D103" s="42" t="s">
        <v>981</v>
      </c>
      <c r="E103" s="42" t="s">
        <v>836</v>
      </c>
      <c r="F103" s="47" t="s">
        <v>21</v>
      </c>
      <c r="G103" s="42" t="s">
        <v>837</v>
      </c>
      <c r="H103" s="42" t="s">
        <v>838</v>
      </c>
      <c r="I103" s="43"/>
    </row>
    <row r="104" spans="2:9" hidden="1" x14ac:dyDescent="0.25">
      <c r="B104" s="40"/>
      <c r="C104" s="42" t="s">
        <v>372</v>
      </c>
      <c r="D104" s="42" t="s">
        <v>982</v>
      </c>
      <c r="E104" s="42" t="s">
        <v>836</v>
      </c>
      <c r="F104" s="47" t="s">
        <v>21</v>
      </c>
      <c r="G104" s="42" t="s">
        <v>837</v>
      </c>
      <c r="H104" s="42" t="s">
        <v>838</v>
      </c>
      <c r="I104" s="43"/>
    </row>
    <row r="105" spans="2:9" hidden="1" x14ac:dyDescent="0.25">
      <c r="B105" s="40"/>
      <c r="C105" s="42" t="s">
        <v>983</v>
      </c>
      <c r="D105" s="42" t="s">
        <v>984</v>
      </c>
      <c r="E105" s="42" t="s">
        <v>896</v>
      </c>
      <c r="F105" s="52" t="s">
        <v>974</v>
      </c>
      <c r="G105" s="42" t="s">
        <v>838</v>
      </c>
      <c r="H105" s="42" t="s">
        <v>838</v>
      </c>
      <c r="I105" s="43"/>
    </row>
    <row r="106" spans="2:9" hidden="1" x14ac:dyDescent="0.25">
      <c r="B106" s="41"/>
      <c r="C106" s="44" t="s">
        <v>985</v>
      </c>
      <c r="D106" s="44" t="s">
        <v>986</v>
      </c>
      <c r="E106" s="44" t="s">
        <v>836</v>
      </c>
      <c r="F106" s="53" t="s">
        <v>21</v>
      </c>
      <c r="G106" s="44" t="s">
        <v>837</v>
      </c>
      <c r="H106" s="44" t="s">
        <v>838</v>
      </c>
      <c r="I106" s="45"/>
    </row>
    <row r="107" spans="2:9" hidden="1" x14ac:dyDescent="0.25">
      <c r="B107" s="40"/>
      <c r="C107" s="42" t="s">
        <v>374</v>
      </c>
      <c r="D107" s="42" t="s">
        <v>987</v>
      </c>
      <c r="E107" s="42" t="s">
        <v>836</v>
      </c>
      <c r="F107" s="47" t="s">
        <v>21</v>
      </c>
      <c r="G107" s="42" t="s">
        <v>837</v>
      </c>
      <c r="H107" s="42" t="s">
        <v>838</v>
      </c>
      <c r="I107" s="43"/>
    </row>
    <row r="108" spans="2:9" hidden="1" x14ac:dyDescent="0.25">
      <c r="B108" s="40"/>
      <c r="C108" s="42" t="s">
        <v>376</v>
      </c>
      <c r="D108" s="42" t="s">
        <v>988</v>
      </c>
      <c r="E108" s="42" t="s">
        <v>836</v>
      </c>
      <c r="F108" s="47" t="s">
        <v>21</v>
      </c>
      <c r="G108" s="42" t="s">
        <v>837</v>
      </c>
      <c r="H108" s="42" t="s">
        <v>838</v>
      </c>
      <c r="I108" s="43"/>
    </row>
    <row r="109" spans="2:9" hidden="1" x14ac:dyDescent="0.25">
      <c r="B109" s="40"/>
      <c r="C109" s="42" t="s">
        <v>736</v>
      </c>
      <c r="D109" s="42" t="s">
        <v>989</v>
      </c>
      <c r="E109" s="42" t="s">
        <v>836</v>
      </c>
      <c r="F109" s="47" t="s">
        <v>21</v>
      </c>
      <c r="G109" s="42" t="s">
        <v>837</v>
      </c>
      <c r="H109" s="42" t="s">
        <v>838</v>
      </c>
      <c r="I109" s="43"/>
    </row>
    <row r="110" spans="2:9" hidden="1" x14ac:dyDescent="0.25">
      <c r="B110" s="40"/>
      <c r="C110" s="42" t="s">
        <v>381</v>
      </c>
      <c r="D110" s="42" t="s">
        <v>990</v>
      </c>
      <c r="E110" s="42" t="s">
        <v>836</v>
      </c>
      <c r="F110" s="48" t="s">
        <v>278</v>
      </c>
      <c r="G110" s="42" t="s">
        <v>837</v>
      </c>
      <c r="H110" s="42" t="s">
        <v>838</v>
      </c>
      <c r="I110" s="43"/>
    </row>
    <row r="111" spans="2:9" hidden="1" x14ac:dyDescent="0.25">
      <c r="B111" s="40"/>
      <c r="C111" s="42" t="s">
        <v>63</v>
      </c>
      <c r="D111" s="42" t="s">
        <v>991</v>
      </c>
      <c r="E111" s="42" t="s">
        <v>836</v>
      </c>
      <c r="F111" s="47" t="s">
        <v>21</v>
      </c>
      <c r="G111" s="42" t="s">
        <v>837</v>
      </c>
      <c r="H111" s="42" t="s">
        <v>838</v>
      </c>
      <c r="I111" s="43"/>
    </row>
    <row r="112" spans="2:9" hidden="1" x14ac:dyDescent="0.25">
      <c r="B112" s="40"/>
      <c r="C112" s="42" t="s">
        <v>992</v>
      </c>
      <c r="D112" s="42" t="s">
        <v>993</v>
      </c>
      <c r="E112" s="42" t="s">
        <v>836</v>
      </c>
      <c r="F112" s="47" t="s">
        <v>21</v>
      </c>
      <c r="G112" s="42" t="s">
        <v>837</v>
      </c>
      <c r="H112" s="42" t="s">
        <v>838</v>
      </c>
      <c r="I112" s="43"/>
    </row>
    <row r="113" spans="2:9" hidden="1" x14ac:dyDescent="0.25">
      <c r="B113" s="40"/>
      <c r="C113" s="42" t="s">
        <v>383</v>
      </c>
      <c r="D113" s="42" t="s">
        <v>994</v>
      </c>
      <c r="E113" s="42" t="s">
        <v>836</v>
      </c>
      <c r="F113" s="47" t="s">
        <v>21</v>
      </c>
      <c r="G113" s="42" t="s">
        <v>837</v>
      </c>
      <c r="H113" s="42" t="s">
        <v>838</v>
      </c>
      <c r="I113" s="43"/>
    </row>
    <row r="114" spans="2:9" hidden="1" x14ac:dyDescent="0.25">
      <c r="B114" s="40"/>
      <c r="C114" s="42" t="s">
        <v>995</v>
      </c>
      <c r="D114" s="42" t="s">
        <v>996</v>
      </c>
      <c r="E114" s="42" t="s">
        <v>845</v>
      </c>
      <c r="F114" s="48" t="s">
        <v>278</v>
      </c>
      <c r="G114" s="42" t="s">
        <v>837</v>
      </c>
      <c r="H114" s="42" t="s">
        <v>838</v>
      </c>
      <c r="I114" s="43"/>
    </row>
    <row r="115" spans="2:9" hidden="1" x14ac:dyDescent="0.25">
      <c r="B115" s="40"/>
      <c r="C115" s="42" t="s">
        <v>997</v>
      </c>
      <c r="D115" s="42" t="s">
        <v>998</v>
      </c>
      <c r="E115" s="42" t="s">
        <v>836</v>
      </c>
      <c r="F115" s="48" t="s">
        <v>278</v>
      </c>
      <c r="G115" s="42" t="s">
        <v>837</v>
      </c>
      <c r="H115" s="42" t="s">
        <v>838</v>
      </c>
      <c r="I115" s="43"/>
    </row>
    <row r="116" spans="2:9" hidden="1" x14ac:dyDescent="0.25">
      <c r="B116" s="40"/>
      <c r="C116" s="42" t="s">
        <v>66</v>
      </c>
      <c r="D116" s="42" t="s">
        <v>999</v>
      </c>
      <c r="E116" s="42" t="s">
        <v>836</v>
      </c>
      <c r="F116" s="47" t="s">
        <v>21</v>
      </c>
      <c r="G116" s="42" t="s">
        <v>837</v>
      </c>
      <c r="H116" s="42" t="s">
        <v>838</v>
      </c>
      <c r="I116" s="43"/>
    </row>
    <row r="117" spans="2:9" hidden="1" x14ac:dyDescent="0.25">
      <c r="B117" s="40"/>
      <c r="C117" s="42" t="s">
        <v>205</v>
      </c>
      <c r="D117" s="42" t="s">
        <v>1000</v>
      </c>
      <c r="E117" s="42" t="s">
        <v>836</v>
      </c>
      <c r="F117" s="47" t="s">
        <v>21</v>
      </c>
      <c r="G117" s="42" t="s">
        <v>837</v>
      </c>
      <c r="H117" s="42" t="s">
        <v>838</v>
      </c>
      <c r="I117" s="43"/>
    </row>
    <row r="118" spans="2:9" hidden="1" x14ac:dyDescent="0.25">
      <c r="B118" s="40"/>
      <c r="C118" s="42" t="s">
        <v>800</v>
      </c>
      <c r="D118" s="42" t="s">
        <v>1001</v>
      </c>
      <c r="E118" s="42" t="s">
        <v>836</v>
      </c>
      <c r="F118" s="47" t="s">
        <v>21</v>
      </c>
      <c r="G118" s="42" t="s">
        <v>837</v>
      </c>
      <c r="H118" s="42" t="s">
        <v>838</v>
      </c>
      <c r="I118" s="43"/>
    </row>
    <row r="119" spans="2:9" hidden="1" x14ac:dyDescent="0.25">
      <c r="B119" s="40"/>
      <c r="C119" s="42" t="s">
        <v>802</v>
      </c>
      <c r="D119" s="42" t="s">
        <v>1002</v>
      </c>
      <c r="E119" s="42" t="s">
        <v>836</v>
      </c>
      <c r="F119" s="47" t="s">
        <v>21</v>
      </c>
      <c r="G119" s="42" t="s">
        <v>837</v>
      </c>
      <c r="H119" s="42" t="s">
        <v>838</v>
      </c>
      <c r="I119" s="43"/>
    </row>
    <row r="120" spans="2:9" hidden="1" x14ac:dyDescent="0.25">
      <c r="B120" s="40"/>
      <c r="C120" s="42" t="s">
        <v>1003</v>
      </c>
      <c r="D120" s="42" t="s">
        <v>1004</v>
      </c>
      <c r="E120" s="42" t="s">
        <v>836</v>
      </c>
      <c r="F120" s="47" t="s">
        <v>21</v>
      </c>
      <c r="G120" s="42" t="s">
        <v>837</v>
      </c>
      <c r="H120" s="42" t="s">
        <v>838</v>
      </c>
      <c r="I120" s="43"/>
    </row>
    <row r="121" spans="2:9" hidden="1" x14ac:dyDescent="0.25">
      <c r="B121" s="40"/>
      <c r="C121" s="42" t="s">
        <v>1005</v>
      </c>
      <c r="D121" s="42" t="s">
        <v>1006</v>
      </c>
      <c r="E121" s="42" t="s">
        <v>836</v>
      </c>
      <c r="F121" s="48" t="s">
        <v>278</v>
      </c>
      <c r="G121" s="42" t="s">
        <v>837</v>
      </c>
      <c r="H121" s="42" t="s">
        <v>838</v>
      </c>
      <c r="I121" s="43"/>
    </row>
    <row r="122" spans="2:9" hidden="1" x14ac:dyDescent="0.25">
      <c r="B122" s="40"/>
      <c r="C122" s="42" t="s">
        <v>1007</v>
      </c>
      <c r="D122" s="42" t="s">
        <v>1008</v>
      </c>
      <c r="E122" s="42" t="s">
        <v>836</v>
      </c>
      <c r="F122" s="47" t="s">
        <v>21</v>
      </c>
      <c r="G122" s="42" t="s">
        <v>837</v>
      </c>
      <c r="H122" s="42" t="s">
        <v>838</v>
      </c>
      <c r="I122" s="43"/>
    </row>
    <row r="123" spans="2:9" hidden="1" x14ac:dyDescent="0.25">
      <c r="B123" s="40"/>
      <c r="C123" s="42" t="s">
        <v>356</v>
      </c>
      <c r="D123" s="42" t="s">
        <v>1009</v>
      </c>
      <c r="E123" s="42" t="s">
        <v>836</v>
      </c>
      <c r="F123" s="47" t="s">
        <v>21</v>
      </c>
      <c r="G123" s="42" t="s">
        <v>837</v>
      </c>
      <c r="H123" s="42" t="s">
        <v>838</v>
      </c>
      <c r="I123" s="43"/>
    </row>
    <row r="124" spans="2:9" hidden="1" x14ac:dyDescent="0.25">
      <c r="B124" s="40"/>
      <c r="C124" s="42" t="s">
        <v>1010</v>
      </c>
      <c r="D124" s="42" t="s">
        <v>1011</v>
      </c>
      <c r="E124" s="42" t="s">
        <v>836</v>
      </c>
      <c r="F124" s="47" t="s">
        <v>21</v>
      </c>
      <c r="G124" s="42" t="s">
        <v>837</v>
      </c>
      <c r="H124" s="42" t="s">
        <v>838</v>
      </c>
      <c r="I124" s="43"/>
    </row>
    <row r="125" spans="2:9" hidden="1" x14ac:dyDescent="0.25">
      <c r="B125" s="40"/>
      <c r="C125" s="42" t="s">
        <v>399</v>
      </c>
      <c r="D125" s="42" t="s">
        <v>1012</v>
      </c>
      <c r="E125" s="42" t="s">
        <v>836</v>
      </c>
      <c r="F125" s="47" t="s">
        <v>21</v>
      </c>
      <c r="G125" s="42" t="s">
        <v>837</v>
      </c>
      <c r="H125" s="42" t="s">
        <v>838</v>
      </c>
      <c r="I125" s="43"/>
    </row>
    <row r="126" spans="2:9" hidden="1" x14ac:dyDescent="0.25">
      <c r="B126" s="40"/>
      <c r="C126" s="42" t="s">
        <v>401</v>
      </c>
      <c r="D126" s="42" t="s">
        <v>1013</v>
      </c>
      <c r="E126" s="42" t="s">
        <v>836</v>
      </c>
      <c r="F126" s="47" t="s">
        <v>21</v>
      </c>
      <c r="G126" s="42" t="s">
        <v>837</v>
      </c>
      <c r="H126" s="42" t="s">
        <v>838</v>
      </c>
      <c r="I126" s="43"/>
    </row>
    <row r="127" spans="2:9" hidden="1" x14ac:dyDescent="0.25">
      <c r="B127" s="40"/>
      <c r="C127" s="42" t="s">
        <v>1014</v>
      </c>
      <c r="D127" s="42" t="s">
        <v>1015</v>
      </c>
      <c r="E127" s="42" t="s">
        <v>836</v>
      </c>
      <c r="F127" s="47" t="s">
        <v>21</v>
      </c>
      <c r="G127" s="42" t="s">
        <v>837</v>
      </c>
      <c r="H127" s="42" t="s">
        <v>838</v>
      </c>
      <c r="I127" s="43"/>
    </row>
    <row r="128" spans="2:9" hidden="1" x14ac:dyDescent="0.25">
      <c r="B128" s="40"/>
      <c r="C128" s="42" t="s">
        <v>69</v>
      </c>
      <c r="D128" s="42" t="s">
        <v>1016</v>
      </c>
      <c r="E128" s="42" t="s">
        <v>836</v>
      </c>
      <c r="F128" s="47" t="s">
        <v>21</v>
      </c>
      <c r="G128" s="42" t="s">
        <v>837</v>
      </c>
      <c r="H128" s="42" t="s">
        <v>838</v>
      </c>
      <c r="I128" s="43"/>
    </row>
    <row r="129" spans="2:9" hidden="1" x14ac:dyDescent="0.25">
      <c r="B129" s="40"/>
      <c r="C129" s="42" t="s">
        <v>404</v>
      </c>
      <c r="D129" s="42" t="s">
        <v>1017</v>
      </c>
      <c r="E129" s="42" t="s">
        <v>836</v>
      </c>
      <c r="F129" s="47" t="s">
        <v>21</v>
      </c>
      <c r="G129" s="42" t="s">
        <v>837</v>
      </c>
      <c r="H129" s="42" t="s">
        <v>838</v>
      </c>
      <c r="I129" s="43"/>
    </row>
    <row r="130" spans="2:9" hidden="1" x14ac:dyDescent="0.25">
      <c r="B130" s="40"/>
      <c r="C130" s="42" t="s">
        <v>407</v>
      </c>
      <c r="D130" s="42" t="s">
        <v>1018</v>
      </c>
      <c r="E130" s="42" t="s">
        <v>836</v>
      </c>
      <c r="F130" s="47" t="s">
        <v>21</v>
      </c>
      <c r="G130" s="42" t="s">
        <v>837</v>
      </c>
      <c r="H130" s="42" t="s">
        <v>838</v>
      </c>
      <c r="I130" s="43"/>
    </row>
    <row r="131" spans="2:9" hidden="1" x14ac:dyDescent="0.25">
      <c r="B131" s="40"/>
      <c r="C131" s="42" t="s">
        <v>409</v>
      </c>
      <c r="D131" s="42" t="s">
        <v>1019</v>
      </c>
      <c r="E131" s="42" t="s">
        <v>836</v>
      </c>
      <c r="F131" s="47" t="s">
        <v>21</v>
      </c>
      <c r="G131" s="42" t="s">
        <v>837</v>
      </c>
      <c r="H131" s="42" t="s">
        <v>838</v>
      </c>
      <c r="I131" s="43"/>
    </row>
    <row r="132" spans="2:9" hidden="1" x14ac:dyDescent="0.25">
      <c r="B132" s="40"/>
      <c r="C132" s="42" t="s">
        <v>1020</v>
      </c>
      <c r="D132" s="42" t="s">
        <v>1021</v>
      </c>
      <c r="E132" s="42" t="s">
        <v>836</v>
      </c>
      <c r="F132" s="48" t="s">
        <v>278</v>
      </c>
      <c r="G132" s="42" t="s">
        <v>837</v>
      </c>
      <c r="H132" s="42" t="s">
        <v>838</v>
      </c>
      <c r="I132" s="43"/>
    </row>
    <row r="133" spans="2:9" hidden="1" x14ac:dyDescent="0.25">
      <c r="B133" s="40"/>
      <c r="C133" s="42" t="s">
        <v>1022</v>
      </c>
      <c r="D133" s="42" t="s">
        <v>1023</v>
      </c>
      <c r="E133" s="42" t="s">
        <v>836</v>
      </c>
      <c r="F133" s="48" t="s">
        <v>278</v>
      </c>
      <c r="G133" s="42" t="s">
        <v>837</v>
      </c>
      <c r="H133" s="42" t="s">
        <v>838</v>
      </c>
      <c r="I133" s="43"/>
    </row>
    <row r="134" spans="2:9" hidden="1" x14ac:dyDescent="0.25">
      <c r="B134" s="40"/>
      <c r="C134" s="42" t="s">
        <v>643</v>
      </c>
      <c r="D134" s="42" t="s">
        <v>1024</v>
      </c>
      <c r="E134" s="42" t="s">
        <v>836</v>
      </c>
      <c r="F134" s="47" t="s">
        <v>21</v>
      </c>
      <c r="G134" s="42" t="s">
        <v>837</v>
      </c>
      <c r="H134" s="42" t="s">
        <v>838</v>
      </c>
      <c r="I134" s="43"/>
    </row>
    <row r="135" spans="2:9" hidden="1" x14ac:dyDescent="0.25">
      <c r="B135" s="40"/>
      <c r="C135" s="42" t="s">
        <v>71</v>
      </c>
      <c r="D135" s="42" t="s">
        <v>1025</v>
      </c>
      <c r="E135" s="42" t="s">
        <v>836</v>
      </c>
      <c r="F135" s="47" t="s">
        <v>21</v>
      </c>
      <c r="G135" s="42" t="s">
        <v>837</v>
      </c>
      <c r="H135" s="42" t="s">
        <v>838</v>
      </c>
      <c r="I135" s="43"/>
    </row>
    <row r="136" spans="2:9" hidden="1" x14ac:dyDescent="0.25">
      <c r="B136" s="40"/>
      <c r="C136" s="42" t="s">
        <v>1026</v>
      </c>
      <c r="D136" s="42" t="s">
        <v>1027</v>
      </c>
      <c r="E136" s="42" t="s">
        <v>836</v>
      </c>
      <c r="F136" s="47" t="s">
        <v>21</v>
      </c>
      <c r="G136" s="42" t="s">
        <v>837</v>
      </c>
      <c r="H136" s="42" t="s">
        <v>838</v>
      </c>
      <c r="I136" s="43"/>
    </row>
    <row r="137" spans="2:9" hidden="1" x14ac:dyDescent="0.25">
      <c r="B137" s="40"/>
      <c r="C137" s="42" t="s">
        <v>412</v>
      </c>
      <c r="D137" s="42" t="s">
        <v>1028</v>
      </c>
      <c r="E137" s="42" t="s">
        <v>836</v>
      </c>
      <c r="F137" s="47" t="s">
        <v>21</v>
      </c>
      <c r="G137" s="42" t="s">
        <v>837</v>
      </c>
      <c r="H137" s="42" t="s">
        <v>838</v>
      </c>
      <c r="I137" s="43"/>
    </row>
    <row r="138" spans="2:9" hidden="1" x14ac:dyDescent="0.25">
      <c r="B138" s="40"/>
      <c r="C138" s="42" t="s">
        <v>415</v>
      </c>
      <c r="D138" s="42" t="s">
        <v>1029</v>
      </c>
      <c r="E138" s="42" t="s">
        <v>836</v>
      </c>
      <c r="F138" s="48" t="s">
        <v>278</v>
      </c>
      <c r="G138" s="42" t="s">
        <v>837</v>
      </c>
      <c r="H138" s="42" t="s">
        <v>838</v>
      </c>
      <c r="I138" s="43"/>
    </row>
    <row r="139" spans="2:9" hidden="1" x14ac:dyDescent="0.25">
      <c r="B139" s="40"/>
      <c r="C139" s="42" t="s">
        <v>417</v>
      </c>
      <c r="D139" s="42" t="s">
        <v>1030</v>
      </c>
      <c r="E139" s="42" t="s">
        <v>836</v>
      </c>
      <c r="F139" s="47" t="s">
        <v>21</v>
      </c>
      <c r="G139" s="42" t="s">
        <v>837</v>
      </c>
      <c r="H139" s="42" t="s">
        <v>838</v>
      </c>
      <c r="I139" s="43"/>
    </row>
    <row r="140" spans="2:9" hidden="1" x14ac:dyDescent="0.25">
      <c r="B140" s="40"/>
      <c r="C140" s="42" t="s">
        <v>1031</v>
      </c>
      <c r="D140" s="42" t="s">
        <v>1032</v>
      </c>
      <c r="E140" s="42" t="s">
        <v>836</v>
      </c>
      <c r="F140" s="47" t="s">
        <v>21</v>
      </c>
      <c r="G140" s="42" t="s">
        <v>837</v>
      </c>
      <c r="H140" s="42" t="s">
        <v>838</v>
      </c>
      <c r="I140" s="43"/>
    </row>
    <row r="141" spans="2:9" hidden="1" x14ac:dyDescent="0.25">
      <c r="B141" s="40"/>
      <c r="C141" s="42" t="s">
        <v>728</v>
      </c>
      <c r="D141" s="42" t="s">
        <v>1033</v>
      </c>
      <c r="E141" s="42" t="s">
        <v>836</v>
      </c>
      <c r="F141" s="47" t="s">
        <v>21</v>
      </c>
      <c r="G141" s="42" t="s">
        <v>837</v>
      </c>
      <c r="H141" s="42" t="s">
        <v>838</v>
      </c>
      <c r="I141" s="43"/>
    </row>
    <row r="142" spans="2:9" hidden="1" x14ac:dyDescent="0.25">
      <c r="B142" s="40"/>
      <c r="C142" s="42" t="s">
        <v>782</v>
      </c>
      <c r="D142" s="42" t="s">
        <v>1034</v>
      </c>
      <c r="E142" s="42" t="s">
        <v>836</v>
      </c>
      <c r="F142" s="47" t="s">
        <v>21</v>
      </c>
      <c r="G142" s="42" t="s">
        <v>837</v>
      </c>
      <c r="H142" s="42" t="s">
        <v>838</v>
      </c>
      <c r="I142" s="43"/>
    </row>
    <row r="143" spans="2:9" hidden="1" x14ac:dyDescent="0.25">
      <c r="B143" s="40"/>
      <c r="C143" s="42" t="s">
        <v>1035</v>
      </c>
      <c r="D143" s="42" t="s">
        <v>1036</v>
      </c>
      <c r="E143" s="42" t="s">
        <v>836</v>
      </c>
      <c r="F143" s="48" t="s">
        <v>278</v>
      </c>
      <c r="G143" s="42" t="s">
        <v>837</v>
      </c>
      <c r="H143" s="42" t="s">
        <v>838</v>
      </c>
      <c r="I143" s="43"/>
    </row>
    <row r="144" spans="2:9" hidden="1" x14ac:dyDescent="0.25">
      <c r="B144" s="40"/>
      <c r="C144" s="42" t="s">
        <v>424</v>
      </c>
      <c r="D144" s="42" t="s">
        <v>1037</v>
      </c>
      <c r="E144" s="42" t="s">
        <v>836</v>
      </c>
      <c r="F144" s="47" t="s">
        <v>21</v>
      </c>
      <c r="G144" s="42" t="s">
        <v>837</v>
      </c>
      <c r="H144" s="42" t="s">
        <v>838</v>
      </c>
      <c r="I144" s="43"/>
    </row>
    <row r="145" spans="2:9" hidden="1" x14ac:dyDescent="0.25">
      <c r="B145" s="40"/>
      <c r="C145" s="42" t="s">
        <v>1038</v>
      </c>
      <c r="D145" s="42" t="s">
        <v>1039</v>
      </c>
      <c r="E145" s="42" t="s">
        <v>836</v>
      </c>
      <c r="F145" s="47" t="s">
        <v>21</v>
      </c>
      <c r="G145" s="42" t="s">
        <v>837</v>
      </c>
      <c r="H145" s="42" t="s">
        <v>838</v>
      </c>
      <c r="I145" s="43"/>
    </row>
    <row r="146" spans="2:9" hidden="1" x14ac:dyDescent="0.25">
      <c r="B146" s="40"/>
      <c r="C146" s="42" t="s">
        <v>77</v>
      </c>
      <c r="D146" s="42" t="s">
        <v>1040</v>
      </c>
      <c r="E146" s="42" t="s">
        <v>836</v>
      </c>
      <c r="F146" s="47" t="s">
        <v>21</v>
      </c>
      <c r="G146" s="42" t="s">
        <v>837</v>
      </c>
      <c r="H146" s="42" t="s">
        <v>838</v>
      </c>
      <c r="I146" s="43"/>
    </row>
    <row r="147" spans="2:9" hidden="1" x14ac:dyDescent="0.25">
      <c r="B147" s="40"/>
      <c r="C147" s="42" t="s">
        <v>426</v>
      </c>
      <c r="D147" s="42" t="s">
        <v>1041</v>
      </c>
      <c r="E147" s="42" t="s">
        <v>836</v>
      </c>
      <c r="F147" s="47" t="s">
        <v>21</v>
      </c>
      <c r="G147" s="42" t="s">
        <v>837</v>
      </c>
      <c r="H147" s="42" t="s">
        <v>838</v>
      </c>
      <c r="I147" s="43"/>
    </row>
    <row r="148" spans="2:9" hidden="1" x14ac:dyDescent="0.25">
      <c r="B148" s="40"/>
      <c r="C148" s="42" t="s">
        <v>561</v>
      </c>
      <c r="D148" s="42" t="s">
        <v>1042</v>
      </c>
      <c r="E148" s="42" t="s">
        <v>836</v>
      </c>
      <c r="F148" s="47" t="s">
        <v>21</v>
      </c>
      <c r="G148" s="42" t="s">
        <v>837</v>
      </c>
      <c r="H148" s="42" t="s">
        <v>838</v>
      </c>
      <c r="I148" s="43"/>
    </row>
    <row r="149" spans="2:9" hidden="1" x14ac:dyDescent="0.25">
      <c r="B149" s="40"/>
      <c r="C149" s="42" t="s">
        <v>1043</v>
      </c>
      <c r="D149" s="42" t="s">
        <v>1044</v>
      </c>
      <c r="E149" s="42" t="s">
        <v>836</v>
      </c>
      <c r="F149" s="47" t="s">
        <v>21</v>
      </c>
      <c r="G149" s="42" t="s">
        <v>837</v>
      </c>
      <c r="H149" s="42" t="s">
        <v>838</v>
      </c>
      <c r="I149" s="43"/>
    </row>
    <row r="150" spans="2:9" hidden="1" x14ac:dyDescent="0.25">
      <c r="B150" s="40"/>
      <c r="C150" s="42" t="s">
        <v>430</v>
      </c>
      <c r="D150" s="42" t="s">
        <v>1045</v>
      </c>
      <c r="E150" s="42" t="s">
        <v>836</v>
      </c>
      <c r="F150" s="47" t="s">
        <v>21</v>
      </c>
      <c r="G150" s="42" t="s">
        <v>837</v>
      </c>
      <c r="H150" s="42" t="s">
        <v>838</v>
      </c>
      <c r="I150" s="43"/>
    </row>
    <row r="151" spans="2:9" hidden="1" x14ac:dyDescent="0.25">
      <c r="B151" s="40"/>
      <c r="C151" s="42" t="s">
        <v>672</v>
      </c>
      <c r="D151" s="42" t="s">
        <v>1046</v>
      </c>
      <c r="E151" s="42" t="s">
        <v>836</v>
      </c>
      <c r="F151" s="47" t="s">
        <v>21</v>
      </c>
      <c r="G151" s="42" t="s">
        <v>837</v>
      </c>
      <c r="H151" s="42" t="s">
        <v>838</v>
      </c>
      <c r="I151" s="43"/>
    </row>
    <row r="152" spans="2:9" hidden="1" x14ac:dyDescent="0.25">
      <c r="B152" s="40"/>
      <c r="C152" s="42" t="s">
        <v>1047</v>
      </c>
      <c r="D152" s="42" t="s">
        <v>1048</v>
      </c>
      <c r="E152" s="42" t="s">
        <v>836</v>
      </c>
      <c r="F152" s="47" t="s">
        <v>21</v>
      </c>
      <c r="G152" s="42" t="s">
        <v>837</v>
      </c>
      <c r="H152" s="42" t="s">
        <v>838</v>
      </c>
      <c r="I152" s="43"/>
    </row>
    <row r="153" spans="2:9" hidden="1" x14ac:dyDescent="0.25">
      <c r="B153" s="40"/>
      <c r="C153" s="42" t="s">
        <v>1049</v>
      </c>
      <c r="D153" s="42" t="s">
        <v>1050</v>
      </c>
      <c r="E153" s="42" t="s">
        <v>836</v>
      </c>
      <c r="F153" s="51" t="s">
        <v>1051</v>
      </c>
      <c r="G153" s="42" t="s">
        <v>837</v>
      </c>
      <c r="H153" s="42" t="s">
        <v>838</v>
      </c>
      <c r="I153" s="43"/>
    </row>
    <row r="154" spans="2:9" hidden="1" x14ac:dyDescent="0.25">
      <c r="B154" s="40"/>
      <c r="C154" s="42" t="s">
        <v>79</v>
      </c>
      <c r="D154" s="42" t="s">
        <v>1052</v>
      </c>
      <c r="E154" s="42" t="s">
        <v>836</v>
      </c>
      <c r="F154" s="47" t="s">
        <v>21</v>
      </c>
      <c r="G154" s="42" t="s">
        <v>837</v>
      </c>
      <c r="H154" s="42" t="s">
        <v>838</v>
      </c>
      <c r="I154" s="43"/>
    </row>
    <row r="155" spans="2:9" hidden="1" x14ac:dyDescent="0.25">
      <c r="B155" s="41"/>
      <c r="C155" s="44" t="s">
        <v>1053</v>
      </c>
      <c r="D155" s="44" t="s">
        <v>1054</v>
      </c>
      <c r="E155" s="44" t="s">
        <v>836</v>
      </c>
      <c r="F155" s="53" t="s">
        <v>21</v>
      </c>
      <c r="G155" s="44" t="s">
        <v>837</v>
      </c>
      <c r="H155" s="44" t="s">
        <v>838</v>
      </c>
      <c r="I155" s="45"/>
    </row>
    <row r="156" spans="2:9" hidden="1" x14ac:dyDescent="0.25">
      <c r="B156" s="40"/>
      <c r="C156" s="42" t="s">
        <v>82</v>
      </c>
      <c r="D156" s="42" t="s">
        <v>1055</v>
      </c>
      <c r="E156" s="42" t="s">
        <v>836</v>
      </c>
      <c r="F156" s="48" t="s">
        <v>278</v>
      </c>
      <c r="G156" s="42" t="s">
        <v>837</v>
      </c>
      <c r="H156" s="42" t="s">
        <v>838</v>
      </c>
      <c r="I156" s="43"/>
    </row>
    <row r="157" spans="2:9" hidden="1" x14ac:dyDescent="0.25">
      <c r="B157" s="40"/>
      <c r="C157" s="42" t="s">
        <v>1056</v>
      </c>
      <c r="D157" s="42" t="s">
        <v>1057</v>
      </c>
      <c r="E157" s="42" t="s">
        <v>845</v>
      </c>
      <c r="F157" s="48" t="s">
        <v>278</v>
      </c>
      <c r="G157" s="42" t="s">
        <v>837</v>
      </c>
      <c r="H157" s="42" t="s">
        <v>838</v>
      </c>
      <c r="I157" s="43"/>
    </row>
    <row r="158" spans="2:9" hidden="1" x14ac:dyDescent="0.25">
      <c r="B158" s="40"/>
      <c r="C158" s="42" t="s">
        <v>1058</v>
      </c>
      <c r="D158" s="42" t="s">
        <v>1059</v>
      </c>
      <c r="E158" s="42" t="s">
        <v>836</v>
      </c>
      <c r="F158" s="48" t="s">
        <v>278</v>
      </c>
      <c r="G158" s="42" t="s">
        <v>837</v>
      </c>
      <c r="H158" s="42" t="s">
        <v>838</v>
      </c>
      <c r="I158" s="43"/>
    </row>
    <row r="159" spans="2:9" hidden="1" x14ac:dyDescent="0.25">
      <c r="B159" s="40"/>
      <c r="C159" s="42" t="s">
        <v>1060</v>
      </c>
      <c r="D159" s="42" t="s">
        <v>1061</v>
      </c>
      <c r="E159" s="42" t="s">
        <v>845</v>
      </c>
      <c r="F159" s="48" t="s">
        <v>278</v>
      </c>
      <c r="G159" s="42" t="s">
        <v>837</v>
      </c>
      <c r="H159" s="42" t="s">
        <v>838</v>
      </c>
      <c r="I159" s="43"/>
    </row>
    <row r="160" spans="2:9" hidden="1" x14ac:dyDescent="0.25">
      <c r="B160" s="40"/>
      <c r="C160" s="42" t="s">
        <v>1064</v>
      </c>
      <c r="D160" s="42" t="s">
        <v>1065</v>
      </c>
      <c r="E160" s="42" t="s">
        <v>836</v>
      </c>
      <c r="F160" s="48" t="s">
        <v>278</v>
      </c>
      <c r="G160" s="42" t="s">
        <v>837</v>
      </c>
      <c r="H160" s="42" t="s">
        <v>838</v>
      </c>
      <c r="I160" s="43"/>
    </row>
    <row r="161" spans="2:9" hidden="1" x14ac:dyDescent="0.25">
      <c r="B161" s="40"/>
      <c r="C161" s="42" t="s">
        <v>1622</v>
      </c>
      <c r="D161" s="42" t="s">
        <v>1623</v>
      </c>
      <c r="E161" s="42" t="s">
        <v>836</v>
      </c>
      <c r="F161" s="51" t="s">
        <v>1063</v>
      </c>
      <c r="G161" s="42" t="s">
        <v>837</v>
      </c>
      <c r="H161" s="42" t="s">
        <v>838</v>
      </c>
      <c r="I161" s="43"/>
    </row>
    <row r="162" spans="2:9" hidden="1" x14ac:dyDescent="0.25">
      <c r="B162" s="40"/>
      <c r="C162" s="42" t="s">
        <v>438</v>
      </c>
      <c r="D162" s="42" t="s">
        <v>1066</v>
      </c>
      <c r="E162" s="42" t="s">
        <v>836</v>
      </c>
      <c r="F162" s="47" t="s">
        <v>21</v>
      </c>
      <c r="G162" s="42" t="s">
        <v>837</v>
      </c>
      <c r="H162" s="42" t="s">
        <v>838</v>
      </c>
      <c r="I162" s="43"/>
    </row>
    <row r="163" spans="2:9" hidden="1" x14ac:dyDescent="0.25">
      <c r="B163" s="40"/>
      <c r="C163" s="42" t="s">
        <v>440</v>
      </c>
      <c r="D163" s="42" t="s">
        <v>1067</v>
      </c>
      <c r="E163" s="42" t="s">
        <v>836</v>
      </c>
      <c r="F163" s="47" t="s">
        <v>21</v>
      </c>
      <c r="G163" s="42" t="s">
        <v>837</v>
      </c>
      <c r="H163" s="42" t="s">
        <v>838</v>
      </c>
      <c r="I163" s="43"/>
    </row>
    <row r="164" spans="2:9" hidden="1" x14ac:dyDescent="0.25">
      <c r="B164" s="40"/>
      <c r="C164" s="42" t="s">
        <v>442</v>
      </c>
      <c r="D164" s="42" t="s">
        <v>1068</v>
      </c>
      <c r="E164" s="42" t="s">
        <v>836</v>
      </c>
      <c r="F164" s="47" t="s">
        <v>21</v>
      </c>
      <c r="G164" s="42" t="s">
        <v>837</v>
      </c>
      <c r="H164" s="42" t="s">
        <v>838</v>
      </c>
      <c r="I164" s="43"/>
    </row>
    <row r="165" spans="2:9" hidden="1" x14ac:dyDescent="0.25">
      <c r="B165" s="40"/>
      <c r="C165" s="42" t="s">
        <v>445</v>
      </c>
      <c r="D165" s="42" t="s">
        <v>1069</v>
      </c>
      <c r="E165" s="42" t="s">
        <v>836</v>
      </c>
      <c r="F165" s="47" t="s">
        <v>21</v>
      </c>
      <c r="G165" s="42" t="s">
        <v>837</v>
      </c>
      <c r="H165" s="42" t="s">
        <v>838</v>
      </c>
      <c r="I165" s="43"/>
    </row>
    <row r="166" spans="2:9" hidden="1" x14ac:dyDescent="0.25">
      <c r="B166" s="40"/>
      <c r="C166" s="42" t="s">
        <v>570</v>
      </c>
      <c r="D166" s="42" t="s">
        <v>1070</v>
      </c>
      <c r="E166" s="42" t="s">
        <v>836</v>
      </c>
      <c r="F166" s="47" t="s">
        <v>21</v>
      </c>
      <c r="G166" s="42" t="s">
        <v>837</v>
      </c>
      <c r="H166" s="42" t="s">
        <v>838</v>
      </c>
      <c r="I166" s="43"/>
    </row>
    <row r="167" spans="2:9" hidden="1" x14ac:dyDescent="0.25">
      <c r="B167" s="40"/>
      <c r="C167" s="42" t="s">
        <v>449</v>
      </c>
      <c r="D167" s="42" t="s">
        <v>1071</v>
      </c>
      <c r="E167" s="42" t="s">
        <v>836</v>
      </c>
      <c r="F167" s="47" t="s">
        <v>21</v>
      </c>
      <c r="G167" s="42" t="s">
        <v>837</v>
      </c>
      <c r="H167" s="42" t="s">
        <v>838</v>
      </c>
      <c r="I167" s="43"/>
    </row>
    <row r="168" spans="2:9" hidden="1" x14ac:dyDescent="0.25">
      <c r="B168" s="40"/>
      <c r="C168" s="42" t="s">
        <v>1072</v>
      </c>
      <c r="D168" s="42" t="s">
        <v>1073</v>
      </c>
      <c r="E168" s="42" t="s">
        <v>836</v>
      </c>
      <c r="F168" s="51" t="s">
        <v>1051</v>
      </c>
      <c r="G168" s="42" t="s">
        <v>837</v>
      </c>
      <c r="H168" s="42" t="s">
        <v>838</v>
      </c>
      <c r="I168" s="43"/>
    </row>
    <row r="169" spans="2:9" hidden="1" x14ac:dyDescent="0.25">
      <c r="B169" s="40"/>
      <c r="C169" s="42" t="s">
        <v>1074</v>
      </c>
      <c r="D169" s="42" t="s">
        <v>1075</v>
      </c>
      <c r="E169" s="42" t="s">
        <v>845</v>
      </c>
      <c r="F169" s="52" t="s">
        <v>974</v>
      </c>
      <c r="G169" s="42" t="s">
        <v>838</v>
      </c>
      <c r="H169" s="42" t="s">
        <v>838</v>
      </c>
      <c r="I169" s="43"/>
    </row>
    <row r="170" spans="2:9" hidden="1" x14ac:dyDescent="0.25">
      <c r="B170" s="40"/>
      <c r="C170" s="42" t="s">
        <v>1076</v>
      </c>
      <c r="D170" s="42" t="s">
        <v>1077</v>
      </c>
      <c r="E170" s="42" t="s">
        <v>836</v>
      </c>
      <c r="F170" s="48" t="s">
        <v>278</v>
      </c>
      <c r="G170" s="42" t="s">
        <v>837</v>
      </c>
      <c r="H170" s="42" t="s">
        <v>838</v>
      </c>
      <c r="I170" s="43"/>
    </row>
    <row r="171" spans="2:9" hidden="1" x14ac:dyDescent="0.25">
      <c r="B171" s="40"/>
      <c r="C171" s="42" t="s">
        <v>1078</v>
      </c>
      <c r="D171" s="42" t="s">
        <v>1079</v>
      </c>
      <c r="E171" s="42" t="s">
        <v>845</v>
      </c>
      <c r="F171" s="48" t="s">
        <v>278</v>
      </c>
      <c r="G171" s="42" t="s">
        <v>837</v>
      </c>
      <c r="H171" s="42" t="s">
        <v>838</v>
      </c>
      <c r="I171" s="43"/>
    </row>
    <row r="172" spans="2:9" hidden="1" x14ac:dyDescent="0.25">
      <c r="B172" s="40"/>
      <c r="C172" s="42" t="s">
        <v>1080</v>
      </c>
      <c r="D172" s="42" t="s">
        <v>1081</v>
      </c>
      <c r="E172" s="42" t="s">
        <v>836</v>
      </c>
      <c r="F172" s="47" t="s">
        <v>21</v>
      </c>
      <c r="G172" s="42" t="s">
        <v>837</v>
      </c>
      <c r="H172" s="42" t="s">
        <v>838</v>
      </c>
      <c r="I172" s="43"/>
    </row>
    <row r="173" spans="2:9" hidden="1" x14ac:dyDescent="0.25">
      <c r="B173" s="40"/>
      <c r="C173" s="42" t="s">
        <v>85</v>
      </c>
      <c r="D173" s="42" t="s">
        <v>1082</v>
      </c>
      <c r="E173" s="42" t="s">
        <v>836</v>
      </c>
      <c r="F173" s="47" t="s">
        <v>21</v>
      </c>
      <c r="G173" s="42" t="s">
        <v>837</v>
      </c>
      <c r="H173" s="42" t="s">
        <v>838</v>
      </c>
      <c r="I173" s="43"/>
    </row>
    <row r="174" spans="2:9" hidden="1" x14ac:dyDescent="0.25">
      <c r="B174" s="40"/>
      <c r="C174" s="42" t="s">
        <v>1083</v>
      </c>
      <c r="D174" s="42" t="s">
        <v>1084</v>
      </c>
      <c r="E174" s="42" t="s">
        <v>836</v>
      </c>
      <c r="F174" s="47" t="s">
        <v>21</v>
      </c>
      <c r="G174" s="42" t="s">
        <v>837</v>
      </c>
      <c r="H174" s="42" t="s">
        <v>838</v>
      </c>
      <c r="I174" s="43"/>
    </row>
    <row r="175" spans="2:9" hidden="1" x14ac:dyDescent="0.25">
      <c r="B175" s="40"/>
      <c r="C175" s="42" t="s">
        <v>208</v>
      </c>
      <c r="D175" s="42" t="s">
        <v>1085</v>
      </c>
      <c r="E175" s="42" t="s">
        <v>836</v>
      </c>
      <c r="F175" s="52" t="s">
        <v>974</v>
      </c>
      <c r="G175" s="42" t="s">
        <v>838</v>
      </c>
      <c r="H175" s="42" t="s">
        <v>838</v>
      </c>
      <c r="I175" s="43"/>
    </row>
    <row r="176" spans="2:9" hidden="1" x14ac:dyDescent="0.25">
      <c r="B176" s="40"/>
      <c r="C176" s="42" t="s">
        <v>1086</v>
      </c>
      <c r="D176" s="42" t="s">
        <v>1087</v>
      </c>
      <c r="E176" s="42" t="s">
        <v>836</v>
      </c>
      <c r="F176" s="49" t="s">
        <v>423</v>
      </c>
      <c r="G176" s="42" t="s">
        <v>837</v>
      </c>
      <c r="H176" s="42" t="s">
        <v>838</v>
      </c>
      <c r="I176" s="43"/>
    </row>
    <row r="177" spans="2:9" hidden="1" x14ac:dyDescent="0.25">
      <c r="B177" s="40"/>
      <c r="C177" s="42" t="s">
        <v>451</v>
      </c>
      <c r="D177" s="42" t="s">
        <v>1088</v>
      </c>
      <c r="E177" s="42" t="s">
        <v>836</v>
      </c>
      <c r="F177" s="47" t="s">
        <v>21</v>
      </c>
      <c r="G177" s="42" t="s">
        <v>837</v>
      </c>
      <c r="H177" s="42" t="s">
        <v>838</v>
      </c>
      <c r="I177" s="43"/>
    </row>
    <row r="178" spans="2:9" hidden="1" x14ac:dyDescent="0.25">
      <c r="B178" s="40"/>
      <c r="C178" s="42" t="s">
        <v>88</v>
      </c>
      <c r="D178" s="42" t="s">
        <v>1089</v>
      </c>
      <c r="E178" s="42" t="s">
        <v>836</v>
      </c>
      <c r="F178" s="47" t="s">
        <v>21</v>
      </c>
      <c r="G178" s="42" t="s">
        <v>837</v>
      </c>
      <c r="H178" s="42" t="s">
        <v>838</v>
      </c>
      <c r="I178" s="43"/>
    </row>
    <row r="179" spans="2:9" hidden="1" x14ac:dyDescent="0.25">
      <c r="B179" s="40"/>
      <c r="C179" s="42" t="s">
        <v>1090</v>
      </c>
      <c r="D179" s="42" t="s">
        <v>1091</v>
      </c>
      <c r="E179" s="42" t="s">
        <v>836</v>
      </c>
      <c r="F179" s="47" t="s">
        <v>21</v>
      </c>
      <c r="G179" s="42" t="s">
        <v>837</v>
      </c>
      <c r="H179" s="42" t="s">
        <v>838</v>
      </c>
      <c r="I179" s="43"/>
    </row>
    <row r="180" spans="2:9" hidden="1" x14ac:dyDescent="0.25">
      <c r="B180" s="40"/>
      <c r="C180" s="42" t="s">
        <v>1092</v>
      </c>
      <c r="D180" s="42" t="s">
        <v>1093</v>
      </c>
      <c r="E180" s="42" t="s">
        <v>836</v>
      </c>
      <c r="F180" s="49" t="s">
        <v>423</v>
      </c>
      <c r="G180" s="42" t="s">
        <v>837</v>
      </c>
      <c r="H180" s="42" t="s">
        <v>838</v>
      </c>
      <c r="I180" s="43"/>
    </row>
    <row r="181" spans="2:9" hidden="1" x14ac:dyDescent="0.25">
      <c r="B181" s="40"/>
      <c r="C181" s="42" t="s">
        <v>453</v>
      </c>
      <c r="D181" s="42" t="s">
        <v>1094</v>
      </c>
      <c r="E181" s="42" t="s">
        <v>836</v>
      </c>
      <c r="F181" s="47" t="s">
        <v>21</v>
      </c>
      <c r="G181" s="42" t="s">
        <v>837</v>
      </c>
      <c r="H181" s="42" t="s">
        <v>838</v>
      </c>
      <c r="I181" s="43"/>
    </row>
    <row r="182" spans="2:9" hidden="1" x14ac:dyDescent="0.25">
      <c r="B182" s="40"/>
      <c r="C182" s="42" t="s">
        <v>658</v>
      </c>
      <c r="D182" s="42" t="s">
        <v>1095</v>
      </c>
      <c r="E182" s="42" t="s">
        <v>836</v>
      </c>
      <c r="F182" s="47" t="s">
        <v>21</v>
      </c>
      <c r="G182" s="42" t="s">
        <v>837</v>
      </c>
      <c r="H182" s="42" t="s">
        <v>838</v>
      </c>
      <c r="I182" s="43"/>
    </row>
    <row r="183" spans="2:9" hidden="1" x14ac:dyDescent="0.25">
      <c r="B183" s="40"/>
      <c r="C183" s="42" t="s">
        <v>91</v>
      </c>
      <c r="D183" s="42" t="s">
        <v>1096</v>
      </c>
      <c r="E183" s="42" t="s">
        <v>836</v>
      </c>
      <c r="F183" s="47" t="s">
        <v>21</v>
      </c>
      <c r="G183" s="42" t="s">
        <v>837</v>
      </c>
      <c r="H183" s="42" t="s">
        <v>838</v>
      </c>
      <c r="I183" s="43"/>
    </row>
    <row r="184" spans="2:9" hidden="1" x14ac:dyDescent="0.25">
      <c r="B184" s="40"/>
      <c r="C184" s="42" t="s">
        <v>1097</v>
      </c>
      <c r="D184" s="42" t="s">
        <v>1098</v>
      </c>
      <c r="E184" s="42" t="s">
        <v>836</v>
      </c>
      <c r="F184" s="48" t="s">
        <v>278</v>
      </c>
      <c r="G184" s="42" t="s">
        <v>837</v>
      </c>
      <c r="H184" s="42" t="s">
        <v>838</v>
      </c>
      <c r="I184" s="43"/>
    </row>
    <row r="185" spans="2:9" hidden="1" x14ac:dyDescent="0.25">
      <c r="B185" s="40"/>
      <c r="C185" s="42" t="s">
        <v>458</v>
      </c>
      <c r="D185" s="42" t="s">
        <v>1099</v>
      </c>
      <c r="E185" s="42" t="s">
        <v>836</v>
      </c>
      <c r="F185" s="47" t="s">
        <v>21</v>
      </c>
      <c r="G185" s="42" t="s">
        <v>837</v>
      </c>
      <c r="H185" s="42" t="s">
        <v>838</v>
      </c>
      <c r="I185" s="43"/>
    </row>
    <row r="186" spans="2:9" hidden="1" x14ac:dyDescent="0.25">
      <c r="B186" s="40"/>
      <c r="C186" s="42" t="s">
        <v>351</v>
      </c>
      <c r="D186" s="42" t="s">
        <v>1101</v>
      </c>
      <c r="E186" s="42" t="s">
        <v>836</v>
      </c>
      <c r="F186" s="47" t="s">
        <v>21</v>
      </c>
      <c r="G186" s="42" t="s">
        <v>837</v>
      </c>
      <c r="H186" s="42" t="s">
        <v>838</v>
      </c>
      <c r="I186" s="43"/>
    </row>
    <row r="187" spans="2:9" hidden="1" x14ac:dyDescent="0.25">
      <c r="B187" s="40"/>
      <c r="C187" s="42" t="s">
        <v>465</v>
      </c>
      <c r="D187" s="42" t="s">
        <v>1102</v>
      </c>
      <c r="E187" s="42" t="s">
        <v>836</v>
      </c>
      <c r="F187" s="48" t="s">
        <v>278</v>
      </c>
      <c r="G187" s="42" t="s">
        <v>837</v>
      </c>
      <c r="H187" s="42" t="s">
        <v>838</v>
      </c>
      <c r="I187" s="43"/>
    </row>
    <row r="188" spans="2:9" hidden="1" x14ac:dyDescent="0.25">
      <c r="B188" s="40"/>
      <c r="C188" s="42" t="s">
        <v>709</v>
      </c>
      <c r="D188" s="42" t="s">
        <v>1103</v>
      </c>
      <c r="E188" s="42" t="s">
        <v>836</v>
      </c>
      <c r="F188" s="47" t="s">
        <v>21</v>
      </c>
      <c r="G188" s="42" t="s">
        <v>837</v>
      </c>
      <c r="H188" s="42" t="s">
        <v>838</v>
      </c>
      <c r="I188" s="43"/>
    </row>
    <row r="189" spans="2:9" hidden="1" x14ac:dyDescent="0.25">
      <c r="B189" s="40"/>
      <c r="C189" s="42" t="s">
        <v>1104</v>
      </c>
      <c r="D189" s="42" t="s">
        <v>1105</v>
      </c>
      <c r="E189" s="42" t="s">
        <v>836</v>
      </c>
      <c r="F189" s="47" t="s">
        <v>21</v>
      </c>
      <c r="G189" s="42" t="s">
        <v>837</v>
      </c>
      <c r="H189" s="42" t="s">
        <v>838</v>
      </c>
      <c r="I189" s="43"/>
    </row>
    <row r="190" spans="2:9" hidden="1" x14ac:dyDescent="0.25">
      <c r="B190" s="40"/>
      <c r="C190" s="42" t="s">
        <v>522</v>
      </c>
      <c r="D190" s="42" t="s">
        <v>1106</v>
      </c>
      <c r="E190" s="42" t="s">
        <v>836</v>
      </c>
      <c r="F190" s="47" t="s">
        <v>21</v>
      </c>
      <c r="G190" s="42" t="s">
        <v>837</v>
      </c>
      <c r="H190" s="42" t="s">
        <v>838</v>
      </c>
      <c r="I190" s="43"/>
    </row>
    <row r="191" spans="2:9" hidden="1" x14ac:dyDescent="0.25">
      <c r="B191" s="40"/>
      <c r="C191" s="42" t="s">
        <v>1107</v>
      </c>
      <c r="D191" s="42" t="s">
        <v>1108</v>
      </c>
      <c r="E191" s="42" t="s">
        <v>836</v>
      </c>
      <c r="F191" s="48" t="s">
        <v>278</v>
      </c>
      <c r="G191" s="42" t="s">
        <v>837</v>
      </c>
      <c r="H191" s="42" t="s">
        <v>838</v>
      </c>
      <c r="I191" s="43"/>
    </row>
    <row r="192" spans="2:9" hidden="1" x14ac:dyDescent="0.25">
      <c r="B192" s="40"/>
      <c r="C192" s="42" t="s">
        <v>1109</v>
      </c>
      <c r="D192" s="42" t="s">
        <v>1110</v>
      </c>
      <c r="E192" s="42" t="s">
        <v>836</v>
      </c>
      <c r="F192" s="49" t="s">
        <v>423</v>
      </c>
      <c r="G192" s="42" t="s">
        <v>837</v>
      </c>
      <c r="H192" s="42" t="s">
        <v>838</v>
      </c>
      <c r="I192" s="43"/>
    </row>
    <row r="193" spans="2:9" hidden="1" x14ac:dyDescent="0.25">
      <c r="B193" s="40"/>
      <c r="C193" s="42" t="s">
        <v>1111</v>
      </c>
      <c r="D193" s="42" t="s">
        <v>1112</v>
      </c>
      <c r="E193" s="42" t="s">
        <v>836</v>
      </c>
      <c r="F193" s="47" t="s">
        <v>21</v>
      </c>
      <c r="G193" s="42" t="s">
        <v>837</v>
      </c>
      <c r="H193" s="42" t="s">
        <v>838</v>
      </c>
      <c r="I193" s="43"/>
    </row>
    <row r="194" spans="2:9" hidden="1" x14ac:dyDescent="0.25">
      <c r="B194" s="40"/>
      <c r="C194" s="42" t="s">
        <v>94</v>
      </c>
      <c r="D194" s="42" t="s">
        <v>1113</v>
      </c>
      <c r="E194" s="42" t="s">
        <v>836</v>
      </c>
      <c r="F194" s="47" t="s">
        <v>21</v>
      </c>
      <c r="G194" s="42" t="s">
        <v>837</v>
      </c>
      <c r="H194" s="42" t="s">
        <v>838</v>
      </c>
      <c r="I194" s="43"/>
    </row>
    <row r="195" spans="2:9" hidden="1" x14ac:dyDescent="0.25">
      <c r="B195" s="40"/>
      <c r="C195" s="42" t="s">
        <v>1114</v>
      </c>
      <c r="D195" s="42" t="s">
        <v>1115</v>
      </c>
      <c r="E195" s="42" t="s">
        <v>845</v>
      </c>
      <c r="F195" s="48" t="s">
        <v>278</v>
      </c>
      <c r="G195" s="42" t="s">
        <v>837</v>
      </c>
      <c r="H195" s="42" t="s">
        <v>838</v>
      </c>
      <c r="I195" s="43"/>
    </row>
    <row r="196" spans="2:9" hidden="1" x14ac:dyDescent="0.25">
      <c r="B196" s="40"/>
      <c r="C196" s="42" t="s">
        <v>469</v>
      </c>
      <c r="D196" s="42" t="s">
        <v>1116</v>
      </c>
      <c r="E196" s="42" t="s">
        <v>836</v>
      </c>
      <c r="F196" s="47" t="s">
        <v>21</v>
      </c>
      <c r="G196" s="42" t="s">
        <v>837</v>
      </c>
      <c r="H196" s="42" t="s">
        <v>838</v>
      </c>
      <c r="I196" s="43"/>
    </row>
    <row r="197" spans="2:9" hidden="1" x14ac:dyDescent="0.25">
      <c r="B197" s="40"/>
      <c r="C197" s="42" t="s">
        <v>1117</v>
      </c>
      <c r="D197" s="42" t="s">
        <v>1118</v>
      </c>
      <c r="E197" s="42" t="s">
        <v>836</v>
      </c>
      <c r="F197" s="47" t="s">
        <v>21</v>
      </c>
      <c r="G197" s="42" t="s">
        <v>837</v>
      </c>
      <c r="H197" s="42" t="s">
        <v>838</v>
      </c>
      <c r="I197" s="43"/>
    </row>
    <row r="198" spans="2:9" hidden="1" x14ac:dyDescent="0.25">
      <c r="B198" s="40"/>
      <c r="C198" s="42" t="s">
        <v>1119</v>
      </c>
      <c r="D198" s="42" t="s">
        <v>1120</v>
      </c>
      <c r="E198" s="42" t="s">
        <v>845</v>
      </c>
      <c r="F198" s="48" t="s">
        <v>278</v>
      </c>
      <c r="G198" s="42" t="s">
        <v>837</v>
      </c>
      <c r="H198" s="42" t="s">
        <v>1121</v>
      </c>
      <c r="I198" s="43"/>
    </row>
    <row r="199" spans="2:9" hidden="1" x14ac:dyDescent="0.25">
      <c r="B199" s="40"/>
      <c r="C199" s="42" t="s">
        <v>1122</v>
      </c>
      <c r="D199" s="42" t="s">
        <v>1123</v>
      </c>
      <c r="E199" s="42" t="s">
        <v>836</v>
      </c>
      <c r="F199" s="52" t="s">
        <v>974</v>
      </c>
      <c r="G199" s="42" t="s">
        <v>838</v>
      </c>
      <c r="H199" s="42" t="s">
        <v>838</v>
      </c>
      <c r="I199" s="43"/>
    </row>
    <row r="200" spans="2:9" hidden="1" x14ac:dyDescent="0.25">
      <c r="B200" s="40"/>
      <c r="C200" s="42" t="s">
        <v>472</v>
      </c>
      <c r="D200" s="42" t="s">
        <v>1124</v>
      </c>
      <c r="E200" s="42" t="s">
        <v>836</v>
      </c>
      <c r="F200" s="47" t="s">
        <v>21</v>
      </c>
      <c r="G200" s="42" t="s">
        <v>837</v>
      </c>
      <c r="H200" s="42" t="s">
        <v>838</v>
      </c>
      <c r="I200" s="43"/>
    </row>
    <row r="201" spans="2:9" hidden="1" x14ac:dyDescent="0.25">
      <c r="B201" s="40"/>
      <c r="C201" s="42" t="s">
        <v>474</v>
      </c>
      <c r="D201" s="42" t="s">
        <v>1125</v>
      </c>
      <c r="E201" s="42" t="s">
        <v>836</v>
      </c>
      <c r="F201" s="47" t="s">
        <v>21</v>
      </c>
      <c r="G201" s="42" t="s">
        <v>837</v>
      </c>
      <c r="H201" s="42" t="s">
        <v>838</v>
      </c>
      <c r="I201" s="43"/>
    </row>
    <row r="202" spans="2:9" hidden="1" x14ac:dyDescent="0.25">
      <c r="B202" s="40"/>
      <c r="C202" s="42" t="s">
        <v>477</v>
      </c>
      <c r="D202" s="42" t="s">
        <v>1126</v>
      </c>
      <c r="E202" s="42" t="s">
        <v>836</v>
      </c>
      <c r="F202" s="47" t="s">
        <v>21</v>
      </c>
      <c r="G202" s="42" t="s">
        <v>837</v>
      </c>
      <c r="H202" s="42" t="s">
        <v>838</v>
      </c>
      <c r="I202" s="43"/>
    </row>
    <row r="203" spans="2:9" hidden="1" x14ac:dyDescent="0.25">
      <c r="B203" s="40"/>
      <c r="C203" s="42" t="s">
        <v>480</v>
      </c>
      <c r="D203" s="42" t="s">
        <v>1127</v>
      </c>
      <c r="E203" s="42" t="s">
        <v>836</v>
      </c>
      <c r="F203" s="51" t="s">
        <v>1051</v>
      </c>
      <c r="G203" s="42" t="s">
        <v>837</v>
      </c>
      <c r="H203" s="42" t="s">
        <v>838</v>
      </c>
      <c r="I203" s="43"/>
    </row>
    <row r="204" spans="2:9" hidden="1" x14ac:dyDescent="0.25">
      <c r="B204" s="40"/>
      <c r="C204" s="42" t="s">
        <v>1128</v>
      </c>
      <c r="D204" s="42" t="s">
        <v>1129</v>
      </c>
      <c r="E204" s="42" t="s">
        <v>836</v>
      </c>
      <c r="F204" s="48" t="s">
        <v>278</v>
      </c>
      <c r="G204" s="42" t="s">
        <v>837</v>
      </c>
      <c r="H204" s="42" t="s">
        <v>838</v>
      </c>
      <c r="I204" s="43"/>
    </row>
    <row r="205" spans="2:9" hidden="1" x14ac:dyDescent="0.25">
      <c r="B205" s="40"/>
      <c r="C205" s="42" t="s">
        <v>308</v>
      </c>
      <c r="D205" s="42" t="s">
        <v>1130</v>
      </c>
      <c r="E205" s="42" t="s">
        <v>836</v>
      </c>
      <c r="F205" s="47" t="s">
        <v>21</v>
      </c>
      <c r="G205" s="42" t="s">
        <v>837</v>
      </c>
      <c r="H205" s="42" t="s">
        <v>838</v>
      </c>
      <c r="I205" s="43"/>
    </row>
    <row r="206" spans="2:9" hidden="1" x14ac:dyDescent="0.25">
      <c r="B206" s="40"/>
      <c r="C206" s="42" t="s">
        <v>1131</v>
      </c>
      <c r="D206" s="42" t="s">
        <v>1132</v>
      </c>
      <c r="E206" s="42" t="s">
        <v>836</v>
      </c>
      <c r="F206" s="48" t="s">
        <v>278</v>
      </c>
      <c r="G206" s="42" t="s">
        <v>837</v>
      </c>
      <c r="H206" s="42" t="s">
        <v>838</v>
      </c>
      <c r="I206" s="43"/>
    </row>
    <row r="207" spans="2:9" hidden="1" x14ac:dyDescent="0.25">
      <c r="B207" s="40"/>
      <c r="C207" s="42" t="s">
        <v>96</v>
      </c>
      <c r="D207" s="42" t="s">
        <v>1133</v>
      </c>
      <c r="E207" s="42" t="s">
        <v>836</v>
      </c>
      <c r="F207" s="47" t="s">
        <v>21</v>
      </c>
      <c r="G207" s="42" t="s">
        <v>837</v>
      </c>
      <c r="H207" s="42" t="s">
        <v>838</v>
      </c>
      <c r="I207" s="43"/>
    </row>
    <row r="208" spans="2:9" hidden="1" x14ac:dyDescent="0.25">
      <c r="B208" s="40"/>
      <c r="C208" s="42" t="s">
        <v>482</v>
      </c>
      <c r="D208" s="42" t="s">
        <v>1134</v>
      </c>
      <c r="E208" s="42" t="s">
        <v>836</v>
      </c>
      <c r="F208" s="47" t="s">
        <v>21</v>
      </c>
      <c r="G208" s="42" t="s">
        <v>837</v>
      </c>
      <c r="H208" s="42" t="s">
        <v>838</v>
      </c>
      <c r="I208" s="43"/>
    </row>
    <row r="209" spans="2:9" hidden="1" x14ac:dyDescent="0.25">
      <c r="B209" s="40"/>
      <c r="C209" s="42" t="s">
        <v>1135</v>
      </c>
      <c r="D209" s="42" t="s">
        <v>1136</v>
      </c>
      <c r="E209" s="42" t="s">
        <v>836</v>
      </c>
      <c r="F209" s="47" t="s">
        <v>21</v>
      </c>
      <c r="G209" s="42" t="s">
        <v>837</v>
      </c>
      <c r="H209" s="42" t="s">
        <v>838</v>
      </c>
      <c r="I209" s="43"/>
    </row>
    <row r="210" spans="2:9" hidden="1" x14ac:dyDescent="0.25">
      <c r="B210" s="40"/>
      <c r="C210" s="42" t="s">
        <v>1137</v>
      </c>
      <c r="D210" s="42" t="s">
        <v>1138</v>
      </c>
      <c r="E210" s="42" t="s">
        <v>836</v>
      </c>
      <c r="F210" s="47" t="s">
        <v>21</v>
      </c>
      <c r="G210" s="42" t="s">
        <v>837</v>
      </c>
      <c r="H210" s="42" t="s">
        <v>838</v>
      </c>
      <c r="I210" s="43"/>
    </row>
    <row r="211" spans="2:9" hidden="1" x14ac:dyDescent="0.25">
      <c r="B211" s="40"/>
      <c r="C211" s="42" t="s">
        <v>1139</v>
      </c>
      <c r="D211" s="42" t="s">
        <v>1140</v>
      </c>
      <c r="E211" s="42" t="s">
        <v>836</v>
      </c>
      <c r="F211" s="48" t="s">
        <v>278</v>
      </c>
      <c r="G211" s="42" t="s">
        <v>837</v>
      </c>
      <c r="H211" s="42" t="s">
        <v>838</v>
      </c>
      <c r="I211" s="43"/>
    </row>
    <row r="212" spans="2:9" hidden="1" x14ac:dyDescent="0.25">
      <c r="B212" s="40"/>
      <c r="C212" s="42" t="s">
        <v>1143</v>
      </c>
      <c r="D212" s="42" t="s">
        <v>1144</v>
      </c>
      <c r="E212" s="42" t="s">
        <v>836</v>
      </c>
      <c r="F212" s="47" t="s">
        <v>21</v>
      </c>
      <c r="G212" s="42" t="s">
        <v>837</v>
      </c>
      <c r="H212" s="42" t="s">
        <v>838</v>
      </c>
      <c r="I212" s="43"/>
    </row>
    <row r="213" spans="2:9" hidden="1" x14ac:dyDescent="0.25">
      <c r="B213" s="40"/>
      <c r="C213" s="42" t="s">
        <v>484</v>
      </c>
      <c r="D213" s="42" t="s">
        <v>1145</v>
      </c>
      <c r="E213" s="42" t="s">
        <v>836</v>
      </c>
      <c r="F213" s="47" t="s">
        <v>21</v>
      </c>
      <c r="G213" s="42" t="s">
        <v>837</v>
      </c>
      <c r="H213" s="42" t="s">
        <v>838</v>
      </c>
      <c r="I213" s="43"/>
    </row>
    <row r="214" spans="2:9" hidden="1" x14ac:dyDescent="0.25">
      <c r="B214" s="40"/>
      <c r="C214" s="42" t="s">
        <v>98</v>
      </c>
      <c r="D214" s="42" t="s">
        <v>1146</v>
      </c>
      <c r="E214" s="42" t="s">
        <v>836</v>
      </c>
      <c r="F214" s="47" t="s">
        <v>21</v>
      </c>
      <c r="G214" s="42" t="s">
        <v>837</v>
      </c>
      <c r="H214" s="42" t="s">
        <v>838</v>
      </c>
      <c r="I214" s="43"/>
    </row>
    <row r="215" spans="2:9" hidden="1" x14ac:dyDescent="0.25">
      <c r="B215" s="40"/>
      <c r="C215" s="42" t="s">
        <v>1147</v>
      </c>
      <c r="D215" s="42" t="s">
        <v>1148</v>
      </c>
      <c r="E215" s="42" t="s">
        <v>836</v>
      </c>
      <c r="F215" s="47" t="s">
        <v>21</v>
      </c>
      <c r="G215" s="42" t="s">
        <v>837</v>
      </c>
      <c r="H215" s="42" t="s">
        <v>838</v>
      </c>
      <c r="I215" s="43"/>
    </row>
    <row r="216" spans="2:9" hidden="1" x14ac:dyDescent="0.25">
      <c r="B216" s="40"/>
      <c r="C216" s="42" t="s">
        <v>1149</v>
      </c>
      <c r="D216" s="42" t="s">
        <v>1150</v>
      </c>
      <c r="E216" s="42" t="s">
        <v>836</v>
      </c>
      <c r="F216" s="48" t="s">
        <v>278</v>
      </c>
      <c r="G216" s="42" t="s">
        <v>837</v>
      </c>
      <c r="H216" s="42" t="s">
        <v>838</v>
      </c>
      <c r="I216" s="43"/>
    </row>
    <row r="217" spans="2:9" hidden="1" x14ac:dyDescent="0.25">
      <c r="B217" s="40"/>
      <c r="C217" s="42" t="s">
        <v>489</v>
      </c>
      <c r="D217" s="42" t="s">
        <v>1151</v>
      </c>
      <c r="E217" s="42" t="s">
        <v>836</v>
      </c>
      <c r="F217" s="47" t="s">
        <v>21</v>
      </c>
      <c r="G217" s="42" t="s">
        <v>837</v>
      </c>
      <c r="H217" s="42" t="s">
        <v>838</v>
      </c>
      <c r="I217" s="43"/>
    </row>
    <row r="218" spans="2:9" hidden="1" x14ac:dyDescent="0.25">
      <c r="B218" s="40"/>
      <c r="C218" s="42" t="s">
        <v>491</v>
      </c>
      <c r="D218" s="42" t="s">
        <v>1152</v>
      </c>
      <c r="E218" s="42" t="s">
        <v>836</v>
      </c>
      <c r="F218" s="47" t="s">
        <v>21</v>
      </c>
      <c r="G218" s="42" t="s">
        <v>837</v>
      </c>
      <c r="H218" s="42" t="s">
        <v>838</v>
      </c>
      <c r="I218" s="43"/>
    </row>
    <row r="219" spans="2:9" hidden="1" x14ac:dyDescent="0.25">
      <c r="B219" s="40"/>
      <c r="C219" s="42" t="s">
        <v>1153</v>
      </c>
      <c r="D219" s="42" t="s">
        <v>1154</v>
      </c>
      <c r="E219" s="42" t="s">
        <v>836</v>
      </c>
      <c r="F219" s="47" t="s">
        <v>21</v>
      </c>
      <c r="G219" s="42" t="s">
        <v>837</v>
      </c>
      <c r="H219" s="42" t="s">
        <v>838</v>
      </c>
      <c r="I219" s="43"/>
    </row>
    <row r="220" spans="2:9" hidden="1" x14ac:dyDescent="0.25">
      <c r="B220" s="40"/>
      <c r="C220" s="42" t="s">
        <v>101</v>
      </c>
      <c r="D220" s="42" t="s">
        <v>1155</v>
      </c>
      <c r="E220" s="42" t="s">
        <v>836</v>
      </c>
      <c r="F220" s="47" t="s">
        <v>21</v>
      </c>
      <c r="G220" s="42" t="s">
        <v>837</v>
      </c>
      <c r="H220" s="42" t="s">
        <v>838</v>
      </c>
      <c r="I220" s="43"/>
    </row>
    <row r="221" spans="2:9" hidden="1" x14ac:dyDescent="0.25">
      <c r="B221" s="40"/>
      <c r="C221" s="42" t="s">
        <v>1156</v>
      </c>
      <c r="D221" s="42" t="s">
        <v>1157</v>
      </c>
      <c r="E221" s="42" t="s">
        <v>836</v>
      </c>
      <c r="F221" s="47" t="s">
        <v>21</v>
      </c>
      <c r="G221" s="42" t="s">
        <v>837</v>
      </c>
      <c r="H221" s="42" t="s">
        <v>838</v>
      </c>
      <c r="I221" s="43"/>
    </row>
    <row r="222" spans="2:9" hidden="1" x14ac:dyDescent="0.25">
      <c r="B222" s="40"/>
      <c r="C222" s="42" t="s">
        <v>493</v>
      </c>
      <c r="D222" s="42" t="s">
        <v>1158</v>
      </c>
      <c r="E222" s="42" t="s">
        <v>836</v>
      </c>
      <c r="F222" s="47" t="s">
        <v>21</v>
      </c>
      <c r="G222" s="42" t="s">
        <v>837</v>
      </c>
      <c r="H222" s="42" t="s">
        <v>838</v>
      </c>
      <c r="I222" s="43"/>
    </row>
    <row r="223" spans="2:9" hidden="1" x14ac:dyDescent="0.25">
      <c r="B223" s="40"/>
      <c r="C223" s="42" t="s">
        <v>1159</v>
      </c>
      <c r="D223" s="42" t="s">
        <v>1160</v>
      </c>
      <c r="E223" s="42" t="s">
        <v>836</v>
      </c>
      <c r="F223" s="47" t="s">
        <v>21</v>
      </c>
      <c r="G223" s="42" t="s">
        <v>837</v>
      </c>
      <c r="H223" s="42" t="s">
        <v>838</v>
      </c>
      <c r="I223" s="43"/>
    </row>
    <row r="224" spans="2:9" hidden="1" x14ac:dyDescent="0.25">
      <c r="B224" s="40"/>
      <c r="C224" s="42" t="s">
        <v>1161</v>
      </c>
      <c r="D224" s="42" t="s">
        <v>1162</v>
      </c>
      <c r="E224" s="42" t="s">
        <v>836</v>
      </c>
      <c r="F224" s="48" t="s">
        <v>278</v>
      </c>
      <c r="G224" s="42" t="s">
        <v>837</v>
      </c>
      <c r="H224" s="42" t="s">
        <v>838</v>
      </c>
      <c r="I224" s="43"/>
    </row>
    <row r="225" spans="2:9" hidden="1" x14ac:dyDescent="0.25">
      <c r="B225" s="40"/>
      <c r="C225" s="42" t="s">
        <v>211</v>
      </c>
      <c r="D225" s="42" t="s">
        <v>1163</v>
      </c>
      <c r="E225" s="42" t="s">
        <v>845</v>
      </c>
      <c r="F225" s="49" t="s">
        <v>423</v>
      </c>
      <c r="G225" s="42" t="s">
        <v>837</v>
      </c>
      <c r="H225" s="42" t="s">
        <v>838</v>
      </c>
      <c r="I225" s="43"/>
    </row>
    <row r="226" spans="2:9" hidden="1" x14ac:dyDescent="0.25">
      <c r="B226" s="40"/>
      <c r="C226" s="42" t="s">
        <v>1164</v>
      </c>
      <c r="D226" s="42" t="s">
        <v>1165</v>
      </c>
      <c r="E226" s="42" t="s">
        <v>836</v>
      </c>
      <c r="F226" s="47" t="s">
        <v>21</v>
      </c>
      <c r="G226" s="42" t="s">
        <v>837</v>
      </c>
      <c r="H226" s="42" t="s">
        <v>838</v>
      </c>
      <c r="I226" s="43"/>
    </row>
    <row r="227" spans="2:9" hidden="1" x14ac:dyDescent="0.25">
      <c r="B227" s="40"/>
      <c r="C227" s="42" t="s">
        <v>1166</v>
      </c>
      <c r="D227" s="42" t="s">
        <v>1167</v>
      </c>
      <c r="E227" s="42" t="s">
        <v>836</v>
      </c>
      <c r="F227" s="47" t="s">
        <v>21</v>
      </c>
      <c r="G227" s="42" t="s">
        <v>837</v>
      </c>
      <c r="H227" s="42" t="s">
        <v>838</v>
      </c>
      <c r="I227" s="43"/>
    </row>
    <row r="228" spans="2:9" hidden="1" x14ac:dyDescent="0.25">
      <c r="B228" s="40"/>
      <c r="C228" s="42" t="s">
        <v>1169</v>
      </c>
      <c r="D228" s="42" t="s">
        <v>1170</v>
      </c>
      <c r="E228" s="42" t="s">
        <v>836</v>
      </c>
      <c r="F228" s="48" t="s">
        <v>278</v>
      </c>
      <c r="G228" s="42" t="s">
        <v>837</v>
      </c>
      <c r="H228" s="42" t="s">
        <v>838</v>
      </c>
      <c r="I228" s="43"/>
    </row>
    <row r="229" spans="2:9" hidden="1" x14ac:dyDescent="0.25">
      <c r="B229" s="40"/>
      <c r="C229" s="42" t="s">
        <v>107</v>
      </c>
      <c r="D229" s="42" t="s">
        <v>1171</v>
      </c>
      <c r="E229" s="42" t="s">
        <v>836</v>
      </c>
      <c r="F229" s="47" t="s">
        <v>21</v>
      </c>
      <c r="G229" s="42" t="s">
        <v>837</v>
      </c>
      <c r="H229" s="42" t="s">
        <v>838</v>
      </c>
      <c r="I229" s="43"/>
    </row>
    <row r="230" spans="2:9" hidden="1" x14ac:dyDescent="0.25">
      <c r="B230" s="40"/>
      <c r="C230" s="42" t="s">
        <v>1172</v>
      </c>
      <c r="D230" s="42" t="s">
        <v>1173</v>
      </c>
      <c r="E230" s="42" t="s">
        <v>836</v>
      </c>
      <c r="F230" s="47" t="s">
        <v>21</v>
      </c>
      <c r="G230" s="42" t="s">
        <v>837</v>
      </c>
      <c r="H230" s="42" t="s">
        <v>838</v>
      </c>
      <c r="I230" s="43"/>
    </row>
    <row r="231" spans="2:9" hidden="1" x14ac:dyDescent="0.25">
      <c r="B231" s="40"/>
      <c r="C231" s="42" t="s">
        <v>502</v>
      </c>
      <c r="D231" s="42" t="s">
        <v>1174</v>
      </c>
      <c r="E231" s="42" t="s">
        <v>836</v>
      </c>
      <c r="F231" s="47" t="s">
        <v>21</v>
      </c>
      <c r="G231" s="42" t="s">
        <v>837</v>
      </c>
      <c r="H231" s="42" t="s">
        <v>838</v>
      </c>
      <c r="I231" s="43"/>
    </row>
    <row r="232" spans="2:9" hidden="1" x14ac:dyDescent="0.25">
      <c r="B232" s="40"/>
      <c r="C232" s="42" t="s">
        <v>504</v>
      </c>
      <c r="D232" s="42" t="s">
        <v>1175</v>
      </c>
      <c r="E232" s="42" t="s">
        <v>836</v>
      </c>
      <c r="F232" s="47" t="s">
        <v>21</v>
      </c>
      <c r="G232" s="42" t="s">
        <v>837</v>
      </c>
      <c r="H232" s="42" t="s">
        <v>838</v>
      </c>
      <c r="I232" s="43"/>
    </row>
    <row r="233" spans="2:9" hidden="1" x14ac:dyDescent="0.25">
      <c r="B233" s="40"/>
      <c r="C233" s="42" t="s">
        <v>1176</v>
      </c>
      <c r="D233" s="42" t="s">
        <v>1177</v>
      </c>
      <c r="E233" s="42" t="s">
        <v>836</v>
      </c>
      <c r="F233" s="47" t="s">
        <v>21</v>
      </c>
      <c r="G233" s="42" t="s">
        <v>837</v>
      </c>
      <c r="H233" s="42" t="s">
        <v>838</v>
      </c>
      <c r="I233" s="43"/>
    </row>
    <row r="234" spans="2:9" hidden="1" x14ac:dyDescent="0.25">
      <c r="B234" s="40"/>
      <c r="C234" s="42" t="s">
        <v>509</v>
      </c>
      <c r="D234" s="42" t="s">
        <v>1178</v>
      </c>
      <c r="E234" s="42" t="s">
        <v>836</v>
      </c>
      <c r="F234" s="47" t="s">
        <v>21</v>
      </c>
      <c r="G234" s="42" t="s">
        <v>837</v>
      </c>
      <c r="H234" s="42" t="s">
        <v>838</v>
      </c>
      <c r="I234" s="43"/>
    </row>
    <row r="235" spans="2:9" hidden="1" x14ac:dyDescent="0.25">
      <c r="B235" s="40"/>
      <c r="C235" s="42" t="s">
        <v>1179</v>
      </c>
      <c r="D235" s="42" t="s">
        <v>1180</v>
      </c>
      <c r="E235" s="42" t="s">
        <v>836</v>
      </c>
      <c r="F235" s="47" t="s">
        <v>21</v>
      </c>
      <c r="G235" s="42" t="s">
        <v>837</v>
      </c>
      <c r="H235" s="42" t="s">
        <v>838</v>
      </c>
      <c r="I235" s="43"/>
    </row>
    <row r="236" spans="2:9" hidden="1" x14ac:dyDescent="0.25">
      <c r="B236" s="40"/>
      <c r="C236" s="42" t="s">
        <v>1183</v>
      </c>
      <c r="D236" s="42" t="s">
        <v>1184</v>
      </c>
      <c r="E236" s="42" t="s">
        <v>836</v>
      </c>
      <c r="F236" s="47" t="s">
        <v>21</v>
      </c>
      <c r="G236" s="42" t="s">
        <v>837</v>
      </c>
      <c r="H236" s="42" t="s">
        <v>838</v>
      </c>
      <c r="I236" s="43"/>
    </row>
    <row r="237" spans="2:9" hidden="1" x14ac:dyDescent="0.25">
      <c r="B237" s="40"/>
      <c r="C237" s="42" t="s">
        <v>514</v>
      </c>
      <c r="D237" s="42" t="s">
        <v>1185</v>
      </c>
      <c r="E237" s="42" t="s">
        <v>836</v>
      </c>
      <c r="F237" s="47" t="s">
        <v>21</v>
      </c>
      <c r="G237" s="42" t="s">
        <v>837</v>
      </c>
      <c r="H237" s="42" t="s">
        <v>838</v>
      </c>
      <c r="I237" s="43"/>
    </row>
    <row r="238" spans="2:9" hidden="1" x14ac:dyDescent="0.25">
      <c r="B238" s="40"/>
      <c r="C238" s="42" t="s">
        <v>285</v>
      </c>
      <c r="D238" s="42" t="s">
        <v>1186</v>
      </c>
      <c r="E238" s="42" t="s">
        <v>836</v>
      </c>
      <c r="F238" s="47" t="s">
        <v>21</v>
      </c>
      <c r="G238" s="42" t="s">
        <v>837</v>
      </c>
      <c r="H238" s="42" t="s">
        <v>838</v>
      </c>
      <c r="I238" s="43"/>
    </row>
    <row r="239" spans="2:9" hidden="1" x14ac:dyDescent="0.25">
      <c r="B239" s="40"/>
      <c r="C239" s="42" t="s">
        <v>109</v>
      </c>
      <c r="D239" s="42" t="s">
        <v>1187</v>
      </c>
      <c r="E239" s="42" t="s">
        <v>836</v>
      </c>
      <c r="F239" s="47" t="s">
        <v>21</v>
      </c>
      <c r="G239" s="42" t="s">
        <v>837</v>
      </c>
      <c r="H239" s="42" t="s">
        <v>838</v>
      </c>
      <c r="I239" s="43"/>
    </row>
    <row r="240" spans="2:9" hidden="1" x14ac:dyDescent="0.25">
      <c r="B240" s="40"/>
      <c r="C240" s="42" t="s">
        <v>517</v>
      </c>
      <c r="D240" s="42" t="s">
        <v>1188</v>
      </c>
      <c r="E240" s="42" t="s">
        <v>836</v>
      </c>
      <c r="F240" s="47" t="s">
        <v>21</v>
      </c>
      <c r="G240" s="42" t="s">
        <v>837</v>
      </c>
      <c r="H240" s="42" t="s">
        <v>838</v>
      </c>
      <c r="I240" s="43"/>
    </row>
    <row r="241" spans="2:9" hidden="1" x14ac:dyDescent="0.25">
      <c r="B241" s="40"/>
      <c r="C241" s="42" t="s">
        <v>113</v>
      </c>
      <c r="D241" s="42" t="s">
        <v>1189</v>
      </c>
      <c r="E241" s="42" t="s">
        <v>836</v>
      </c>
      <c r="F241" s="47" t="s">
        <v>21</v>
      </c>
      <c r="G241" s="42" t="s">
        <v>837</v>
      </c>
      <c r="H241" s="42" t="s">
        <v>838</v>
      </c>
      <c r="I241" s="43"/>
    </row>
    <row r="242" spans="2:9" hidden="1" x14ac:dyDescent="0.25">
      <c r="B242" s="40"/>
      <c r="C242" s="42" t="s">
        <v>1190</v>
      </c>
      <c r="D242" s="42" t="s">
        <v>1191</v>
      </c>
      <c r="E242" s="42" t="s">
        <v>836</v>
      </c>
      <c r="F242" s="48" t="s">
        <v>278</v>
      </c>
      <c r="G242" s="42" t="s">
        <v>837</v>
      </c>
      <c r="H242" s="42" t="s">
        <v>838</v>
      </c>
      <c r="I242" s="43"/>
    </row>
    <row r="243" spans="2:9" hidden="1" x14ac:dyDescent="0.25">
      <c r="B243" s="40"/>
      <c r="C243" s="42" t="s">
        <v>1192</v>
      </c>
      <c r="D243" s="42" t="s">
        <v>1624</v>
      </c>
      <c r="E243" s="42" t="s">
        <v>836</v>
      </c>
      <c r="F243" s="48" t="s">
        <v>278</v>
      </c>
      <c r="G243" s="42" t="s">
        <v>837</v>
      </c>
      <c r="H243" s="42" t="s">
        <v>838</v>
      </c>
      <c r="I243" s="43"/>
    </row>
    <row r="244" spans="2:9" hidden="1" x14ac:dyDescent="0.25">
      <c r="B244" s="40"/>
      <c r="C244" s="42" t="s">
        <v>1194</v>
      </c>
      <c r="D244" s="42" t="s">
        <v>1195</v>
      </c>
      <c r="E244" s="42" t="s">
        <v>836</v>
      </c>
      <c r="F244" s="47" t="s">
        <v>21</v>
      </c>
      <c r="G244" s="42" t="s">
        <v>837</v>
      </c>
      <c r="H244" s="42" t="s">
        <v>838</v>
      </c>
      <c r="I244" s="43"/>
    </row>
    <row r="245" spans="2:9" hidden="1" x14ac:dyDescent="0.25">
      <c r="B245" s="40"/>
      <c r="C245" s="42" t="s">
        <v>519</v>
      </c>
      <c r="D245" s="42" t="s">
        <v>1196</v>
      </c>
      <c r="E245" s="42" t="s">
        <v>836</v>
      </c>
      <c r="F245" s="47" t="s">
        <v>21</v>
      </c>
      <c r="G245" s="42" t="s">
        <v>837</v>
      </c>
      <c r="H245" s="42" t="s">
        <v>838</v>
      </c>
      <c r="I245" s="43"/>
    </row>
    <row r="246" spans="2:9" hidden="1" x14ac:dyDescent="0.25">
      <c r="B246" s="41"/>
      <c r="C246" s="44" t="s">
        <v>520</v>
      </c>
      <c r="D246" s="44" t="s">
        <v>1197</v>
      </c>
      <c r="E246" s="44" t="s">
        <v>836</v>
      </c>
      <c r="F246" s="53" t="s">
        <v>21</v>
      </c>
      <c r="G246" s="44" t="s">
        <v>837</v>
      </c>
      <c r="H246" s="44" t="s">
        <v>838</v>
      </c>
      <c r="I246" s="45"/>
    </row>
    <row r="247" spans="2:9" hidden="1" x14ac:dyDescent="0.25">
      <c r="B247" s="40"/>
      <c r="C247" s="42" t="s">
        <v>1198</v>
      </c>
      <c r="D247" s="42" t="s">
        <v>1199</v>
      </c>
      <c r="E247" s="42" t="s">
        <v>836</v>
      </c>
      <c r="F247" s="47" t="s">
        <v>21</v>
      </c>
      <c r="G247" s="42" t="s">
        <v>837</v>
      </c>
      <c r="H247" s="42" t="s">
        <v>838</v>
      </c>
      <c r="I247" s="43"/>
    </row>
    <row r="248" spans="2:9" hidden="1" x14ac:dyDescent="0.25">
      <c r="B248" s="40"/>
      <c r="C248" s="42" t="s">
        <v>1200</v>
      </c>
      <c r="D248" s="42" t="s">
        <v>1201</v>
      </c>
      <c r="E248" s="42" t="s">
        <v>896</v>
      </c>
      <c r="F248" s="52" t="s">
        <v>974</v>
      </c>
      <c r="G248" s="42" t="s">
        <v>838</v>
      </c>
      <c r="H248" s="42" t="s">
        <v>838</v>
      </c>
      <c r="I248" s="43"/>
    </row>
    <row r="249" spans="2:9" hidden="1" x14ac:dyDescent="0.25">
      <c r="B249" s="40"/>
      <c r="C249" s="42" t="s">
        <v>1202</v>
      </c>
      <c r="D249" s="42" t="s">
        <v>1203</v>
      </c>
      <c r="E249" s="42" t="s">
        <v>836</v>
      </c>
      <c r="F249" s="47" t="s">
        <v>21</v>
      </c>
      <c r="G249" s="42" t="s">
        <v>837</v>
      </c>
      <c r="H249" s="42" t="s">
        <v>838</v>
      </c>
      <c r="I249" s="43"/>
    </row>
    <row r="250" spans="2:9" hidden="1" x14ac:dyDescent="0.25">
      <c r="B250" s="40"/>
      <c r="C250" s="42" t="s">
        <v>1625</v>
      </c>
      <c r="D250" s="42" t="s">
        <v>1626</v>
      </c>
      <c r="E250" s="42" t="s">
        <v>836</v>
      </c>
      <c r="F250" s="49" t="s">
        <v>423</v>
      </c>
      <c r="G250" s="42" t="s">
        <v>837</v>
      </c>
      <c r="H250" s="42" t="s">
        <v>838</v>
      </c>
      <c r="I250" s="43"/>
    </row>
    <row r="251" spans="2:9" hidden="1" x14ac:dyDescent="0.25">
      <c r="B251" s="40"/>
      <c r="C251" s="42" t="s">
        <v>525</v>
      </c>
      <c r="D251" s="42" t="s">
        <v>1627</v>
      </c>
      <c r="E251" s="42" t="s">
        <v>836</v>
      </c>
      <c r="F251" s="48" t="s">
        <v>278</v>
      </c>
      <c r="G251" s="42" t="s">
        <v>837</v>
      </c>
      <c r="H251" s="42" t="s">
        <v>838</v>
      </c>
      <c r="I251" s="43"/>
    </row>
    <row r="252" spans="2:9" hidden="1" x14ac:dyDescent="0.25">
      <c r="B252" s="41"/>
      <c r="C252" s="44" t="s">
        <v>527</v>
      </c>
      <c r="D252" s="44" t="s">
        <v>1205</v>
      </c>
      <c r="E252" s="44" t="s">
        <v>836</v>
      </c>
      <c r="F252" s="53" t="s">
        <v>21</v>
      </c>
      <c r="G252" s="44" t="s">
        <v>837</v>
      </c>
      <c r="H252" s="44" t="s">
        <v>838</v>
      </c>
      <c r="I252" s="45"/>
    </row>
    <row r="253" spans="2:9" hidden="1" x14ac:dyDescent="0.25">
      <c r="B253" s="40"/>
      <c r="C253" s="42" t="s">
        <v>1206</v>
      </c>
      <c r="D253" s="42" t="s">
        <v>1207</v>
      </c>
      <c r="E253" s="42" t="s">
        <v>836</v>
      </c>
      <c r="F253" s="47" t="s">
        <v>21</v>
      </c>
      <c r="G253" s="42" t="s">
        <v>837</v>
      </c>
      <c r="H253" s="42" t="s">
        <v>838</v>
      </c>
      <c r="I253" s="43"/>
    </row>
    <row r="254" spans="2:9" hidden="1" x14ac:dyDescent="0.25">
      <c r="B254" s="40"/>
      <c r="C254" s="42" t="s">
        <v>115</v>
      </c>
      <c r="D254" s="42" t="s">
        <v>1208</v>
      </c>
      <c r="E254" s="42" t="s">
        <v>836</v>
      </c>
      <c r="F254" s="47" t="s">
        <v>21</v>
      </c>
      <c r="G254" s="42" t="s">
        <v>837</v>
      </c>
      <c r="H254" s="42" t="s">
        <v>838</v>
      </c>
      <c r="I254" s="43"/>
    </row>
    <row r="255" spans="2:9" hidden="1" x14ac:dyDescent="0.25">
      <c r="B255" s="40"/>
      <c r="C255" s="42" t="s">
        <v>529</v>
      </c>
      <c r="D255" s="42" t="s">
        <v>1209</v>
      </c>
      <c r="E255" s="42" t="s">
        <v>836</v>
      </c>
      <c r="F255" s="47" t="s">
        <v>21</v>
      </c>
      <c r="G255" s="42" t="s">
        <v>837</v>
      </c>
      <c r="H255" s="42" t="s">
        <v>838</v>
      </c>
      <c r="I255" s="43"/>
    </row>
    <row r="256" spans="2:9" hidden="1" x14ac:dyDescent="0.25">
      <c r="B256" s="40"/>
      <c r="C256" s="42" t="s">
        <v>534</v>
      </c>
      <c r="D256" s="42" t="s">
        <v>1210</v>
      </c>
      <c r="E256" s="42" t="s">
        <v>836</v>
      </c>
      <c r="F256" s="47" t="s">
        <v>21</v>
      </c>
      <c r="G256" s="42" t="s">
        <v>837</v>
      </c>
      <c r="H256" s="42" t="s">
        <v>838</v>
      </c>
      <c r="I256" s="43"/>
    </row>
    <row r="257" spans="2:9" hidden="1" x14ac:dyDescent="0.25">
      <c r="B257" s="40"/>
      <c r="C257" s="42" t="s">
        <v>214</v>
      </c>
      <c r="D257" s="42" t="s">
        <v>1211</v>
      </c>
      <c r="E257" s="42" t="s">
        <v>836</v>
      </c>
      <c r="F257" s="47" t="s">
        <v>21</v>
      </c>
      <c r="G257" s="42" t="s">
        <v>837</v>
      </c>
      <c r="H257" s="42" t="s">
        <v>838</v>
      </c>
      <c r="I257" s="43"/>
    </row>
    <row r="258" spans="2:9" hidden="1" x14ac:dyDescent="0.25">
      <c r="B258" s="40"/>
      <c r="C258" s="42" t="s">
        <v>539</v>
      </c>
      <c r="D258" s="42" t="s">
        <v>1212</v>
      </c>
      <c r="E258" s="42" t="s">
        <v>836</v>
      </c>
      <c r="F258" s="47" t="s">
        <v>21</v>
      </c>
      <c r="G258" s="42" t="s">
        <v>837</v>
      </c>
      <c r="H258" s="42" t="s">
        <v>838</v>
      </c>
      <c r="I258" s="43"/>
    </row>
    <row r="259" spans="2:9" hidden="1" x14ac:dyDescent="0.25">
      <c r="B259" s="40"/>
      <c r="C259" s="42" t="s">
        <v>1213</v>
      </c>
      <c r="D259" s="42" t="s">
        <v>1214</v>
      </c>
      <c r="E259" s="42" t="s">
        <v>836</v>
      </c>
      <c r="F259" s="47" t="s">
        <v>21</v>
      </c>
      <c r="G259" s="42" t="s">
        <v>837</v>
      </c>
      <c r="H259" s="42" t="s">
        <v>838</v>
      </c>
      <c r="I259" s="43"/>
    </row>
    <row r="260" spans="2:9" hidden="1" x14ac:dyDescent="0.25">
      <c r="B260" s="40"/>
      <c r="C260" s="42" t="s">
        <v>543</v>
      </c>
      <c r="D260" s="42" t="s">
        <v>1215</v>
      </c>
      <c r="E260" s="42" t="s">
        <v>836</v>
      </c>
      <c r="F260" s="49" t="s">
        <v>423</v>
      </c>
      <c r="G260" s="42" t="s">
        <v>837</v>
      </c>
      <c r="H260" s="42" t="s">
        <v>838</v>
      </c>
      <c r="I260" s="43"/>
    </row>
    <row r="261" spans="2:9" hidden="1" x14ac:dyDescent="0.25">
      <c r="B261" s="40"/>
      <c r="C261" s="42" t="s">
        <v>1216</v>
      </c>
      <c r="D261" s="42" t="s">
        <v>1217</v>
      </c>
      <c r="E261" s="42" t="s">
        <v>836</v>
      </c>
      <c r="F261" s="47" t="s">
        <v>21</v>
      </c>
      <c r="G261" s="42" t="s">
        <v>837</v>
      </c>
      <c r="H261" s="42" t="s">
        <v>838</v>
      </c>
      <c r="I261" s="43"/>
    </row>
    <row r="262" spans="2:9" hidden="1" x14ac:dyDescent="0.25">
      <c r="B262" s="40"/>
      <c r="C262" s="42" t="s">
        <v>545</v>
      </c>
      <c r="D262" s="42" t="s">
        <v>1218</v>
      </c>
      <c r="E262" s="42" t="s">
        <v>836</v>
      </c>
      <c r="F262" s="47" t="s">
        <v>21</v>
      </c>
      <c r="G262" s="42" t="s">
        <v>837</v>
      </c>
      <c r="H262" s="42" t="s">
        <v>838</v>
      </c>
      <c r="I262" s="43"/>
    </row>
    <row r="263" spans="2:9" hidden="1" x14ac:dyDescent="0.25">
      <c r="B263" s="40"/>
      <c r="C263" s="42" t="s">
        <v>118</v>
      </c>
      <c r="D263" s="42" t="s">
        <v>1219</v>
      </c>
      <c r="E263" s="42" t="s">
        <v>836</v>
      </c>
      <c r="F263" s="47" t="s">
        <v>21</v>
      </c>
      <c r="G263" s="42" t="s">
        <v>837</v>
      </c>
      <c r="H263" s="42" t="s">
        <v>838</v>
      </c>
      <c r="I263" s="43"/>
    </row>
    <row r="264" spans="2:9" hidden="1" x14ac:dyDescent="0.25">
      <c r="B264" s="40"/>
      <c r="C264" s="42" t="s">
        <v>743</v>
      </c>
      <c r="D264" s="42" t="s">
        <v>1220</v>
      </c>
      <c r="E264" s="42" t="s">
        <v>836</v>
      </c>
      <c r="F264" s="47" t="s">
        <v>21</v>
      </c>
      <c r="G264" s="42" t="s">
        <v>837</v>
      </c>
      <c r="H264" s="42" t="s">
        <v>838</v>
      </c>
      <c r="I264" s="43"/>
    </row>
    <row r="265" spans="2:9" hidden="1" x14ac:dyDescent="0.25">
      <c r="B265" s="40"/>
      <c r="C265" s="42" t="s">
        <v>1221</v>
      </c>
      <c r="D265" s="42" t="s">
        <v>1222</v>
      </c>
      <c r="E265" s="42" t="s">
        <v>836</v>
      </c>
      <c r="F265" s="47" t="s">
        <v>21</v>
      </c>
      <c r="G265" s="42" t="s">
        <v>837</v>
      </c>
      <c r="H265" s="42" t="s">
        <v>838</v>
      </c>
      <c r="I265" s="43"/>
    </row>
    <row r="266" spans="2:9" hidden="1" x14ac:dyDescent="0.25">
      <c r="B266" s="40"/>
      <c r="C266" s="42" t="s">
        <v>1224</v>
      </c>
      <c r="D266" s="42" t="s">
        <v>1225</v>
      </c>
      <c r="E266" s="42" t="s">
        <v>836</v>
      </c>
      <c r="F266" s="48" t="s">
        <v>278</v>
      </c>
      <c r="G266" s="42" t="s">
        <v>837</v>
      </c>
      <c r="H266" s="42" t="s">
        <v>838</v>
      </c>
      <c r="I266" s="43"/>
    </row>
    <row r="267" spans="2:9" hidden="1" x14ac:dyDescent="0.25">
      <c r="B267" s="40"/>
      <c r="C267" s="42" t="s">
        <v>551</v>
      </c>
      <c r="D267" s="42" t="s">
        <v>1226</v>
      </c>
      <c r="E267" s="42" t="s">
        <v>836</v>
      </c>
      <c r="F267" s="47" t="s">
        <v>21</v>
      </c>
      <c r="G267" s="42" t="s">
        <v>837</v>
      </c>
      <c r="H267" s="42" t="s">
        <v>838</v>
      </c>
      <c r="I267" s="43"/>
    </row>
    <row r="268" spans="2:9" hidden="1" x14ac:dyDescent="0.25">
      <c r="B268" s="40"/>
      <c r="C268" s="42" t="s">
        <v>1227</v>
      </c>
      <c r="D268" s="42" t="s">
        <v>1228</v>
      </c>
      <c r="E268" s="42" t="s">
        <v>836</v>
      </c>
      <c r="F268" s="47" t="s">
        <v>21</v>
      </c>
      <c r="G268" s="42" t="s">
        <v>837</v>
      </c>
      <c r="H268" s="42" t="s">
        <v>838</v>
      </c>
      <c r="I268" s="43"/>
    </row>
    <row r="269" spans="2:9" hidden="1" x14ac:dyDescent="0.25">
      <c r="B269" s="40"/>
      <c r="C269" s="42" t="s">
        <v>1229</v>
      </c>
      <c r="D269" s="42" t="s">
        <v>1230</v>
      </c>
      <c r="E269" s="42" t="s">
        <v>836</v>
      </c>
      <c r="F269" s="48" t="s">
        <v>278</v>
      </c>
      <c r="G269" s="42" t="s">
        <v>837</v>
      </c>
      <c r="H269" s="42" t="s">
        <v>838</v>
      </c>
      <c r="I269" s="43"/>
    </row>
    <row r="270" spans="2:9" hidden="1" x14ac:dyDescent="0.25">
      <c r="B270" s="40"/>
      <c r="C270" s="42" t="s">
        <v>121</v>
      </c>
      <c r="D270" s="42" t="s">
        <v>1231</v>
      </c>
      <c r="E270" s="42" t="s">
        <v>836</v>
      </c>
      <c r="F270" s="47" t="s">
        <v>21</v>
      </c>
      <c r="G270" s="42" t="s">
        <v>837</v>
      </c>
      <c r="H270" s="42" t="s">
        <v>838</v>
      </c>
      <c r="I270" s="43"/>
    </row>
    <row r="271" spans="2:9" hidden="1" x14ac:dyDescent="0.25">
      <c r="B271" s="40"/>
      <c r="C271" s="42" t="s">
        <v>1232</v>
      </c>
      <c r="D271" s="42" t="s">
        <v>1233</v>
      </c>
      <c r="E271" s="42" t="s">
        <v>836</v>
      </c>
      <c r="F271" s="47" t="s">
        <v>21</v>
      </c>
      <c r="G271" s="42" t="s">
        <v>837</v>
      </c>
      <c r="H271" s="42" t="s">
        <v>838</v>
      </c>
      <c r="I271" s="43"/>
    </row>
    <row r="272" spans="2:9" hidden="1" x14ac:dyDescent="0.25">
      <c r="B272" s="40"/>
      <c r="C272" s="42" t="s">
        <v>217</v>
      </c>
      <c r="D272" s="42" t="s">
        <v>1234</v>
      </c>
      <c r="E272" s="42" t="s">
        <v>836</v>
      </c>
      <c r="F272" s="47" t="s">
        <v>21</v>
      </c>
      <c r="G272" s="42" t="s">
        <v>837</v>
      </c>
      <c r="H272" s="42" t="s">
        <v>838</v>
      </c>
      <c r="I272" s="43"/>
    </row>
    <row r="273" spans="2:9" hidden="1" x14ac:dyDescent="0.25">
      <c r="B273" s="40"/>
      <c r="C273" s="42" t="s">
        <v>553</v>
      </c>
      <c r="D273" s="42" t="s">
        <v>1235</v>
      </c>
      <c r="E273" s="42" t="s">
        <v>836</v>
      </c>
      <c r="F273" s="49" t="s">
        <v>423</v>
      </c>
      <c r="G273" s="42" t="s">
        <v>837</v>
      </c>
      <c r="H273" s="42" t="s">
        <v>838</v>
      </c>
      <c r="I273" s="43"/>
    </row>
    <row r="274" spans="2:9" hidden="1" x14ac:dyDescent="0.25">
      <c r="B274" s="40"/>
      <c r="C274" s="42" t="s">
        <v>1628</v>
      </c>
      <c r="D274" s="42" t="s">
        <v>1629</v>
      </c>
      <c r="E274" s="42" t="s">
        <v>836</v>
      </c>
      <c r="F274" s="48" t="s">
        <v>278</v>
      </c>
      <c r="G274" s="42" t="s">
        <v>837</v>
      </c>
      <c r="H274" s="42" t="s">
        <v>838</v>
      </c>
      <c r="I274" s="43"/>
    </row>
    <row r="275" spans="2:9" hidden="1" x14ac:dyDescent="0.25">
      <c r="B275" s="40"/>
      <c r="C275" s="42" t="s">
        <v>1236</v>
      </c>
      <c r="D275" s="42" t="s">
        <v>1237</v>
      </c>
      <c r="E275" s="42" t="s">
        <v>836</v>
      </c>
      <c r="F275" s="51" t="s">
        <v>1051</v>
      </c>
      <c r="G275" s="42" t="s">
        <v>837</v>
      </c>
      <c r="H275" s="42" t="s">
        <v>838</v>
      </c>
      <c r="I275" s="43"/>
    </row>
    <row r="276" spans="2:9" hidden="1" x14ac:dyDescent="0.25">
      <c r="B276" s="40"/>
      <c r="C276" s="42" t="s">
        <v>500</v>
      </c>
      <c r="D276" s="42" t="s">
        <v>1238</v>
      </c>
      <c r="E276" s="42" t="s">
        <v>836</v>
      </c>
      <c r="F276" s="47" t="s">
        <v>21</v>
      </c>
      <c r="G276" s="42" t="s">
        <v>837</v>
      </c>
      <c r="H276" s="42" t="s">
        <v>838</v>
      </c>
      <c r="I276" s="43"/>
    </row>
    <row r="277" spans="2:9" hidden="1" x14ac:dyDescent="0.25">
      <c r="B277" s="40"/>
      <c r="C277" s="42" t="s">
        <v>1239</v>
      </c>
      <c r="D277" s="42" t="s">
        <v>1240</v>
      </c>
      <c r="E277" s="42" t="s">
        <v>836</v>
      </c>
      <c r="F277" s="47" t="s">
        <v>21</v>
      </c>
      <c r="G277" s="42" t="s">
        <v>837</v>
      </c>
      <c r="H277" s="42" t="s">
        <v>838</v>
      </c>
      <c r="I277" s="43"/>
    </row>
    <row r="278" spans="2:9" hidden="1" x14ac:dyDescent="0.25">
      <c r="B278" s="40"/>
      <c r="C278" s="42" t="s">
        <v>124</v>
      </c>
      <c r="D278" s="42" t="s">
        <v>1241</v>
      </c>
      <c r="E278" s="42" t="s">
        <v>836</v>
      </c>
      <c r="F278" s="47" t="s">
        <v>21</v>
      </c>
      <c r="G278" s="42" t="s">
        <v>837</v>
      </c>
      <c r="H278" s="42" t="s">
        <v>838</v>
      </c>
      <c r="I278" s="43"/>
    </row>
    <row r="279" spans="2:9" hidden="1" x14ac:dyDescent="0.25">
      <c r="B279" s="40"/>
      <c r="C279" s="42" t="s">
        <v>127</v>
      </c>
      <c r="D279" s="42" t="s">
        <v>1242</v>
      </c>
      <c r="E279" s="42" t="s">
        <v>836</v>
      </c>
      <c r="F279" s="47" t="s">
        <v>21</v>
      </c>
      <c r="G279" s="42" t="s">
        <v>837</v>
      </c>
      <c r="H279" s="42" t="s">
        <v>838</v>
      </c>
      <c r="I279" s="43"/>
    </row>
    <row r="280" spans="2:9" hidden="1" x14ac:dyDescent="0.25">
      <c r="B280" s="40"/>
      <c r="C280" s="42" t="s">
        <v>1630</v>
      </c>
      <c r="D280" s="42" t="s">
        <v>1631</v>
      </c>
      <c r="E280" s="42" t="s">
        <v>836</v>
      </c>
      <c r="F280" s="48" t="s">
        <v>278</v>
      </c>
      <c r="G280" s="42" t="s">
        <v>837</v>
      </c>
      <c r="H280" s="42" t="s">
        <v>838</v>
      </c>
      <c r="I280" s="43"/>
    </row>
    <row r="281" spans="2:9" hidden="1" x14ac:dyDescent="0.25">
      <c r="B281" s="40"/>
      <c r="C281" s="42" t="s">
        <v>1243</v>
      </c>
      <c r="D281" s="42" t="s">
        <v>1244</v>
      </c>
      <c r="E281" s="42" t="s">
        <v>836</v>
      </c>
      <c r="F281" s="47" t="s">
        <v>21</v>
      </c>
      <c r="G281" s="42" t="s">
        <v>837</v>
      </c>
      <c r="H281" s="42" t="s">
        <v>838</v>
      </c>
      <c r="I281" s="43"/>
    </row>
    <row r="282" spans="2:9" hidden="1" x14ac:dyDescent="0.25">
      <c r="B282" s="40"/>
      <c r="C282" s="42" t="s">
        <v>547</v>
      </c>
      <c r="D282" s="42" t="s">
        <v>1245</v>
      </c>
      <c r="E282" s="42" t="s">
        <v>836</v>
      </c>
      <c r="F282" s="47" t="s">
        <v>21</v>
      </c>
      <c r="G282" s="42" t="s">
        <v>837</v>
      </c>
      <c r="H282" s="42" t="s">
        <v>838</v>
      </c>
      <c r="I282" s="43"/>
    </row>
    <row r="283" spans="2:9" hidden="1" x14ac:dyDescent="0.25">
      <c r="B283" s="40"/>
      <c r="C283" s="42" t="s">
        <v>1247</v>
      </c>
      <c r="D283" s="42" t="s">
        <v>1248</v>
      </c>
      <c r="E283" s="42" t="s">
        <v>836</v>
      </c>
      <c r="F283" s="47" t="s">
        <v>21</v>
      </c>
      <c r="G283" s="42" t="s">
        <v>837</v>
      </c>
      <c r="H283" s="42" t="s">
        <v>838</v>
      </c>
      <c r="I283" s="43"/>
    </row>
    <row r="284" spans="2:9" hidden="1" x14ac:dyDescent="0.25">
      <c r="B284" s="40"/>
      <c r="C284" s="42" t="s">
        <v>559</v>
      </c>
      <c r="D284" s="42" t="s">
        <v>1249</v>
      </c>
      <c r="E284" s="42" t="s">
        <v>836</v>
      </c>
      <c r="F284" s="47" t="s">
        <v>21</v>
      </c>
      <c r="G284" s="42" t="s">
        <v>837</v>
      </c>
      <c r="H284" s="42" t="s">
        <v>838</v>
      </c>
      <c r="I284" s="43"/>
    </row>
    <row r="285" spans="2:9" hidden="1" x14ac:dyDescent="0.25">
      <c r="B285" s="40"/>
      <c r="C285" s="42" t="s">
        <v>572</v>
      </c>
      <c r="D285" s="42" t="s">
        <v>1250</v>
      </c>
      <c r="E285" s="42" t="s">
        <v>836</v>
      </c>
      <c r="F285" s="47" t="s">
        <v>21</v>
      </c>
      <c r="G285" s="42" t="s">
        <v>837</v>
      </c>
      <c r="H285" s="42" t="s">
        <v>838</v>
      </c>
      <c r="I285" s="43"/>
    </row>
    <row r="286" spans="2:9" hidden="1" x14ac:dyDescent="0.25">
      <c r="B286" s="40"/>
      <c r="C286" s="42" t="s">
        <v>563</v>
      </c>
      <c r="D286" s="42" t="s">
        <v>1251</v>
      </c>
      <c r="E286" s="42" t="s">
        <v>836</v>
      </c>
      <c r="F286" s="47" t="s">
        <v>21</v>
      </c>
      <c r="G286" s="42" t="s">
        <v>837</v>
      </c>
      <c r="H286" s="42" t="s">
        <v>838</v>
      </c>
      <c r="I286" s="43"/>
    </row>
    <row r="287" spans="2:9" hidden="1" x14ac:dyDescent="0.25">
      <c r="B287" s="40"/>
      <c r="C287" s="42" t="s">
        <v>1252</v>
      </c>
      <c r="D287" s="42" t="s">
        <v>1253</v>
      </c>
      <c r="E287" s="42" t="s">
        <v>836</v>
      </c>
      <c r="F287" s="48" t="s">
        <v>278</v>
      </c>
      <c r="G287" s="42" t="s">
        <v>837</v>
      </c>
      <c r="H287" s="42" t="s">
        <v>838</v>
      </c>
      <c r="I287" s="43"/>
    </row>
    <row r="288" spans="2:9" hidden="1" x14ac:dyDescent="0.25">
      <c r="B288" s="40"/>
      <c r="C288" s="42" t="s">
        <v>565</v>
      </c>
      <c r="D288" s="42" t="s">
        <v>1254</v>
      </c>
      <c r="E288" s="42" t="s">
        <v>836</v>
      </c>
      <c r="F288" s="47" t="s">
        <v>21</v>
      </c>
      <c r="G288" s="42" t="s">
        <v>837</v>
      </c>
      <c r="H288" s="42" t="s">
        <v>838</v>
      </c>
      <c r="I288" s="43"/>
    </row>
    <row r="289" spans="2:9" hidden="1" x14ac:dyDescent="0.25">
      <c r="B289" s="40"/>
      <c r="C289" s="42" t="s">
        <v>567</v>
      </c>
      <c r="D289" s="42" t="s">
        <v>1255</v>
      </c>
      <c r="E289" s="42" t="s">
        <v>836</v>
      </c>
      <c r="F289" s="47" t="s">
        <v>21</v>
      </c>
      <c r="G289" s="42" t="s">
        <v>837</v>
      </c>
      <c r="H289" s="42" t="s">
        <v>838</v>
      </c>
      <c r="I289" s="43"/>
    </row>
    <row r="290" spans="2:9" hidden="1" x14ac:dyDescent="0.25">
      <c r="B290" s="40"/>
      <c r="C290" s="42" t="s">
        <v>456</v>
      </c>
      <c r="D290" s="42" t="s">
        <v>1256</v>
      </c>
      <c r="E290" s="42" t="s">
        <v>836</v>
      </c>
      <c r="F290" s="47" t="s">
        <v>21</v>
      </c>
      <c r="G290" s="42" t="s">
        <v>837</v>
      </c>
      <c r="H290" s="42" t="s">
        <v>838</v>
      </c>
      <c r="I290" s="43"/>
    </row>
    <row r="291" spans="2:9" hidden="1" x14ac:dyDescent="0.25">
      <c r="B291" s="40"/>
      <c r="C291" s="42" t="s">
        <v>604</v>
      </c>
      <c r="D291" s="42" t="s">
        <v>1257</v>
      </c>
      <c r="E291" s="42" t="s">
        <v>836</v>
      </c>
      <c r="F291" s="47" t="s">
        <v>21</v>
      </c>
      <c r="G291" s="42" t="s">
        <v>837</v>
      </c>
      <c r="H291" s="42" t="s">
        <v>838</v>
      </c>
      <c r="I291" s="43"/>
    </row>
    <row r="292" spans="2:9" hidden="1" x14ac:dyDescent="0.25">
      <c r="B292" s="40"/>
      <c r="C292" s="42" t="s">
        <v>1258</v>
      </c>
      <c r="D292" s="42" t="s">
        <v>1259</v>
      </c>
      <c r="E292" s="42" t="s">
        <v>836</v>
      </c>
      <c r="F292" s="47" t="s">
        <v>21</v>
      </c>
      <c r="G292" s="42" t="s">
        <v>837</v>
      </c>
      <c r="H292" s="42" t="s">
        <v>838</v>
      </c>
      <c r="I292" s="43"/>
    </row>
    <row r="293" spans="2:9" hidden="1" x14ac:dyDescent="0.25">
      <c r="B293" s="40"/>
      <c r="C293" s="42" t="s">
        <v>1260</v>
      </c>
      <c r="D293" s="42" t="s">
        <v>1261</v>
      </c>
      <c r="E293" s="42" t="s">
        <v>836</v>
      </c>
      <c r="F293" s="47" t="s">
        <v>21</v>
      </c>
      <c r="G293" s="42" t="s">
        <v>837</v>
      </c>
      <c r="H293" s="42" t="s">
        <v>838</v>
      </c>
      <c r="I293" s="43"/>
    </row>
    <row r="294" spans="2:9" hidden="1" x14ac:dyDescent="0.25">
      <c r="B294" s="40"/>
      <c r="C294" s="42" t="s">
        <v>1262</v>
      </c>
      <c r="D294" s="42" t="s">
        <v>1263</v>
      </c>
      <c r="E294" s="42" t="s">
        <v>836</v>
      </c>
      <c r="F294" s="48" t="s">
        <v>278</v>
      </c>
      <c r="G294" s="42" t="s">
        <v>837</v>
      </c>
      <c r="H294" s="42" t="s">
        <v>838</v>
      </c>
      <c r="I294" s="43"/>
    </row>
    <row r="295" spans="2:9" hidden="1" x14ac:dyDescent="0.25">
      <c r="B295" s="40"/>
      <c r="C295" s="42" t="s">
        <v>1264</v>
      </c>
      <c r="D295" s="42" t="s">
        <v>1265</v>
      </c>
      <c r="E295" s="42" t="s">
        <v>836</v>
      </c>
      <c r="F295" s="47" t="s">
        <v>21</v>
      </c>
      <c r="G295" s="42" t="s">
        <v>837</v>
      </c>
      <c r="H295" s="42" t="s">
        <v>838</v>
      </c>
      <c r="I295" s="43"/>
    </row>
    <row r="296" spans="2:9" hidden="1" x14ac:dyDescent="0.25">
      <c r="B296" s="40"/>
      <c r="C296" s="42" t="s">
        <v>1266</v>
      </c>
      <c r="D296" s="42" t="s">
        <v>1267</v>
      </c>
      <c r="E296" s="42" t="s">
        <v>836</v>
      </c>
      <c r="F296" s="47" t="s">
        <v>21</v>
      </c>
      <c r="G296" s="42" t="s">
        <v>837</v>
      </c>
      <c r="H296" s="42" t="s">
        <v>838</v>
      </c>
      <c r="I296" s="43"/>
    </row>
    <row r="297" spans="2:9" hidden="1" x14ac:dyDescent="0.25">
      <c r="B297" s="40"/>
      <c r="C297" s="42" t="s">
        <v>574</v>
      </c>
      <c r="D297" s="42" t="s">
        <v>1268</v>
      </c>
      <c r="E297" s="42" t="s">
        <v>836</v>
      </c>
      <c r="F297" s="47" t="s">
        <v>21</v>
      </c>
      <c r="G297" s="42" t="s">
        <v>837</v>
      </c>
      <c r="H297" s="42" t="s">
        <v>838</v>
      </c>
      <c r="I297" s="43"/>
    </row>
    <row r="298" spans="2:9" hidden="1" x14ac:dyDescent="0.25">
      <c r="B298" s="40"/>
      <c r="C298" s="42" t="s">
        <v>1269</v>
      </c>
      <c r="D298" s="42" t="s">
        <v>1270</v>
      </c>
      <c r="E298" s="42" t="s">
        <v>836</v>
      </c>
      <c r="F298" s="48" t="s">
        <v>278</v>
      </c>
      <c r="G298" s="42" t="s">
        <v>837</v>
      </c>
      <c r="H298" s="42" t="s">
        <v>838</v>
      </c>
      <c r="I298" s="43"/>
    </row>
    <row r="299" spans="2:9" hidden="1" x14ac:dyDescent="0.25">
      <c r="B299" s="40"/>
      <c r="C299" s="42" t="s">
        <v>576</v>
      </c>
      <c r="D299" s="42" t="s">
        <v>1271</v>
      </c>
      <c r="E299" s="42" t="s">
        <v>836</v>
      </c>
      <c r="F299" s="47" t="s">
        <v>21</v>
      </c>
      <c r="G299" s="42" t="s">
        <v>837</v>
      </c>
      <c r="H299" s="42" t="s">
        <v>838</v>
      </c>
      <c r="I299" s="43"/>
    </row>
    <row r="300" spans="2:9" hidden="1" x14ac:dyDescent="0.25">
      <c r="B300" s="40"/>
      <c r="C300" s="42" t="s">
        <v>433</v>
      </c>
      <c r="D300" s="42" t="s">
        <v>1272</v>
      </c>
      <c r="E300" s="42" t="s">
        <v>836</v>
      </c>
      <c r="F300" s="49" t="s">
        <v>423</v>
      </c>
      <c r="G300" s="42" t="s">
        <v>837</v>
      </c>
      <c r="H300" s="42" t="s">
        <v>838</v>
      </c>
      <c r="I300" s="43"/>
    </row>
    <row r="301" spans="2:9" hidden="1" x14ac:dyDescent="0.25">
      <c r="B301" s="40"/>
      <c r="C301" s="42" t="s">
        <v>1273</v>
      </c>
      <c r="D301" s="42" t="s">
        <v>1274</v>
      </c>
      <c r="E301" s="42" t="s">
        <v>836</v>
      </c>
      <c r="F301" s="47" t="s">
        <v>21</v>
      </c>
      <c r="G301" s="42" t="s">
        <v>837</v>
      </c>
      <c r="H301" s="42" t="s">
        <v>838</v>
      </c>
      <c r="I301" s="43"/>
    </row>
    <row r="302" spans="2:9" hidden="1" x14ac:dyDescent="0.25">
      <c r="B302" s="40"/>
      <c r="C302" s="42" t="s">
        <v>1275</v>
      </c>
      <c r="D302" s="42" t="s">
        <v>1276</v>
      </c>
      <c r="E302" s="42" t="s">
        <v>836</v>
      </c>
      <c r="F302" s="48" t="s">
        <v>278</v>
      </c>
      <c r="G302" s="42" t="s">
        <v>837</v>
      </c>
      <c r="H302" s="42" t="s">
        <v>838</v>
      </c>
      <c r="I302" s="43"/>
    </row>
    <row r="303" spans="2:9" hidden="1" x14ac:dyDescent="0.25">
      <c r="B303" s="40"/>
      <c r="C303" s="42" t="s">
        <v>581</v>
      </c>
      <c r="D303" s="42" t="s">
        <v>1277</v>
      </c>
      <c r="E303" s="42" t="s">
        <v>836</v>
      </c>
      <c r="F303" s="47" t="s">
        <v>21</v>
      </c>
      <c r="G303" s="42" t="s">
        <v>837</v>
      </c>
      <c r="H303" s="42" t="s">
        <v>838</v>
      </c>
      <c r="I303" s="43"/>
    </row>
    <row r="304" spans="2:9" hidden="1" x14ac:dyDescent="0.25">
      <c r="B304" s="40"/>
      <c r="C304" s="42" t="s">
        <v>1278</v>
      </c>
      <c r="D304" s="42" t="s">
        <v>1279</v>
      </c>
      <c r="E304" s="42" t="s">
        <v>836</v>
      </c>
      <c r="F304" s="47" t="s">
        <v>21</v>
      </c>
      <c r="G304" s="42" t="s">
        <v>837</v>
      </c>
      <c r="H304" s="42" t="s">
        <v>838</v>
      </c>
      <c r="I304" s="43"/>
    </row>
    <row r="305" spans="2:9" hidden="1" x14ac:dyDescent="0.25">
      <c r="B305" s="40"/>
      <c r="C305" s="42" t="s">
        <v>1280</v>
      </c>
      <c r="D305" s="42" t="s">
        <v>1281</v>
      </c>
      <c r="E305" s="42" t="s">
        <v>836</v>
      </c>
      <c r="F305" s="48" t="s">
        <v>278</v>
      </c>
      <c r="G305" s="42" t="s">
        <v>837</v>
      </c>
      <c r="H305" s="42" t="s">
        <v>838</v>
      </c>
      <c r="I305" s="43"/>
    </row>
    <row r="306" spans="2:9" hidden="1" x14ac:dyDescent="0.25">
      <c r="B306" s="40"/>
      <c r="C306" s="42" t="s">
        <v>583</v>
      </c>
      <c r="D306" s="42" t="s">
        <v>1282</v>
      </c>
      <c r="E306" s="42" t="s">
        <v>836</v>
      </c>
      <c r="F306" s="47" t="s">
        <v>21</v>
      </c>
      <c r="G306" s="42" t="s">
        <v>837</v>
      </c>
      <c r="H306" s="42" t="s">
        <v>838</v>
      </c>
      <c r="I306" s="43"/>
    </row>
    <row r="307" spans="2:9" hidden="1" x14ac:dyDescent="0.25">
      <c r="B307" s="40"/>
      <c r="C307" s="42" t="s">
        <v>585</v>
      </c>
      <c r="D307" s="42" t="s">
        <v>1283</v>
      </c>
      <c r="E307" s="42" t="s">
        <v>836</v>
      </c>
      <c r="F307" s="47" t="s">
        <v>21</v>
      </c>
      <c r="G307" s="42" t="s">
        <v>837</v>
      </c>
      <c r="H307" s="42" t="s">
        <v>838</v>
      </c>
      <c r="I307" s="43"/>
    </row>
    <row r="308" spans="2:9" hidden="1" x14ac:dyDescent="0.25">
      <c r="B308" s="40"/>
      <c r="C308" s="42" t="s">
        <v>1284</v>
      </c>
      <c r="D308" s="42" t="s">
        <v>1285</v>
      </c>
      <c r="E308" s="42" t="s">
        <v>836</v>
      </c>
      <c r="F308" s="47" t="s">
        <v>21</v>
      </c>
      <c r="G308" s="42" t="s">
        <v>837</v>
      </c>
      <c r="H308" s="42" t="s">
        <v>838</v>
      </c>
      <c r="I308" s="43"/>
    </row>
    <row r="309" spans="2:9" hidden="1" x14ac:dyDescent="0.25">
      <c r="B309" s="40"/>
      <c r="C309" s="42" t="s">
        <v>587</v>
      </c>
      <c r="D309" s="42" t="s">
        <v>1286</v>
      </c>
      <c r="E309" s="42" t="s">
        <v>836</v>
      </c>
      <c r="F309" s="47" t="s">
        <v>21</v>
      </c>
      <c r="G309" s="42" t="s">
        <v>837</v>
      </c>
      <c r="H309" s="42" t="s">
        <v>838</v>
      </c>
      <c r="I309" s="43"/>
    </row>
    <row r="310" spans="2:9" hidden="1" x14ac:dyDescent="0.25">
      <c r="B310" s="40"/>
      <c r="C310" s="42" t="s">
        <v>1287</v>
      </c>
      <c r="D310" s="42" t="s">
        <v>1288</v>
      </c>
      <c r="E310" s="42" t="s">
        <v>836</v>
      </c>
      <c r="F310" s="48" t="s">
        <v>278</v>
      </c>
      <c r="G310" s="42" t="s">
        <v>837</v>
      </c>
      <c r="H310" s="42" t="s">
        <v>838</v>
      </c>
      <c r="I310" s="43"/>
    </row>
    <row r="311" spans="2:9" hidden="1" x14ac:dyDescent="0.25">
      <c r="B311" s="40"/>
      <c r="C311" s="42" t="s">
        <v>589</v>
      </c>
      <c r="D311" s="42" t="s">
        <v>1289</v>
      </c>
      <c r="E311" s="42" t="s">
        <v>836</v>
      </c>
      <c r="F311" s="47" t="s">
        <v>21</v>
      </c>
      <c r="G311" s="42" t="s">
        <v>837</v>
      </c>
      <c r="H311" s="42" t="s">
        <v>838</v>
      </c>
      <c r="I311" s="43"/>
    </row>
    <row r="312" spans="2:9" hidden="1" x14ac:dyDescent="0.25">
      <c r="B312" s="40"/>
      <c r="C312" s="42" t="s">
        <v>1290</v>
      </c>
      <c r="D312" s="42" t="s">
        <v>1291</v>
      </c>
      <c r="E312" s="42" t="s">
        <v>836</v>
      </c>
      <c r="F312" s="49" t="s">
        <v>423</v>
      </c>
      <c r="G312" s="42" t="s">
        <v>837</v>
      </c>
      <c r="H312" s="42" t="s">
        <v>838</v>
      </c>
      <c r="I312" s="43"/>
    </row>
    <row r="313" spans="2:9" hidden="1" x14ac:dyDescent="0.25">
      <c r="B313" s="40"/>
      <c r="C313" s="42" t="s">
        <v>131</v>
      </c>
      <c r="D313" s="42" t="s">
        <v>1292</v>
      </c>
      <c r="E313" s="42" t="s">
        <v>836</v>
      </c>
      <c r="F313" s="47" t="s">
        <v>21</v>
      </c>
      <c r="G313" s="42" t="s">
        <v>837</v>
      </c>
      <c r="H313" s="42" t="s">
        <v>838</v>
      </c>
      <c r="I313" s="43"/>
    </row>
    <row r="314" spans="2:9" hidden="1" x14ac:dyDescent="0.25">
      <c r="B314" s="40"/>
      <c r="C314" s="42" t="s">
        <v>134</v>
      </c>
      <c r="D314" s="42" t="s">
        <v>1295</v>
      </c>
      <c r="E314" s="42" t="s">
        <v>845</v>
      </c>
      <c r="F314" s="49" t="s">
        <v>423</v>
      </c>
      <c r="G314" s="42" t="s">
        <v>837</v>
      </c>
      <c r="H314" s="42" t="s">
        <v>838</v>
      </c>
      <c r="I314" s="43"/>
    </row>
    <row r="315" spans="2:9" hidden="1" x14ac:dyDescent="0.25">
      <c r="B315" s="40"/>
      <c r="C315" s="42" t="s">
        <v>596</v>
      </c>
      <c r="D315" s="42" t="s">
        <v>1296</v>
      </c>
      <c r="E315" s="42" t="s">
        <v>845</v>
      </c>
      <c r="F315" s="47" t="s">
        <v>21</v>
      </c>
      <c r="G315" s="42" t="s">
        <v>837</v>
      </c>
      <c r="H315" s="42" t="s">
        <v>838</v>
      </c>
      <c r="I315" s="43"/>
    </row>
    <row r="316" spans="2:9" hidden="1" x14ac:dyDescent="0.25">
      <c r="B316" s="40"/>
      <c r="C316" s="42" t="s">
        <v>1297</v>
      </c>
      <c r="D316" s="42" t="s">
        <v>1298</v>
      </c>
      <c r="E316" s="42" t="s">
        <v>836</v>
      </c>
      <c r="F316" s="48" t="s">
        <v>278</v>
      </c>
      <c r="G316" s="42" t="s">
        <v>837</v>
      </c>
      <c r="H316" s="42" t="s">
        <v>838</v>
      </c>
      <c r="I316" s="43"/>
    </row>
    <row r="317" spans="2:9" hidden="1" x14ac:dyDescent="0.25">
      <c r="B317" s="40"/>
      <c r="C317" s="42" t="s">
        <v>1299</v>
      </c>
      <c r="D317" s="42" t="s">
        <v>1300</v>
      </c>
      <c r="E317" s="42" t="s">
        <v>836</v>
      </c>
      <c r="F317" s="48" t="s">
        <v>278</v>
      </c>
      <c r="G317" s="42" t="s">
        <v>837</v>
      </c>
      <c r="H317" s="42" t="s">
        <v>838</v>
      </c>
      <c r="I317" s="43"/>
    </row>
    <row r="318" spans="2:9" hidden="1" x14ac:dyDescent="0.25">
      <c r="B318" s="40"/>
      <c r="C318" s="42" t="s">
        <v>1301</v>
      </c>
      <c r="D318" s="42" t="s">
        <v>1302</v>
      </c>
      <c r="E318" s="42" t="s">
        <v>836</v>
      </c>
      <c r="F318" s="47" t="s">
        <v>21</v>
      </c>
      <c r="G318" s="42" t="s">
        <v>837</v>
      </c>
      <c r="H318" s="42" t="s">
        <v>838</v>
      </c>
      <c r="I318" s="43"/>
    </row>
    <row r="319" spans="2:9" hidden="1" x14ac:dyDescent="0.25">
      <c r="B319" s="40"/>
      <c r="C319" s="42" t="s">
        <v>1303</v>
      </c>
      <c r="D319" s="42" t="s">
        <v>1304</v>
      </c>
      <c r="E319" s="42" t="s">
        <v>836</v>
      </c>
      <c r="F319" s="48" t="s">
        <v>278</v>
      </c>
      <c r="G319" s="42" t="s">
        <v>837</v>
      </c>
      <c r="H319" s="42" t="s">
        <v>838</v>
      </c>
      <c r="I319" s="43"/>
    </row>
    <row r="320" spans="2:9" hidden="1" x14ac:dyDescent="0.25">
      <c r="B320" s="40"/>
      <c r="C320" s="42" t="s">
        <v>220</v>
      </c>
      <c r="D320" s="42" t="s">
        <v>1305</v>
      </c>
      <c r="E320" s="42" t="s">
        <v>836</v>
      </c>
      <c r="F320" s="47" t="s">
        <v>21</v>
      </c>
      <c r="G320" s="42" t="s">
        <v>837</v>
      </c>
      <c r="H320" s="42" t="s">
        <v>838</v>
      </c>
      <c r="I320" s="43"/>
    </row>
    <row r="321" spans="2:9" hidden="1" x14ac:dyDescent="0.25">
      <c r="B321" s="40"/>
      <c r="C321" s="42" t="s">
        <v>1306</v>
      </c>
      <c r="D321" s="42" t="s">
        <v>1307</v>
      </c>
      <c r="E321" s="42" t="s">
        <v>836</v>
      </c>
      <c r="F321" s="47" t="s">
        <v>21</v>
      </c>
      <c r="G321" s="42" t="s">
        <v>837</v>
      </c>
      <c r="H321" s="42" t="s">
        <v>838</v>
      </c>
      <c r="I321" s="43"/>
    </row>
    <row r="322" spans="2:9" hidden="1" x14ac:dyDescent="0.25">
      <c r="B322" s="40"/>
      <c r="C322" s="42" t="s">
        <v>1308</v>
      </c>
      <c r="D322" s="42" t="s">
        <v>1309</v>
      </c>
      <c r="E322" s="42" t="s">
        <v>896</v>
      </c>
      <c r="F322" s="47" t="s">
        <v>21</v>
      </c>
      <c r="G322" s="42" t="s">
        <v>837</v>
      </c>
      <c r="H322" s="42" t="s">
        <v>884</v>
      </c>
      <c r="I322" s="43"/>
    </row>
    <row r="323" spans="2:9" hidden="1" x14ac:dyDescent="0.25">
      <c r="B323" s="40"/>
      <c r="C323" s="42" t="s">
        <v>598</v>
      </c>
      <c r="D323" s="42" t="s">
        <v>1310</v>
      </c>
      <c r="E323" s="42" t="s">
        <v>836</v>
      </c>
      <c r="F323" s="47" t="s">
        <v>21</v>
      </c>
      <c r="G323" s="42" t="s">
        <v>837</v>
      </c>
      <c r="H323" s="42" t="s">
        <v>838</v>
      </c>
      <c r="I323" s="43"/>
    </row>
    <row r="324" spans="2:9" hidden="1" x14ac:dyDescent="0.25">
      <c r="B324" s="40"/>
      <c r="C324" s="42" t="s">
        <v>1311</v>
      </c>
      <c r="D324" s="42" t="s">
        <v>1312</v>
      </c>
      <c r="E324" s="42" t="s">
        <v>836</v>
      </c>
      <c r="F324" s="48" t="s">
        <v>278</v>
      </c>
      <c r="G324" s="42" t="s">
        <v>837</v>
      </c>
      <c r="H324" s="42" t="s">
        <v>838</v>
      </c>
      <c r="I324" s="43"/>
    </row>
    <row r="325" spans="2:9" hidden="1" x14ac:dyDescent="0.25">
      <c r="B325" s="40"/>
      <c r="C325" s="42" t="s">
        <v>1313</v>
      </c>
      <c r="D325" s="42" t="s">
        <v>1314</v>
      </c>
      <c r="E325" s="42" t="s">
        <v>836</v>
      </c>
      <c r="F325" s="47" t="s">
        <v>21</v>
      </c>
      <c r="G325" s="42" t="s">
        <v>837</v>
      </c>
      <c r="H325" s="42" t="s">
        <v>838</v>
      </c>
      <c r="I325" s="43"/>
    </row>
    <row r="326" spans="2:9" hidden="1" x14ac:dyDescent="0.25">
      <c r="B326" s="40"/>
      <c r="C326" s="42" t="s">
        <v>136</v>
      </c>
      <c r="D326" s="42" t="s">
        <v>1315</v>
      </c>
      <c r="E326" s="42" t="s">
        <v>836</v>
      </c>
      <c r="F326" s="47" t="s">
        <v>21</v>
      </c>
      <c r="G326" s="42" t="s">
        <v>837</v>
      </c>
      <c r="H326" s="42" t="s">
        <v>838</v>
      </c>
      <c r="I326" s="43"/>
    </row>
    <row r="327" spans="2:9" hidden="1" x14ac:dyDescent="0.25">
      <c r="B327" s="40"/>
      <c r="C327" s="42" t="s">
        <v>602</v>
      </c>
      <c r="D327" s="42" t="s">
        <v>1316</v>
      </c>
      <c r="E327" s="42" t="s">
        <v>836</v>
      </c>
      <c r="F327" s="47" t="s">
        <v>21</v>
      </c>
      <c r="G327" s="42" t="s">
        <v>837</v>
      </c>
      <c r="H327" s="42" t="s">
        <v>838</v>
      </c>
      <c r="I327" s="43"/>
    </row>
    <row r="328" spans="2:9" hidden="1" x14ac:dyDescent="0.25">
      <c r="B328" s="40"/>
      <c r="C328" s="42" t="s">
        <v>1317</v>
      </c>
      <c r="D328" s="42" t="s">
        <v>1318</v>
      </c>
      <c r="E328" s="42" t="s">
        <v>836</v>
      </c>
      <c r="F328" s="48" t="s">
        <v>278</v>
      </c>
      <c r="G328" s="42" t="s">
        <v>837</v>
      </c>
      <c r="H328" s="42" t="s">
        <v>838</v>
      </c>
      <c r="I328" s="43"/>
    </row>
    <row r="329" spans="2:9" hidden="1" x14ac:dyDescent="0.25">
      <c r="B329" s="40"/>
      <c r="C329" s="42" t="s">
        <v>428</v>
      </c>
      <c r="D329" s="42" t="s">
        <v>1319</v>
      </c>
      <c r="E329" s="42" t="s">
        <v>836</v>
      </c>
      <c r="F329" s="47" t="s">
        <v>21</v>
      </c>
      <c r="G329" s="42" t="s">
        <v>837</v>
      </c>
      <c r="H329" s="42" t="s">
        <v>838</v>
      </c>
      <c r="I329" s="43"/>
    </row>
    <row r="330" spans="2:9" hidden="1" x14ac:dyDescent="0.25">
      <c r="B330" s="40"/>
      <c r="C330" s="42" t="s">
        <v>606</v>
      </c>
      <c r="D330" s="42" t="s">
        <v>1320</v>
      </c>
      <c r="E330" s="42" t="s">
        <v>836</v>
      </c>
      <c r="F330" s="47" t="s">
        <v>21</v>
      </c>
      <c r="G330" s="42" t="s">
        <v>837</v>
      </c>
      <c r="H330" s="42" t="s">
        <v>838</v>
      </c>
      <c r="I330" s="43"/>
    </row>
    <row r="331" spans="2:9" hidden="1" x14ac:dyDescent="0.25">
      <c r="B331" s="40"/>
      <c r="C331" s="42" t="s">
        <v>608</v>
      </c>
      <c r="D331" s="42" t="s">
        <v>1321</v>
      </c>
      <c r="E331" s="42" t="s">
        <v>836</v>
      </c>
      <c r="F331" s="47" t="s">
        <v>21</v>
      </c>
      <c r="G331" s="42" t="s">
        <v>837</v>
      </c>
      <c r="H331" s="42" t="s">
        <v>838</v>
      </c>
      <c r="I331" s="43"/>
    </row>
    <row r="332" spans="2:9" hidden="1" x14ac:dyDescent="0.25">
      <c r="B332" s="40"/>
      <c r="C332" s="42" t="s">
        <v>138</v>
      </c>
      <c r="D332" s="42" t="s">
        <v>1322</v>
      </c>
      <c r="E332" s="42" t="s">
        <v>836</v>
      </c>
      <c r="F332" s="49" t="s">
        <v>423</v>
      </c>
      <c r="G332" s="42" t="s">
        <v>837</v>
      </c>
      <c r="H332" s="42" t="s">
        <v>838</v>
      </c>
      <c r="I332" s="43"/>
    </row>
    <row r="333" spans="2:9" hidden="1" x14ac:dyDescent="0.25">
      <c r="B333" s="40"/>
      <c r="C333" s="42" t="s">
        <v>1323</v>
      </c>
      <c r="D333" s="42" t="s">
        <v>1324</v>
      </c>
      <c r="E333" s="42" t="s">
        <v>836</v>
      </c>
      <c r="F333" s="48" t="s">
        <v>278</v>
      </c>
      <c r="G333" s="42" t="s">
        <v>837</v>
      </c>
      <c r="H333" s="42" t="s">
        <v>838</v>
      </c>
      <c r="I333" s="43"/>
    </row>
    <row r="334" spans="2:9" hidden="1" x14ac:dyDescent="0.25">
      <c r="B334" s="40"/>
      <c r="C334" s="42" t="s">
        <v>611</v>
      </c>
      <c r="D334" s="42" t="s">
        <v>1325</v>
      </c>
      <c r="E334" s="42" t="s">
        <v>836</v>
      </c>
      <c r="F334" s="47" t="s">
        <v>21</v>
      </c>
      <c r="G334" s="42" t="s">
        <v>837</v>
      </c>
      <c r="H334" s="42" t="s">
        <v>838</v>
      </c>
      <c r="I334" s="43"/>
    </row>
    <row r="335" spans="2:9" hidden="1" x14ac:dyDescent="0.25">
      <c r="B335" s="40"/>
      <c r="C335" s="42" t="s">
        <v>613</v>
      </c>
      <c r="D335" s="42" t="s">
        <v>1326</v>
      </c>
      <c r="E335" s="42" t="s">
        <v>836</v>
      </c>
      <c r="F335" s="51" t="s">
        <v>1051</v>
      </c>
      <c r="G335" s="42" t="s">
        <v>837</v>
      </c>
      <c r="H335" s="42" t="s">
        <v>838</v>
      </c>
      <c r="I335" s="43"/>
    </row>
    <row r="336" spans="2:9" hidden="1" x14ac:dyDescent="0.25">
      <c r="B336" s="40"/>
      <c r="C336" s="42" t="s">
        <v>615</v>
      </c>
      <c r="D336" s="42" t="s">
        <v>1327</v>
      </c>
      <c r="E336" s="42" t="s">
        <v>836</v>
      </c>
      <c r="F336" s="47" t="s">
        <v>21</v>
      </c>
      <c r="G336" s="42" t="s">
        <v>837</v>
      </c>
      <c r="H336" s="42" t="s">
        <v>838</v>
      </c>
      <c r="I336" s="43"/>
    </row>
    <row r="337" spans="2:9" hidden="1" x14ac:dyDescent="0.25">
      <c r="B337" s="40"/>
      <c r="C337" s="42" t="s">
        <v>617</v>
      </c>
      <c r="D337" s="42" t="s">
        <v>1328</v>
      </c>
      <c r="E337" s="42" t="s">
        <v>836</v>
      </c>
      <c r="F337" s="47" t="s">
        <v>21</v>
      </c>
      <c r="G337" s="42" t="s">
        <v>837</v>
      </c>
      <c r="H337" s="42" t="s">
        <v>838</v>
      </c>
      <c r="I337" s="43"/>
    </row>
    <row r="338" spans="2:9" x14ac:dyDescent="0.25">
      <c r="B338" s="40"/>
      <c r="C338" s="42" t="s">
        <v>1329</v>
      </c>
      <c r="D338" s="42" t="s">
        <v>1330</v>
      </c>
      <c r="E338" s="42" t="s">
        <v>836</v>
      </c>
      <c r="F338" s="51" t="s">
        <v>1063</v>
      </c>
      <c r="G338" s="42" t="s">
        <v>837</v>
      </c>
      <c r="H338" s="42" t="s">
        <v>838</v>
      </c>
      <c r="I338" s="43"/>
    </row>
    <row r="339" spans="2:9" hidden="1" x14ac:dyDescent="0.25">
      <c r="B339" s="40"/>
      <c r="C339" s="42" t="s">
        <v>1331</v>
      </c>
      <c r="D339" s="42" t="s">
        <v>1332</v>
      </c>
      <c r="E339" s="42" t="s">
        <v>836</v>
      </c>
      <c r="F339" s="49" t="s">
        <v>423</v>
      </c>
      <c r="G339" s="42" t="s">
        <v>837</v>
      </c>
      <c r="H339" s="42" t="s">
        <v>838</v>
      </c>
      <c r="I339" s="43"/>
    </row>
    <row r="340" spans="2:9" hidden="1" x14ac:dyDescent="0.25">
      <c r="B340" s="40"/>
      <c r="C340" s="42" t="s">
        <v>619</v>
      </c>
      <c r="D340" s="42" t="s">
        <v>1333</v>
      </c>
      <c r="E340" s="42" t="s">
        <v>836</v>
      </c>
      <c r="F340" s="47" t="s">
        <v>21</v>
      </c>
      <c r="G340" s="42" t="s">
        <v>837</v>
      </c>
      <c r="H340" s="42" t="s">
        <v>838</v>
      </c>
      <c r="I340" s="43"/>
    </row>
    <row r="341" spans="2:9" hidden="1" x14ac:dyDescent="0.25">
      <c r="B341" s="40"/>
      <c r="C341" s="42" t="s">
        <v>1334</v>
      </c>
      <c r="D341" s="42" t="s">
        <v>1335</v>
      </c>
      <c r="E341" s="42" t="s">
        <v>836</v>
      </c>
      <c r="F341" s="47" t="s">
        <v>21</v>
      </c>
      <c r="G341" s="42" t="s">
        <v>837</v>
      </c>
      <c r="H341" s="42" t="s">
        <v>838</v>
      </c>
      <c r="I341" s="43"/>
    </row>
    <row r="342" spans="2:9" hidden="1" x14ac:dyDescent="0.25">
      <c r="B342" s="40"/>
      <c r="C342" s="42" t="s">
        <v>1336</v>
      </c>
      <c r="D342" s="42" t="s">
        <v>1337</v>
      </c>
      <c r="E342" s="42" t="s">
        <v>836</v>
      </c>
      <c r="F342" s="47" t="s">
        <v>21</v>
      </c>
      <c r="G342" s="42" t="s">
        <v>837</v>
      </c>
      <c r="H342" s="42" t="s">
        <v>838</v>
      </c>
      <c r="I342" s="43"/>
    </row>
    <row r="343" spans="2:9" hidden="1" x14ac:dyDescent="0.25">
      <c r="B343" s="40"/>
      <c r="C343" s="42" t="s">
        <v>1338</v>
      </c>
      <c r="D343" s="42" t="s">
        <v>1339</v>
      </c>
      <c r="E343" s="42" t="s">
        <v>836</v>
      </c>
      <c r="F343" s="47" t="s">
        <v>21</v>
      </c>
      <c r="G343" s="42" t="s">
        <v>837</v>
      </c>
      <c r="H343" s="42" t="s">
        <v>838</v>
      </c>
      <c r="I343" s="43"/>
    </row>
    <row r="344" spans="2:9" hidden="1" x14ac:dyDescent="0.25">
      <c r="B344" s="40"/>
      <c r="C344" s="42" t="s">
        <v>537</v>
      </c>
      <c r="D344" s="42" t="s">
        <v>1340</v>
      </c>
      <c r="E344" s="42" t="s">
        <v>836</v>
      </c>
      <c r="F344" s="47" t="s">
        <v>21</v>
      </c>
      <c r="G344" s="42" t="s">
        <v>837</v>
      </c>
      <c r="H344" s="42" t="s">
        <v>838</v>
      </c>
      <c r="I344" s="43"/>
    </row>
    <row r="345" spans="2:9" hidden="1" x14ac:dyDescent="0.25">
      <c r="B345" s="40"/>
      <c r="C345" s="42" t="s">
        <v>140</v>
      </c>
      <c r="D345" s="42" t="s">
        <v>1341</v>
      </c>
      <c r="E345" s="42" t="s">
        <v>836</v>
      </c>
      <c r="F345" s="47" t="s">
        <v>21</v>
      </c>
      <c r="G345" s="42" t="s">
        <v>837</v>
      </c>
      <c r="H345" s="42" t="s">
        <v>838</v>
      </c>
      <c r="I345" s="43"/>
    </row>
    <row r="346" spans="2:9" hidden="1" x14ac:dyDescent="0.25">
      <c r="B346" s="40"/>
      <c r="C346" s="42" t="s">
        <v>1342</v>
      </c>
      <c r="D346" s="42" t="s">
        <v>1343</v>
      </c>
      <c r="E346" s="42" t="s">
        <v>836</v>
      </c>
      <c r="F346" s="48" t="s">
        <v>278</v>
      </c>
      <c r="G346" s="42" t="s">
        <v>837</v>
      </c>
      <c r="H346" s="42" t="s">
        <v>838</v>
      </c>
      <c r="I346" s="43"/>
    </row>
    <row r="347" spans="2:9" hidden="1" x14ac:dyDescent="0.25">
      <c r="B347" s="40"/>
      <c r="C347" s="42" t="s">
        <v>624</v>
      </c>
      <c r="D347" s="42" t="s">
        <v>1344</v>
      </c>
      <c r="E347" s="42" t="s">
        <v>836</v>
      </c>
      <c r="F347" s="47" t="s">
        <v>21</v>
      </c>
      <c r="G347" s="42" t="s">
        <v>837</v>
      </c>
      <c r="H347" s="42" t="s">
        <v>838</v>
      </c>
      <c r="I347" s="43"/>
    </row>
    <row r="348" spans="2:9" hidden="1" x14ac:dyDescent="0.25">
      <c r="B348" s="40"/>
      <c r="C348" s="42" t="s">
        <v>1345</v>
      </c>
      <c r="D348" s="42" t="s">
        <v>1346</v>
      </c>
      <c r="E348" s="42" t="s">
        <v>836</v>
      </c>
      <c r="F348" s="47" t="s">
        <v>21</v>
      </c>
      <c r="G348" s="42" t="s">
        <v>837</v>
      </c>
      <c r="H348" s="42" t="s">
        <v>838</v>
      </c>
      <c r="I348" s="43"/>
    </row>
    <row r="349" spans="2:9" hidden="1" x14ac:dyDescent="0.25">
      <c r="B349" s="40"/>
      <c r="C349" s="42" t="s">
        <v>1347</v>
      </c>
      <c r="D349" s="42" t="s">
        <v>1348</v>
      </c>
      <c r="E349" s="42" t="s">
        <v>836</v>
      </c>
      <c r="F349" s="47" t="s">
        <v>21</v>
      </c>
      <c r="G349" s="42" t="s">
        <v>837</v>
      </c>
      <c r="H349" s="42" t="s">
        <v>838</v>
      </c>
      <c r="I349" s="43"/>
    </row>
    <row r="350" spans="2:9" hidden="1" x14ac:dyDescent="0.25">
      <c r="B350" s="40"/>
      <c r="C350" s="42" t="s">
        <v>222</v>
      </c>
      <c r="D350" s="42" t="s">
        <v>1349</v>
      </c>
      <c r="E350" s="42" t="s">
        <v>836</v>
      </c>
      <c r="F350" s="47" t="s">
        <v>21</v>
      </c>
      <c r="G350" s="42" t="s">
        <v>837</v>
      </c>
      <c r="H350" s="42" t="s">
        <v>838</v>
      </c>
      <c r="I350" s="43"/>
    </row>
    <row r="351" spans="2:9" hidden="1" x14ac:dyDescent="0.25">
      <c r="B351" s="40"/>
      <c r="C351" s="42" t="s">
        <v>142</v>
      </c>
      <c r="D351" s="42" t="s">
        <v>1350</v>
      </c>
      <c r="E351" s="42" t="s">
        <v>836</v>
      </c>
      <c r="F351" s="47" t="s">
        <v>21</v>
      </c>
      <c r="G351" s="42" t="s">
        <v>837</v>
      </c>
      <c r="H351" s="42" t="s">
        <v>838</v>
      </c>
      <c r="I351" s="43"/>
    </row>
    <row r="352" spans="2:9" hidden="1" x14ac:dyDescent="0.25">
      <c r="B352" s="40"/>
      <c r="C352" s="42" t="s">
        <v>1351</v>
      </c>
      <c r="D352" s="42" t="s">
        <v>1352</v>
      </c>
      <c r="E352" s="42" t="s">
        <v>836</v>
      </c>
      <c r="F352" s="48" t="s">
        <v>278</v>
      </c>
      <c r="G352" s="42" t="s">
        <v>837</v>
      </c>
      <c r="H352" s="42" t="s">
        <v>838</v>
      </c>
      <c r="I352" s="43"/>
    </row>
    <row r="353" spans="2:9" hidden="1" x14ac:dyDescent="0.25">
      <c r="B353" s="40"/>
      <c r="C353" s="42" t="s">
        <v>1353</v>
      </c>
      <c r="D353" s="42" t="s">
        <v>1354</v>
      </c>
      <c r="E353" s="42" t="s">
        <v>836</v>
      </c>
      <c r="F353" s="49" t="s">
        <v>423</v>
      </c>
      <c r="G353" s="42" t="s">
        <v>837</v>
      </c>
      <c r="H353" s="42" t="s">
        <v>838</v>
      </c>
      <c r="I353" s="43"/>
    </row>
    <row r="354" spans="2:9" hidden="1" x14ac:dyDescent="0.25">
      <c r="B354" s="41"/>
      <c r="C354" s="44" t="s">
        <v>1355</v>
      </c>
      <c r="D354" s="44" t="s">
        <v>1356</v>
      </c>
      <c r="E354" s="44" t="s">
        <v>836</v>
      </c>
      <c r="F354" s="54" t="s">
        <v>974</v>
      </c>
      <c r="G354" s="44" t="s">
        <v>838</v>
      </c>
      <c r="H354" s="44" t="s">
        <v>838</v>
      </c>
      <c r="I354" s="45"/>
    </row>
    <row r="355" spans="2:9" hidden="1" x14ac:dyDescent="0.25">
      <c r="B355" s="40"/>
      <c r="C355" s="42" t="s">
        <v>1357</v>
      </c>
      <c r="D355" s="42" t="s">
        <v>1358</v>
      </c>
      <c r="E355" s="42" t="s">
        <v>836</v>
      </c>
      <c r="F355" s="47" t="s">
        <v>21</v>
      </c>
      <c r="G355" s="42" t="s">
        <v>837</v>
      </c>
      <c r="H355" s="42" t="s">
        <v>838</v>
      </c>
      <c r="I355" s="43"/>
    </row>
    <row r="356" spans="2:9" hidden="1" x14ac:dyDescent="0.25">
      <c r="B356" s="40"/>
      <c r="C356" s="42" t="s">
        <v>1359</v>
      </c>
      <c r="D356" s="42" t="s">
        <v>1360</v>
      </c>
      <c r="E356" s="42" t="s">
        <v>836</v>
      </c>
      <c r="F356" s="47" t="s">
        <v>21</v>
      </c>
      <c r="G356" s="42" t="s">
        <v>837</v>
      </c>
      <c r="H356" s="42" t="s">
        <v>838</v>
      </c>
      <c r="I356" s="43"/>
    </row>
    <row r="357" spans="2:9" hidden="1" x14ac:dyDescent="0.25">
      <c r="B357" s="40"/>
      <c r="C357" s="42" t="s">
        <v>626</v>
      </c>
      <c r="D357" s="42" t="s">
        <v>1361</v>
      </c>
      <c r="E357" s="42" t="s">
        <v>836</v>
      </c>
      <c r="F357" s="47" t="s">
        <v>21</v>
      </c>
      <c r="G357" s="42" t="s">
        <v>837</v>
      </c>
      <c r="H357" s="42" t="s">
        <v>838</v>
      </c>
      <c r="I357" s="43"/>
    </row>
    <row r="358" spans="2:9" hidden="1" x14ac:dyDescent="0.25">
      <c r="B358" s="40"/>
      <c r="C358" s="42" t="s">
        <v>1362</v>
      </c>
      <c r="D358" s="42" t="s">
        <v>1363</v>
      </c>
      <c r="E358" s="42" t="s">
        <v>836</v>
      </c>
      <c r="F358" s="47" t="s">
        <v>21</v>
      </c>
      <c r="G358" s="42" t="s">
        <v>837</v>
      </c>
      <c r="H358" s="42" t="s">
        <v>838</v>
      </c>
      <c r="I358" s="43"/>
    </row>
    <row r="359" spans="2:9" hidden="1" x14ac:dyDescent="0.25">
      <c r="B359" s="40"/>
      <c r="C359" s="42" t="s">
        <v>144</v>
      </c>
      <c r="D359" s="42" t="s">
        <v>1364</v>
      </c>
      <c r="E359" s="42" t="s">
        <v>836</v>
      </c>
      <c r="F359" s="47" t="s">
        <v>21</v>
      </c>
      <c r="G359" s="42" t="s">
        <v>837</v>
      </c>
      <c r="H359" s="42" t="s">
        <v>838</v>
      </c>
      <c r="I359" s="43"/>
    </row>
    <row r="360" spans="2:9" hidden="1" x14ac:dyDescent="0.25">
      <c r="B360" s="40"/>
      <c r="C360" s="42" t="s">
        <v>1367</v>
      </c>
      <c r="D360" s="42" t="s">
        <v>1368</v>
      </c>
      <c r="E360" s="42" t="s">
        <v>845</v>
      </c>
      <c r="F360" s="48" t="s">
        <v>278</v>
      </c>
      <c r="G360" s="42" t="s">
        <v>837</v>
      </c>
      <c r="H360" s="42" t="s">
        <v>838</v>
      </c>
      <c r="I360" s="43"/>
    </row>
    <row r="361" spans="2:9" hidden="1" x14ac:dyDescent="0.25">
      <c r="B361" s="40"/>
      <c r="C361" s="42" t="s">
        <v>147</v>
      </c>
      <c r="D361" s="42" t="s">
        <v>1369</v>
      </c>
      <c r="E361" s="42" t="s">
        <v>836</v>
      </c>
      <c r="F361" s="47" t="s">
        <v>21</v>
      </c>
      <c r="G361" s="42" t="s">
        <v>837</v>
      </c>
      <c r="H361" s="42" t="s">
        <v>838</v>
      </c>
      <c r="I361" s="43"/>
    </row>
    <row r="362" spans="2:9" hidden="1" x14ac:dyDescent="0.25">
      <c r="B362" s="40"/>
      <c r="C362" s="42" t="s">
        <v>150</v>
      </c>
      <c r="D362" s="42" t="s">
        <v>1370</v>
      </c>
      <c r="E362" s="42" t="s">
        <v>836</v>
      </c>
      <c r="F362" s="47" t="s">
        <v>21</v>
      </c>
      <c r="G362" s="42" t="s">
        <v>837</v>
      </c>
      <c r="H362" s="42" t="s">
        <v>838</v>
      </c>
      <c r="I362" s="43"/>
    </row>
    <row r="363" spans="2:9" hidden="1" x14ac:dyDescent="0.25">
      <c r="B363" s="40"/>
      <c r="C363" s="42" t="s">
        <v>1371</v>
      </c>
      <c r="D363" s="42" t="s">
        <v>1632</v>
      </c>
      <c r="E363" s="42" t="s">
        <v>845</v>
      </c>
      <c r="F363" s="48" t="s">
        <v>278</v>
      </c>
      <c r="G363" s="42" t="s">
        <v>837</v>
      </c>
      <c r="H363" s="42" t="s">
        <v>838</v>
      </c>
      <c r="I363" s="43"/>
    </row>
    <row r="364" spans="2:9" hidden="1" x14ac:dyDescent="0.25">
      <c r="B364" s="40"/>
      <c r="C364" s="42" t="s">
        <v>628</v>
      </c>
      <c r="D364" s="42" t="s">
        <v>1373</v>
      </c>
      <c r="E364" s="42" t="s">
        <v>836</v>
      </c>
      <c r="F364" s="47" t="s">
        <v>21</v>
      </c>
      <c r="G364" s="42" t="s">
        <v>837</v>
      </c>
      <c r="H364" s="42" t="s">
        <v>838</v>
      </c>
      <c r="I364" s="43"/>
    </row>
    <row r="365" spans="2:9" hidden="1" x14ac:dyDescent="0.25">
      <c r="B365" s="40"/>
      <c r="C365" s="42" t="s">
        <v>1374</v>
      </c>
      <c r="D365" s="42" t="s">
        <v>1375</v>
      </c>
      <c r="E365" s="42" t="s">
        <v>845</v>
      </c>
      <c r="F365" s="47" t="s">
        <v>21</v>
      </c>
      <c r="G365" s="42" t="s">
        <v>837</v>
      </c>
      <c r="H365" s="42" t="s">
        <v>838</v>
      </c>
      <c r="I365" s="43"/>
    </row>
    <row r="366" spans="2:9" hidden="1" x14ac:dyDescent="0.25">
      <c r="B366" s="40"/>
      <c r="C366" s="42" t="s">
        <v>631</v>
      </c>
      <c r="D366" s="42" t="s">
        <v>1376</v>
      </c>
      <c r="E366" s="42" t="s">
        <v>836</v>
      </c>
      <c r="F366" s="47" t="s">
        <v>21</v>
      </c>
      <c r="G366" s="42" t="s">
        <v>837</v>
      </c>
      <c r="H366" s="42" t="s">
        <v>838</v>
      </c>
      <c r="I366" s="43"/>
    </row>
    <row r="367" spans="2:9" hidden="1" x14ac:dyDescent="0.25">
      <c r="B367" s="40"/>
      <c r="C367" s="42" t="s">
        <v>633</v>
      </c>
      <c r="D367" s="42" t="s">
        <v>1377</v>
      </c>
      <c r="E367" s="42" t="s">
        <v>836</v>
      </c>
      <c r="F367" s="47" t="s">
        <v>21</v>
      </c>
      <c r="G367" s="42" t="s">
        <v>837</v>
      </c>
      <c r="H367" s="42" t="s">
        <v>838</v>
      </c>
      <c r="I367" s="43"/>
    </row>
    <row r="368" spans="2:9" hidden="1" x14ac:dyDescent="0.25">
      <c r="B368" s="40"/>
      <c r="C368" s="42" t="s">
        <v>1378</v>
      </c>
      <c r="D368" s="42" t="s">
        <v>1379</v>
      </c>
      <c r="E368" s="42" t="s">
        <v>836</v>
      </c>
      <c r="F368" s="48" t="s">
        <v>278</v>
      </c>
      <c r="G368" s="42" t="s">
        <v>837</v>
      </c>
      <c r="H368" s="42" t="s">
        <v>838</v>
      </c>
      <c r="I368" s="43"/>
    </row>
    <row r="369" spans="2:9" hidden="1" x14ac:dyDescent="0.25">
      <c r="B369" s="40"/>
      <c r="C369" s="42" t="s">
        <v>1380</v>
      </c>
      <c r="D369" s="42" t="s">
        <v>1381</v>
      </c>
      <c r="E369" s="42" t="s">
        <v>836</v>
      </c>
      <c r="F369" s="47" t="s">
        <v>21</v>
      </c>
      <c r="G369" s="42" t="s">
        <v>837</v>
      </c>
      <c r="H369" s="42" t="s">
        <v>838</v>
      </c>
      <c r="I369" s="43"/>
    </row>
    <row r="370" spans="2:9" hidden="1" x14ac:dyDescent="0.25">
      <c r="B370" s="40"/>
      <c r="C370" s="42" t="s">
        <v>152</v>
      </c>
      <c r="D370" s="42" t="s">
        <v>1382</v>
      </c>
      <c r="E370" s="42" t="s">
        <v>836</v>
      </c>
      <c r="F370" s="47" t="s">
        <v>21</v>
      </c>
      <c r="G370" s="42" t="s">
        <v>837</v>
      </c>
      <c r="H370" s="42" t="s">
        <v>838</v>
      </c>
      <c r="I370" s="43"/>
    </row>
    <row r="371" spans="2:9" hidden="1" x14ac:dyDescent="0.25">
      <c r="B371" s="40"/>
      <c r="C371" s="42" t="s">
        <v>1383</v>
      </c>
      <c r="D371" s="42" t="s">
        <v>1384</v>
      </c>
      <c r="E371" s="42" t="s">
        <v>836</v>
      </c>
      <c r="F371" s="48" t="s">
        <v>278</v>
      </c>
      <c r="G371" s="42" t="s">
        <v>837</v>
      </c>
      <c r="H371" s="42" t="s">
        <v>838</v>
      </c>
      <c r="I371" s="43"/>
    </row>
    <row r="372" spans="2:9" hidden="1" x14ac:dyDescent="0.25">
      <c r="B372" s="40"/>
      <c r="C372" s="42" t="s">
        <v>1385</v>
      </c>
      <c r="D372" s="42" t="s">
        <v>1386</v>
      </c>
      <c r="E372" s="42" t="s">
        <v>836</v>
      </c>
      <c r="F372" s="47" t="s">
        <v>21</v>
      </c>
      <c r="G372" s="42" t="s">
        <v>837</v>
      </c>
      <c r="H372" s="42" t="s">
        <v>838</v>
      </c>
      <c r="I372" s="43"/>
    </row>
    <row r="373" spans="2:9" hidden="1" x14ac:dyDescent="0.25">
      <c r="B373" s="40"/>
      <c r="C373" s="42" t="s">
        <v>638</v>
      </c>
      <c r="D373" s="42" t="s">
        <v>1387</v>
      </c>
      <c r="E373" s="42" t="s">
        <v>836</v>
      </c>
      <c r="F373" s="47" t="s">
        <v>21</v>
      </c>
      <c r="G373" s="42" t="s">
        <v>837</v>
      </c>
      <c r="H373" s="42" t="s">
        <v>838</v>
      </c>
      <c r="I373" s="43"/>
    </row>
    <row r="374" spans="2:9" hidden="1" x14ac:dyDescent="0.25">
      <c r="B374" s="40"/>
      <c r="C374" s="42" t="s">
        <v>640</v>
      </c>
      <c r="D374" s="42" t="s">
        <v>1388</v>
      </c>
      <c r="E374" s="42" t="s">
        <v>836</v>
      </c>
      <c r="F374" s="47" t="s">
        <v>21</v>
      </c>
      <c r="G374" s="42" t="s">
        <v>837</v>
      </c>
      <c r="H374" s="42" t="s">
        <v>838</v>
      </c>
      <c r="I374" s="43"/>
    </row>
    <row r="375" spans="2:9" hidden="1" x14ac:dyDescent="0.25">
      <c r="B375" s="40"/>
      <c r="C375" s="42" t="s">
        <v>1389</v>
      </c>
      <c r="D375" s="42" t="s">
        <v>1390</v>
      </c>
      <c r="E375" s="42" t="s">
        <v>836</v>
      </c>
      <c r="F375" s="47" t="s">
        <v>21</v>
      </c>
      <c r="G375" s="42" t="s">
        <v>837</v>
      </c>
      <c r="H375" s="42" t="s">
        <v>838</v>
      </c>
      <c r="I375" s="43"/>
    </row>
    <row r="376" spans="2:9" hidden="1" x14ac:dyDescent="0.25">
      <c r="B376" s="40"/>
      <c r="C376" s="42" t="s">
        <v>678</v>
      </c>
      <c r="D376" s="42" t="s">
        <v>1391</v>
      </c>
      <c r="E376" s="42" t="s">
        <v>836</v>
      </c>
      <c r="F376" s="47" t="s">
        <v>21</v>
      </c>
      <c r="G376" s="42" t="s">
        <v>837</v>
      </c>
      <c r="H376" s="42" t="s">
        <v>838</v>
      </c>
      <c r="I376" s="43"/>
    </row>
    <row r="377" spans="2:9" hidden="1" x14ac:dyDescent="0.25">
      <c r="B377" s="40"/>
      <c r="C377" s="42" t="s">
        <v>1392</v>
      </c>
      <c r="D377" s="42" t="s">
        <v>1393</v>
      </c>
      <c r="E377" s="42" t="s">
        <v>896</v>
      </c>
      <c r="F377" s="52" t="s">
        <v>974</v>
      </c>
      <c r="G377" s="42" t="s">
        <v>838</v>
      </c>
      <c r="H377" s="42" t="s">
        <v>838</v>
      </c>
      <c r="I377" s="43"/>
    </row>
    <row r="378" spans="2:9" hidden="1" x14ac:dyDescent="0.25">
      <c r="B378" s="40"/>
      <c r="C378" s="42" t="s">
        <v>1394</v>
      </c>
      <c r="D378" s="42" t="s">
        <v>1395</v>
      </c>
      <c r="E378" s="42" t="s">
        <v>896</v>
      </c>
      <c r="F378" s="48" t="s">
        <v>278</v>
      </c>
      <c r="G378" s="42" t="s">
        <v>837</v>
      </c>
      <c r="H378" s="42" t="s">
        <v>884</v>
      </c>
      <c r="I378" s="43"/>
    </row>
    <row r="379" spans="2:9" hidden="1" x14ac:dyDescent="0.25">
      <c r="B379" s="40"/>
      <c r="C379" s="42" t="s">
        <v>155</v>
      </c>
      <c r="D379" s="42" t="s">
        <v>1396</v>
      </c>
      <c r="E379" s="42" t="s">
        <v>836</v>
      </c>
      <c r="F379" s="47" t="s">
        <v>21</v>
      </c>
      <c r="G379" s="42" t="s">
        <v>837</v>
      </c>
      <c r="H379" s="42" t="s">
        <v>838</v>
      </c>
      <c r="I379" s="43"/>
    </row>
    <row r="380" spans="2:9" hidden="1" x14ac:dyDescent="0.25">
      <c r="B380" s="40"/>
      <c r="C380" s="42" t="s">
        <v>647</v>
      </c>
      <c r="D380" s="42" t="s">
        <v>1397</v>
      </c>
      <c r="E380" s="42" t="s">
        <v>836</v>
      </c>
      <c r="F380" s="47" t="s">
        <v>21</v>
      </c>
      <c r="G380" s="42" t="s">
        <v>837</v>
      </c>
      <c r="H380" s="42" t="s">
        <v>838</v>
      </c>
      <c r="I380" s="43"/>
    </row>
    <row r="381" spans="2:9" hidden="1" x14ac:dyDescent="0.25">
      <c r="B381" s="40"/>
      <c r="C381" s="42" t="s">
        <v>1398</v>
      </c>
      <c r="D381" s="42" t="s">
        <v>1399</v>
      </c>
      <c r="E381" s="42" t="s">
        <v>836</v>
      </c>
      <c r="F381" s="48" t="s">
        <v>278</v>
      </c>
      <c r="G381" s="42" t="s">
        <v>837</v>
      </c>
      <c r="H381" s="42" t="s">
        <v>838</v>
      </c>
      <c r="I381" s="43"/>
    </row>
    <row r="382" spans="2:9" hidden="1" x14ac:dyDescent="0.25">
      <c r="B382" s="40"/>
      <c r="C382" s="42" t="s">
        <v>1400</v>
      </c>
      <c r="D382" s="42" t="s">
        <v>1401</v>
      </c>
      <c r="E382" s="42" t="s">
        <v>836</v>
      </c>
      <c r="F382" s="47" t="s">
        <v>21</v>
      </c>
      <c r="G382" s="42" t="s">
        <v>837</v>
      </c>
      <c r="H382" s="42" t="s">
        <v>838</v>
      </c>
      <c r="I382" s="43"/>
    </row>
    <row r="383" spans="2:9" hidden="1" x14ac:dyDescent="0.25">
      <c r="B383" s="40"/>
      <c r="C383" s="42" t="s">
        <v>649</v>
      </c>
      <c r="D383" s="42" t="s">
        <v>1402</v>
      </c>
      <c r="E383" s="42" t="s">
        <v>836</v>
      </c>
      <c r="F383" s="48" t="s">
        <v>278</v>
      </c>
      <c r="G383" s="42" t="s">
        <v>837</v>
      </c>
      <c r="H383" s="42" t="s">
        <v>838</v>
      </c>
      <c r="I383" s="43"/>
    </row>
    <row r="384" spans="2:9" hidden="1" x14ac:dyDescent="0.25">
      <c r="B384" s="40"/>
      <c r="C384" s="42" t="s">
        <v>652</v>
      </c>
      <c r="D384" s="42" t="s">
        <v>1403</v>
      </c>
      <c r="E384" s="42" t="s">
        <v>836</v>
      </c>
      <c r="F384" s="47" t="s">
        <v>21</v>
      </c>
      <c r="G384" s="42" t="s">
        <v>837</v>
      </c>
      <c r="H384" s="42" t="s">
        <v>838</v>
      </c>
      <c r="I384" s="43"/>
    </row>
    <row r="385" spans="2:9" hidden="1" x14ac:dyDescent="0.25">
      <c r="B385" s="40"/>
      <c r="C385" s="42" t="s">
        <v>1404</v>
      </c>
      <c r="D385" s="42" t="s">
        <v>1405</v>
      </c>
      <c r="E385" s="42" t="s">
        <v>836</v>
      </c>
      <c r="F385" s="48" t="s">
        <v>278</v>
      </c>
      <c r="G385" s="42" t="s">
        <v>837</v>
      </c>
      <c r="H385" s="42" t="s">
        <v>838</v>
      </c>
      <c r="I385" s="43"/>
    </row>
    <row r="386" spans="2:9" hidden="1" x14ac:dyDescent="0.25">
      <c r="B386" s="40"/>
      <c r="C386" s="42" t="s">
        <v>654</v>
      </c>
      <c r="D386" s="42" t="s">
        <v>1406</v>
      </c>
      <c r="E386" s="42" t="s">
        <v>836</v>
      </c>
      <c r="F386" s="47" t="s">
        <v>21</v>
      </c>
      <c r="G386" s="42" t="s">
        <v>837</v>
      </c>
      <c r="H386" s="42" t="s">
        <v>838</v>
      </c>
      <c r="I386" s="43"/>
    </row>
    <row r="387" spans="2:9" hidden="1" x14ac:dyDescent="0.25">
      <c r="B387" s="40"/>
      <c r="C387" s="42" t="s">
        <v>1407</v>
      </c>
      <c r="D387" s="42" t="s">
        <v>1408</v>
      </c>
      <c r="E387" s="42" t="s">
        <v>836</v>
      </c>
      <c r="F387" s="47" t="s">
        <v>21</v>
      </c>
      <c r="G387" s="42" t="s">
        <v>837</v>
      </c>
      <c r="H387" s="42" t="s">
        <v>838</v>
      </c>
      <c r="I387" s="43"/>
    </row>
    <row r="388" spans="2:9" hidden="1" x14ac:dyDescent="0.25">
      <c r="B388" s="40"/>
      <c r="C388" s="42" t="s">
        <v>1409</v>
      </c>
      <c r="D388" s="42" t="s">
        <v>1410</v>
      </c>
      <c r="E388" s="42" t="s">
        <v>836</v>
      </c>
      <c r="F388" s="47" t="s">
        <v>21</v>
      </c>
      <c r="G388" s="42" t="s">
        <v>837</v>
      </c>
      <c r="H388" s="42" t="s">
        <v>838</v>
      </c>
      <c r="I388" s="43"/>
    </row>
    <row r="389" spans="2:9" hidden="1" x14ac:dyDescent="0.25">
      <c r="B389" s="40"/>
      <c r="C389" s="42" t="s">
        <v>157</v>
      </c>
      <c r="D389" s="42" t="s">
        <v>1411</v>
      </c>
      <c r="E389" s="42" t="s">
        <v>836</v>
      </c>
      <c r="F389" s="47" t="s">
        <v>21</v>
      </c>
      <c r="G389" s="42" t="s">
        <v>837</v>
      </c>
      <c r="H389" s="42" t="s">
        <v>838</v>
      </c>
      <c r="I389" s="43"/>
    </row>
    <row r="390" spans="2:9" hidden="1" x14ac:dyDescent="0.25">
      <c r="B390" s="40"/>
      <c r="C390" s="42" t="s">
        <v>656</v>
      </c>
      <c r="D390" s="42" t="s">
        <v>1412</v>
      </c>
      <c r="E390" s="42" t="s">
        <v>836</v>
      </c>
      <c r="F390" s="48" t="s">
        <v>278</v>
      </c>
      <c r="G390" s="42" t="s">
        <v>837</v>
      </c>
      <c r="H390" s="42" t="s">
        <v>838</v>
      </c>
      <c r="I390" s="43"/>
    </row>
    <row r="391" spans="2:9" hidden="1" x14ac:dyDescent="0.25">
      <c r="B391" s="40"/>
      <c r="C391" s="42" t="s">
        <v>160</v>
      </c>
      <c r="D391" s="42" t="s">
        <v>1413</v>
      </c>
      <c r="E391" s="42" t="s">
        <v>836</v>
      </c>
      <c r="F391" s="47" t="s">
        <v>21</v>
      </c>
      <c r="G391" s="42" t="s">
        <v>837</v>
      </c>
      <c r="H391" s="42" t="s">
        <v>838</v>
      </c>
      <c r="I391" s="43"/>
    </row>
    <row r="392" spans="2:9" hidden="1" x14ac:dyDescent="0.25">
      <c r="B392" s="40"/>
      <c r="C392" s="42" t="s">
        <v>621</v>
      </c>
      <c r="D392" s="42" t="s">
        <v>1414</v>
      </c>
      <c r="E392" s="42" t="s">
        <v>836</v>
      </c>
      <c r="F392" s="47" t="s">
        <v>21</v>
      </c>
      <c r="G392" s="42" t="s">
        <v>837</v>
      </c>
      <c r="H392" s="42" t="s">
        <v>838</v>
      </c>
      <c r="I392" s="43"/>
    </row>
    <row r="393" spans="2:9" hidden="1" x14ac:dyDescent="0.25">
      <c r="B393" s="40"/>
      <c r="C393" s="42" t="s">
        <v>1415</v>
      </c>
      <c r="D393" s="42" t="s">
        <v>1416</v>
      </c>
      <c r="E393" s="42" t="s">
        <v>836</v>
      </c>
      <c r="F393" s="47" t="s">
        <v>21</v>
      </c>
      <c r="G393" s="42" t="s">
        <v>837</v>
      </c>
      <c r="H393" s="42" t="s">
        <v>838</v>
      </c>
      <c r="I393" s="43"/>
    </row>
    <row r="394" spans="2:9" hidden="1" x14ac:dyDescent="0.25">
      <c r="B394" s="40"/>
      <c r="C394" s="42" t="s">
        <v>1417</v>
      </c>
      <c r="D394" s="42" t="s">
        <v>1418</v>
      </c>
      <c r="E394" s="42" t="s">
        <v>836</v>
      </c>
      <c r="F394" s="47" t="s">
        <v>21</v>
      </c>
      <c r="G394" s="42" t="s">
        <v>837</v>
      </c>
      <c r="H394" s="42" t="s">
        <v>838</v>
      </c>
      <c r="I394" s="43"/>
    </row>
    <row r="395" spans="2:9" hidden="1" x14ac:dyDescent="0.25">
      <c r="B395" s="40"/>
      <c r="C395" s="42" t="s">
        <v>326</v>
      </c>
      <c r="D395" s="42" t="s">
        <v>1419</v>
      </c>
      <c r="E395" s="42" t="s">
        <v>836</v>
      </c>
      <c r="F395" s="47" t="s">
        <v>21</v>
      </c>
      <c r="G395" s="42" t="s">
        <v>837</v>
      </c>
      <c r="H395" s="42" t="s">
        <v>838</v>
      </c>
      <c r="I395" s="43"/>
    </row>
    <row r="396" spans="2:9" hidden="1" x14ac:dyDescent="0.25">
      <c r="B396" s="40"/>
      <c r="C396" s="42" t="s">
        <v>162</v>
      </c>
      <c r="D396" s="42" t="s">
        <v>1420</v>
      </c>
      <c r="E396" s="42" t="s">
        <v>836</v>
      </c>
      <c r="F396" s="47" t="s">
        <v>21</v>
      </c>
      <c r="G396" s="42" t="s">
        <v>837</v>
      </c>
      <c r="H396" s="42" t="s">
        <v>838</v>
      </c>
      <c r="I396" s="43"/>
    </row>
    <row r="397" spans="2:9" hidden="1" x14ac:dyDescent="0.25">
      <c r="B397" s="40"/>
      <c r="C397" s="42" t="s">
        <v>663</v>
      </c>
      <c r="D397" s="42" t="s">
        <v>1421</v>
      </c>
      <c r="E397" s="42" t="s">
        <v>836</v>
      </c>
      <c r="F397" s="47" t="s">
        <v>21</v>
      </c>
      <c r="G397" s="42" t="s">
        <v>837</v>
      </c>
      <c r="H397" s="42" t="s">
        <v>838</v>
      </c>
      <c r="I397" s="43"/>
    </row>
    <row r="398" spans="2:9" hidden="1" x14ac:dyDescent="0.25">
      <c r="B398" s="40"/>
      <c r="C398" s="42" t="s">
        <v>164</v>
      </c>
      <c r="D398" s="42" t="s">
        <v>1422</v>
      </c>
      <c r="E398" s="42" t="s">
        <v>836</v>
      </c>
      <c r="F398" s="47" t="s">
        <v>21</v>
      </c>
      <c r="G398" s="42" t="s">
        <v>837</v>
      </c>
      <c r="H398" s="42" t="s">
        <v>838</v>
      </c>
      <c r="I398" s="43"/>
    </row>
    <row r="399" spans="2:9" hidden="1" x14ac:dyDescent="0.25">
      <c r="B399" s="40"/>
      <c r="C399" s="42" t="s">
        <v>1423</v>
      </c>
      <c r="D399" s="42" t="s">
        <v>1424</v>
      </c>
      <c r="E399" s="42" t="s">
        <v>836</v>
      </c>
      <c r="F399" s="49" t="s">
        <v>423</v>
      </c>
      <c r="G399" s="42" t="s">
        <v>837</v>
      </c>
      <c r="H399" s="42" t="s">
        <v>838</v>
      </c>
      <c r="I399" s="43"/>
    </row>
    <row r="400" spans="2:9" hidden="1" x14ac:dyDescent="0.25">
      <c r="B400" s="40"/>
      <c r="C400" s="42" t="s">
        <v>1425</v>
      </c>
      <c r="D400" s="42" t="s">
        <v>1426</v>
      </c>
      <c r="E400" s="42" t="s">
        <v>836</v>
      </c>
      <c r="F400" s="47" t="s">
        <v>21</v>
      </c>
      <c r="G400" s="42" t="s">
        <v>837</v>
      </c>
      <c r="H400" s="42" t="s">
        <v>838</v>
      </c>
      <c r="I400" s="43"/>
    </row>
    <row r="401" spans="2:9" hidden="1" x14ac:dyDescent="0.25">
      <c r="B401" s="40"/>
      <c r="C401" s="42" t="s">
        <v>666</v>
      </c>
      <c r="D401" s="42" t="s">
        <v>1427</v>
      </c>
      <c r="E401" s="42" t="s">
        <v>836</v>
      </c>
      <c r="F401" s="47" t="s">
        <v>21</v>
      </c>
      <c r="G401" s="42" t="s">
        <v>837</v>
      </c>
      <c r="H401" s="42" t="s">
        <v>838</v>
      </c>
      <c r="I401" s="43"/>
    </row>
    <row r="402" spans="2:9" hidden="1" x14ac:dyDescent="0.25">
      <c r="B402" s="40"/>
      <c r="C402" s="42" t="s">
        <v>1428</v>
      </c>
      <c r="D402" s="42" t="s">
        <v>1429</v>
      </c>
      <c r="E402" s="42" t="s">
        <v>836</v>
      </c>
      <c r="F402" s="47" t="s">
        <v>21</v>
      </c>
      <c r="G402" s="42" t="s">
        <v>837</v>
      </c>
      <c r="H402" s="42" t="s">
        <v>838</v>
      </c>
      <c r="I402" s="43"/>
    </row>
    <row r="403" spans="2:9" hidden="1" x14ac:dyDescent="0.25">
      <c r="B403" s="40"/>
      <c r="C403" s="42" t="s">
        <v>1430</v>
      </c>
      <c r="D403" s="42" t="s">
        <v>1431</v>
      </c>
      <c r="E403" s="42" t="s">
        <v>836</v>
      </c>
      <c r="F403" s="47" t="s">
        <v>21</v>
      </c>
      <c r="G403" s="42" t="s">
        <v>837</v>
      </c>
      <c r="H403" s="42" t="s">
        <v>838</v>
      </c>
      <c r="I403" s="43"/>
    </row>
    <row r="404" spans="2:9" hidden="1" x14ac:dyDescent="0.25">
      <c r="B404" s="40"/>
      <c r="C404" s="42" t="s">
        <v>1432</v>
      </c>
      <c r="D404" s="42" t="s">
        <v>1433</v>
      </c>
      <c r="E404" s="42" t="s">
        <v>836</v>
      </c>
      <c r="F404" s="47" t="s">
        <v>21</v>
      </c>
      <c r="G404" s="42" t="s">
        <v>837</v>
      </c>
      <c r="H404" s="42" t="s">
        <v>838</v>
      </c>
      <c r="I404" s="43"/>
    </row>
    <row r="405" spans="2:9" hidden="1" x14ac:dyDescent="0.25">
      <c r="B405" s="40"/>
      <c r="C405" s="42" t="s">
        <v>668</v>
      </c>
      <c r="D405" s="42" t="s">
        <v>1434</v>
      </c>
      <c r="E405" s="42" t="s">
        <v>836</v>
      </c>
      <c r="F405" s="47" t="s">
        <v>21</v>
      </c>
      <c r="G405" s="42" t="s">
        <v>837</v>
      </c>
      <c r="H405" s="42" t="s">
        <v>838</v>
      </c>
      <c r="I405" s="43"/>
    </row>
    <row r="406" spans="2:9" hidden="1" x14ac:dyDescent="0.25">
      <c r="B406" s="40"/>
      <c r="C406" s="42" t="s">
        <v>463</v>
      </c>
      <c r="D406" s="42" t="s">
        <v>1435</v>
      </c>
      <c r="E406" s="42" t="s">
        <v>836</v>
      </c>
      <c r="F406" s="47" t="s">
        <v>21</v>
      </c>
      <c r="G406" s="42" t="s">
        <v>837</v>
      </c>
      <c r="H406" s="42" t="s">
        <v>838</v>
      </c>
      <c r="I406" s="43"/>
    </row>
    <row r="407" spans="2:9" hidden="1" x14ac:dyDescent="0.25">
      <c r="B407" s="40"/>
      <c r="C407" s="42" t="s">
        <v>670</v>
      </c>
      <c r="D407" s="42" t="s">
        <v>1436</v>
      </c>
      <c r="E407" s="42" t="s">
        <v>836</v>
      </c>
      <c r="F407" s="47" t="s">
        <v>21</v>
      </c>
      <c r="G407" s="42" t="s">
        <v>837</v>
      </c>
      <c r="H407" s="42" t="s">
        <v>838</v>
      </c>
      <c r="I407" s="43"/>
    </row>
    <row r="408" spans="2:9" hidden="1" x14ac:dyDescent="0.25">
      <c r="B408" s="40"/>
      <c r="C408" s="42" t="s">
        <v>166</v>
      </c>
      <c r="D408" s="42" t="s">
        <v>1437</v>
      </c>
      <c r="E408" s="42" t="s">
        <v>836</v>
      </c>
      <c r="F408" s="47" t="s">
        <v>21</v>
      </c>
      <c r="G408" s="42" t="s">
        <v>837</v>
      </c>
      <c r="H408" s="42" t="s">
        <v>838</v>
      </c>
      <c r="I408" s="43"/>
    </row>
    <row r="409" spans="2:9" hidden="1" x14ac:dyDescent="0.25">
      <c r="B409" s="40"/>
      <c r="C409" s="42" t="s">
        <v>792</v>
      </c>
      <c r="D409" s="42" t="s">
        <v>1438</v>
      </c>
      <c r="E409" s="42" t="s">
        <v>836</v>
      </c>
      <c r="F409" s="47" t="s">
        <v>21</v>
      </c>
      <c r="G409" s="42" t="s">
        <v>837</v>
      </c>
      <c r="H409" s="42" t="s">
        <v>838</v>
      </c>
      <c r="I409" s="43"/>
    </row>
    <row r="410" spans="2:9" hidden="1" x14ac:dyDescent="0.25">
      <c r="B410" s="40"/>
      <c r="C410" s="42" t="s">
        <v>1439</v>
      </c>
      <c r="D410" s="42" t="s">
        <v>1440</v>
      </c>
      <c r="E410" s="42" t="s">
        <v>836</v>
      </c>
      <c r="F410" s="48" t="s">
        <v>278</v>
      </c>
      <c r="G410" s="42" t="s">
        <v>837</v>
      </c>
      <c r="H410" s="42" t="s">
        <v>838</v>
      </c>
      <c r="I410" s="43"/>
    </row>
    <row r="411" spans="2:9" hidden="1" x14ac:dyDescent="0.25">
      <c r="B411" s="40"/>
      <c r="C411" s="42" t="s">
        <v>674</v>
      </c>
      <c r="D411" s="42" t="s">
        <v>1443</v>
      </c>
      <c r="E411" s="42" t="s">
        <v>836</v>
      </c>
      <c r="F411" s="49" t="s">
        <v>423</v>
      </c>
      <c r="G411" s="42" t="s">
        <v>837</v>
      </c>
      <c r="H411" s="42" t="s">
        <v>838</v>
      </c>
      <c r="I411" s="43"/>
    </row>
    <row r="412" spans="2:9" hidden="1" x14ac:dyDescent="0.25">
      <c r="B412" s="40"/>
      <c r="C412" s="42" t="s">
        <v>675</v>
      </c>
      <c r="D412" s="42" t="s">
        <v>1444</v>
      </c>
      <c r="E412" s="42" t="s">
        <v>836</v>
      </c>
      <c r="F412" s="47" t="s">
        <v>21</v>
      </c>
      <c r="G412" s="42" t="s">
        <v>837</v>
      </c>
      <c r="H412" s="42" t="s">
        <v>838</v>
      </c>
      <c r="I412" s="43"/>
    </row>
    <row r="413" spans="2:9" hidden="1" x14ac:dyDescent="0.25">
      <c r="B413" s="40"/>
      <c r="C413" s="42" t="s">
        <v>701</v>
      </c>
      <c r="D413" s="42" t="s">
        <v>1445</v>
      </c>
      <c r="E413" s="42" t="s">
        <v>836</v>
      </c>
      <c r="F413" s="47" t="s">
        <v>21</v>
      </c>
      <c r="G413" s="42" t="s">
        <v>837</v>
      </c>
      <c r="H413" s="42" t="s">
        <v>838</v>
      </c>
      <c r="I413" s="43"/>
    </row>
    <row r="414" spans="2:9" hidden="1" x14ac:dyDescent="0.25">
      <c r="B414" s="40"/>
      <c r="C414" s="42" t="s">
        <v>681</v>
      </c>
      <c r="D414" s="42" t="s">
        <v>1447</v>
      </c>
      <c r="E414" s="42" t="s">
        <v>836</v>
      </c>
      <c r="F414" s="47" t="s">
        <v>21</v>
      </c>
      <c r="G414" s="42" t="s">
        <v>837</v>
      </c>
      <c r="H414" s="42" t="s">
        <v>838</v>
      </c>
      <c r="I414" s="43"/>
    </row>
    <row r="415" spans="2:9" hidden="1" x14ac:dyDescent="0.25">
      <c r="B415" s="40"/>
      <c r="C415" s="42" t="s">
        <v>747</v>
      </c>
      <c r="D415" s="42" t="s">
        <v>1448</v>
      </c>
      <c r="E415" s="42" t="s">
        <v>836</v>
      </c>
      <c r="F415" s="47" t="s">
        <v>21</v>
      </c>
      <c r="G415" s="42" t="s">
        <v>837</v>
      </c>
      <c r="H415" s="42" t="s">
        <v>838</v>
      </c>
      <c r="I415" s="43"/>
    </row>
    <row r="416" spans="2:9" hidden="1" x14ac:dyDescent="0.25">
      <c r="B416" s="40"/>
      <c r="C416" s="42" t="s">
        <v>686</v>
      </c>
      <c r="D416" s="42" t="s">
        <v>1449</v>
      </c>
      <c r="E416" s="42" t="s">
        <v>836</v>
      </c>
      <c r="F416" s="51" t="s">
        <v>1063</v>
      </c>
      <c r="G416" s="42" t="s">
        <v>837</v>
      </c>
      <c r="H416" s="42" t="s">
        <v>838</v>
      </c>
      <c r="I416" s="43"/>
    </row>
    <row r="417" spans="2:9" hidden="1" x14ac:dyDescent="0.25">
      <c r="B417" s="40"/>
      <c r="C417" s="42" t="s">
        <v>1450</v>
      </c>
      <c r="D417" s="42" t="s">
        <v>1451</v>
      </c>
      <c r="E417" s="42" t="s">
        <v>836</v>
      </c>
      <c r="F417" s="47" t="s">
        <v>21</v>
      </c>
      <c r="G417" s="42" t="s">
        <v>837</v>
      </c>
      <c r="H417" s="42" t="s">
        <v>838</v>
      </c>
      <c r="I417" s="43"/>
    </row>
    <row r="418" spans="2:9" hidden="1" x14ac:dyDescent="0.25">
      <c r="B418" s="40"/>
      <c r="C418" s="42" t="s">
        <v>689</v>
      </c>
      <c r="D418" s="42" t="s">
        <v>1452</v>
      </c>
      <c r="E418" s="42" t="s">
        <v>836</v>
      </c>
      <c r="F418" s="47" t="s">
        <v>21</v>
      </c>
      <c r="G418" s="42" t="s">
        <v>837</v>
      </c>
      <c r="H418" s="42" t="s">
        <v>838</v>
      </c>
      <c r="I418" s="43"/>
    </row>
    <row r="419" spans="2:9" hidden="1" x14ac:dyDescent="0.25">
      <c r="B419" s="40"/>
      <c r="C419" s="42" t="s">
        <v>692</v>
      </c>
      <c r="D419" s="42" t="s">
        <v>1453</v>
      </c>
      <c r="E419" s="42" t="s">
        <v>836</v>
      </c>
      <c r="F419" s="47" t="s">
        <v>21</v>
      </c>
      <c r="G419" s="42" t="s">
        <v>837</v>
      </c>
      <c r="H419" s="42" t="s">
        <v>838</v>
      </c>
      <c r="I419" s="43"/>
    </row>
    <row r="420" spans="2:9" hidden="1" x14ac:dyDescent="0.25">
      <c r="B420" s="40"/>
      <c r="C420" s="42" t="s">
        <v>1454</v>
      </c>
      <c r="D420" s="42" t="s">
        <v>1455</v>
      </c>
      <c r="E420" s="42" t="s">
        <v>836</v>
      </c>
      <c r="F420" s="47" t="s">
        <v>21</v>
      </c>
      <c r="G420" s="42" t="s">
        <v>837</v>
      </c>
      <c r="H420" s="42" t="s">
        <v>838</v>
      </c>
      <c r="I420" s="43"/>
    </row>
    <row r="421" spans="2:9" hidden="1" x14ac:dyDescent="0.25">
      <c r="B421" s="40"/>
      <c r="C421" s="42" t="s">
        <v>1456</v>
      </c>
      <c r="D421" s="42" t="s">
        <v>1457</v>
      </c>
      <c r="E421" s="42" t="s">
        <v>896</v>
      </c>
      <c r="F421" s="48" t="s">
        <v>278</v>
      </c>
      <c r="G421" s="42" t="s">
        <v>837</v>
      </c>
      <c r="H421" s="42" t="s">
        <v>884</v>
      </c>
      <c r="I421" s="43"/>
    </row>
    <row r="422" spans="2:9" hidden="1" x14ac:dyDescent="0.25">
      <c r="B422" s="40"/>
      <c r="C422" s="42" t="s">
        <v>693</v>
      </c>
      <c r="D422" s="42" t="s">
        <v>1633</v>
      </c>
      <c r="E422" s="42" t="s">
        <v>836</v>
      </c>
      <c r="F422" s="47" t="s">
        <v>21</v>
      </c>
      <c r="G422" s="42" t="s">
        <v>837</v>
      </c>
      <c r="H422" s="42" t="s">
        <v>838</v>
      </c>
      <c r="I422" s="43"/>
    </row>
    <row r="423" spans="2:9" hidden="1" x14ac:dyDescent="0.25">
      <c r="B423" s="40"/>
      <c r="C423" s="42" t="s">
        <v>1459</v>
      </c>
      <c r="D423" s="42" t="s">
        <v>1460</v>
      </c>
      <c r="E423" s="42" t="s">
        <v>836</v>
      </c>
      <c r="F423" s="47" t="s">
        <v>21</v>
      </c>
      <c r="G423" s="42" t="s">
        <v>837</v>
      </c>
      <c r="H423" s="42" t="s">
        <v>838</v>
      </c>
      <c r="I423" s="43"/>
    </row>
    <row r="424" spans="2:9" hidden="1" x14ac:dyDescent="0.25">
      <c r="B424" s="40"/>
      <c r="C424" s="42" t="s">
        <v>225</v>
      </c>
      <c r="D424" s="42" t="s">
        <v>1461</v>
      </c>
      <c r="E424" s="42" t="s">
        <v>836</v>
      </c>
      <c r="F424" s="47" t="s">
        <v>21</v>
      </c>
      <c r="G424" s="42" t="s">
        <v>837</v>
      </c>
      <c r="H424" s="42" t="s">
        <v>838</v>
      </c>
      <c r="I424" s="43"/>
    </row>
    <row r="425" spans="2:9" hidden="1" x14ac:dyDescent="0.25">
      <c r="B425" s="40"/>
      <c r="C425" s="42" t="s">
        <v>1634</v>
      </c>
      <c r="D425" s="42" t="s">
        <v>1635</v>
      </c>
      <c r="E425" s="42" t="s">
        <v>836</v>
      </c>
      <c r="F425" s="47" t="s">
        <v>21</v>
      </c>
      <c r="G425" s="42" t="s">
        <v>837</v>
      </c>
      <c r="H425" s="42" t="s">
        <v>838</v>
      </c>
      <c r="I425" s="43"/>
    </row>
    <row r="426" spans="2:9" hidden="1" x14ac:dyDescent="0.25">
      <c r="B426" s="40"/>
      <c r="C426" s="42" t="s">
        <v>773</v>
      </c>
      <c r="D426" s="42" t="s">
        <v>1462</v>
      </c>
      <c r="E426" s="42" t="s">
        <v>836</v>
      </c>
      <c r="F426" s="47" t="s">
        <v>21</v>
      </c>
      <c r="G426" s="42" t="s">
        <v>837</v>
      </c>
      <c r="H426" s="42" t="s">
        <v>838</v>
      </c>
      <c r="I426" s="43"/>
    </row>
    <row r="427" spans="2:9" hidden="1" x14ac:dyDescent="0.25">
      <c r="B427" s="40"/>
      <c r="C427" s="42" t="s">
        <v>1463</v>
      </c>
      <c r="D427" s="42" t="s">
        <v>1464</v>
      </c>
      <c r="E427" s="42" t="s">
        <v>836</v>
      </c>
      <c r="F427" s="48" t="s">
        <v>278</v>
      </c>
      <c r="G427" s="42" t="s">
        <v>837</v>
      </c>
      <c r="H427" s="42" t="s">
        <v>838</v>
      </c>
      <c r="I427" s="43"/>
    </row>
    <row r="428" spans="2:9" hidden="1" x14ac:dyDescent="0.25">
      <c r="B428" s="40"/>
      <c r="C428" s="42" t="s">
        <v>695</v>
      </c>
      <c r="D428" s="42" t="s">
        <v>1465</v>
      </c>
      <c r="E428" s="42" t="s">
        <v>836</v>
      </c>
      <c r="F428" s="47" t="s">
        <v>21</v>
      </c>
      <c r="G428" s="42" t="s">
        <v>837</v>
      </c>
      <c r="H428" s="42" t="s">
        <v>838</v>
      </c>
      <c r="I428" s="43"/>
    </row>
    <row r="429" spans="2:9" hidden="1" x14ac:dyDescent="0.25">
      <c r="B429" s="40"/>
      <c r="C429" s="42" t="s">
        <v>1466</v>
      </c>
      <c r="D429" s="42" t="s">
        <v>1467</v>
      </c>
      <c r="E429" s="42" t="s">
        <v>836</v>
      </c>
      <c r="F429" s="47" t="s">
        <v>21</v>
      </c>
      <c r="G429" s="42" t="s">
        <v>837</v>
      </c>
      <c r="H429" s="42" t="s">
        <v>838</v>
      </c>
      <c r="I429" s="43"/>
    </row>
    <row r="430" spans="2:9" hidden="1" x14ac:dyDescent="0.25">
      <c r="B430" s="40"/>
      <c r="C430" s="42" t="s">
        <v>697</v>
      </c>
      <c r="D430" s="42" t="s">
        <v>1468</v>
      </c>
      <c r="E430" s="42" t="s">
        <v>836</v>
      </c>
      <c r="F430" s="47" t="s">
        <v>21</v>
      </c>
      <c r="G430" s="42" t="s">
        <v>837</v>
      </c>
      <c r="H430" s="42" t="s">
        <v>838</v>
      </c>
      <c r="I430" s="43"/>
    </row>
    <row r="431" spans="2:9" hidden="1" x14ac:dyDescent="0.25">
      <c r="B431" s="40"/>
      <c r="C431" s="42" t="s">
        <v>1469</v>
      </c>
      <c r="D431" s="42" t="s">
        <v>1470</v>
      </c>
      <c r="E431" s="42" t="s">
        <v>836</v>
      </c>
      <c r="F431" s="49" t="s">
        <v>423</v>
      </c>
      <c r="G431" s="42" t="s">
        <v>837</v>
      </c>
      <c r="H431" s="42" t="s">
        <v>838</v>
      </c>
      <c r="I431" s="43"/>
    </row>
    <row r="432" spans="2:9" hidden="1" x14ac:dyDescent="0.25">
      <c r="B432" s="40"/>
      <c r="C432" s="42" t="s">
        <v>699</v>
      </c>
      <c r="D432" s="42" t="s">
        <v>1471</v>
      </c>
      <c r="E432" s="42" t="s">
        <v>836</v>
      </c>
      <c r="F432" s="47" t="s">
        <v>21</v>
      </c>
      <c r="G432" s="42" t="s">
        <v>837</v>
      </c>
      <c r="H432" s="42" t="s">
        <v>838</v>
      </c>
      <c r="I432" s="43"/>
    </row>
    <row r="433" spans="2:9" hidden="1" x14ac:dyDescent="0.25">
      <c r="B433" s="40"/>
      <c r="C433" s="42" t="s">
        <v>1472</v>
      </c>
      <c r="D433" s="42" t="s">
        <v>1473</v>
      </c>
      <c r="E433" s="42" t="s">
        <v>836</v>
      </c>
      <c r="F433" s="47" t="s">
        <v>21</v>
      </c>
      <c r="G433" s="42" t="s">
        <v>837</v>
      </c>
      <c r="H433" s="42" t="s">
        <v>838</v>
      </c>
      <c r="I433" s="43"/>
    </row>
    <row r="434" spans="2:9" hidden="1" x14ac:dyDescent="0.25">
      <c r="B434" s="40"/>
      <c r="C434" s="42" t="s">
        <v>1474</v>
      </c>
      <c r="D434" s="42" t="s">
        <v>1475</v>
      </c>
      <c r="E434" s="42" t="s">
        <v>836</v>
      </c>
      <c r="F434" s="49" t="s">
        <v>423</v>
      </c>
      <c r="G434" s="42" t="s">
        <v>837</v>
      </c>
      <c r="H434" s="42" t="s">
        <v>838</v>
      </c>
      <c r="I434" s="43"/>
    </row>
    <row r="435" spans="2:9" hidden="1" x14ac:dyDescent="0.25">
      <c r="B435" s="40"/>
      <c r="C435" s="42" t="s">
        <v>396</v>
      </c>
      <c r="D435" s="42" t="s">
        <v>1476</v>
      </c>
      <c r="E435" s="42" t="s">
        <v>836</v>
      </c>
      <c r="F435" s="47" t="s">
        <v>21</v>
      </c>
      <c r="G435" s="42" t="s">
        <v>837</v>
      </c>
      <c r="H435" s="42" t="s">
        <v>838</v>
      </c>
      <c r="I435" s="43"/>
    </row>
    <row r="436" spans="2:9" hidden="1" x14ac:dyDescent="0.25">
      <c r="B436" s="40"/>
      <c r="C436" s="42" t="s">
        <v>703</v>
      </c>
      <c r="D436" s="42" t="s">
        <v>1477</v>
      </c>
      <c r="E436" s="42" t="s">
        <v>836</v>
      </c>
      <c r="F436" s="47" t="s">
        <v>21</v>
      </c>
      <c r="G436" s="42" t="s">
        <v>837</v>
      </c>
      <c r="H436" s="42" t="s">
        <v>838</v>
      </c>
      <c r="I436" s="43"/>
    </row>
    <row r="437" spans="2:9" hidden="1" x14ac:dyDescent="0.25">
      <c r="B437" s="40"/>
      <c r="C437" s="42" t="s">
        <v>1478</v>
      </c>
      <c r="D437" s="42" t="s">
        <v>1479</v>
      </c>
      <c r="E437" s="42" t="s">
        <v>836</v>
      </c>
      <c r="F437" s="47" t="s">
        <v>21</v>
      </c>
      <c r="G437" s="42" t="s">
        <v>837</v>
      </c>
      <c r="H437" s="42" t="s">
        <v>838</v>
      </c>
      <c r="I437" s="43"/>
    </row>
    <row r="438" spans="2:9" hidden="1" x14ac:dyDescent="0.25">
      <c r="B438" s="40"/>
      <c r="C438" s="42" t="s">
        <v>705</v>
      </c>
      <c r="D438" s="42" t="s">
        <v>1480</v>
      </c>
      <c r="E438" s="42" t="s">
        <v>836</v>
      </c>
      <c r="F438" s="47" t="s">
        <v>21</v>
      </c>
      <c r="G438" s="42" t="s">
        <v>837</v>
      </c>
      <c r="H438" s="42" t="s">
        <v>838</v>
      </c>
      <c r="I438" s="43"/>
    </row>
    <row r="439" spans="2:9" hidden="1" x14ac:dyDescent="0.25">
      <c r="B439" s="40"/>
      <c r="C439" s="42" t="s">
        <v>1481</v>
      </c>
      <c r="D439" s="42" t="s">
        <v>1482</v>
      </c>
      <c r="E439" s="42" t="s">
        <v>836</v>
      </c>
      <c r="F439" s="47" t="s">
        <v>21</v>
      </c>
      <c r="G439" s="42" t="s">
        <v>837</v>
      </c>
      <c r="H439" s="42" t="s">
        <v>838</v>
      </c>
      <c r="I439" s="43"/>
    </row>
    <row r="440" spans="2:9" hidden="1" x14ac:dyDescent="0.25">
      <c r="B440" s="40"/>
      <c r="C440" s="42" t="s">
        <v>707</v>
      </c>
      <c r="D440" s="42" t="s">
        <v>1483</v>
      </c>
      <c r="E440" s="42" t="s">
        <v>836</v>
      </c>
      <c r="F440" s="47" t="s">
        <v>21</v>
      </c>
      <c r="G440" s="42" t="s">
        <v>837</v>
      </c>
      <c r="H440" s="42" t="s">
        <v>838</v>
      </c>
      <c r="I440" s="43"/>
    </row>
    <row r="441" spans="2:9" hidden="1" x14ac:dyDescent="0.25">
      <c r="B441" s="40"/>
      <c r="C441" s="42" t="s">
        <v>173</v>
      </c>
      <c r="D441" s="42" t="s">
        <v>1484</v>
      </c>
      <c r="E441" s="42" t="s">
        <v>836</v>
      </c>
      <c r="F441" s="47" t="s">
        <v>21</v>
      </c>
      <c r="G441" s="42" t="s">
        <v>837</v>
      </c>
      <c r="H441" s="42" t="s">
        <v>838</v>
      </c>
      <c r="I441" s="43"/>
    </row>
    <row r="442" spans="2:9" hidden="1" x14ac:dyDescent="0.25">
      <c r="B442" s="40"/>
      <c r="C442" s="42" t="s">
        <v>1485</v>
      </c>
      <c r="D442" s="42" t="s">
        <v>1486</v>
      </c>
      <c r="E442" s="42" t="s">
        <v>836</v>
      </c>
      <c r="F442" s="48" t="s">
        <v>278</v>
      </c>
      <c r="G442" s="42" t="s">
        <v>837</v>
      </c>
      <c r="H442" s="42" t="s">
        <v>838</v>
      </c>
      <c r="I442" s="43"/>
    </row>
    <row r="443" spans="2:9" hidden="1" x14ac:dyDescent="0.25">
      <c r="B443" s="40"/>
      <c r="C443" s="42" t="s">
        <v>497</v>
      </c>
      <c r="D443" s="42" t="s">
        <v>1487</v>
      </c>
      <c r="E443" s="42" t="s">
        <v>836</v>
      </c>
      <c r="F443" s="47" t="s">
        <v>21</v>
      </c>
      <c r="G443" s="42" t="s">
        <v>837</v>
      </c>
      <c r="H443" s="42" t="s">
        <v>838</v>
      </c>
      <c r="I443" s="43"/>
    </row>
    <row r="444" spans="2:9" hidden="1" x14ac:dyDescent="0.25">
      <c r="B444" s="40"/>
      <c r="C444" s="42" t="s">
        <v>1488</v>
      </c>
      <c r="D444" s="42" t="s">
        <v>1489</v>
      </c>
      <c r="E444" s="42" t="s">
        <v>836</v>
      </c>
      <c r="F444" s="47" t="s">
        <v>21</v>
      </c>
      <c r="G444" s="42" t="s">
        <v>837</v>
      </c>
      <c r="H444" s="42" t="s">
        <v>838</v>
      </c>
      <c r="I444" s="43"/>
    </row>
    <row r="445" spans="2:9" hidden="1" x14ac:dyDescent="0.25">
      <c r="B445" s="40"/>
      <c r="C445" s="42" t="s">
        <v>713</v>
      </c>
      <c r="D445" s="42" t="s">
        <v>1492</v>
      </c>
      <c r="E445" s="42" t="s">
        <v>836</v>
      </c>
      <c r="F445" s="47" t="s">
        <v>21</v>
      </c>
      <c r="G445" s="42" t="s">
        <v>837</v>
      </c>
      <c r="H445" s="42" t="s">
        <v>838</v>
      </c>
      <c r="I445" s="43"/>
    </row>
    <row r="446" spans="2:9" hidden="1" x14ac:dyDescent="0.25">
      <c r="B446" s="40"/>
      <c r="C446" s="42" t="s">
        <v>1493</v>
      </c>
      <c r="D446" s="42" t="s">
        <v>1494</v>
      </c>
      <c r="E446" s="42" t="s">
        <v>836</v>
      </c>
      <c r="F446" s="47" t="s">
        <v>21</v>
      </c>
      <c r="G446" s="42" t="s">
        <v>837</v>
      </c>
      <c r="H446" s="42" t="s">
        <v>838</v>
      </c>
      <c r="I446" s="43"/>
    </row>
    <row r="447" spans="2:9" hidden="1" x14ac:dyDescent="0.25">
      <c r="B447" s="40"/>
      <c r="C447" s="42" t="s">
        <v>555</v>
      </c>
      <c r="D447" s="42" t="s">
        <v>1495</v>
      </c>
      <c r="E447" s="42" t="s">
        <v>836</v>
      </c>
      <c r="F447" s="47" t="s">
        <v>21</v>
      </c>
      <c r="G447" s="42" t="s">
        <v>837</v>
      </c>
      <c r="H447" s="42" t="s">
        <v>838</v>
      </c>
      <c r="I447" s="43"/>
    </row>
    <row r="448" spans="2:9" hidden="1" x14ac:dyDescent="0.25">
      <c r="B448" s="40"/>
      <c r="C448" s="42" t="s">
        <v>718</v>
      </c>
      <c r="D448" s="42" t="s">
        <v>1496</v>
      </c>
      <c r="E448" s="42" t="s">
        <v>836</v>
      </c>
      <c r="F448" s="47" t="s">
        <v>21</v>
      </c>
      <c r="G448" s="42" t="s">
        <v>837</v>
      </c>
      <c r="H448" s="42" t="s">
        <v>838</v>
      </c>
      <c r="I448" s="43"/>
    </row>
    <row r="449" spans="2:9" hidden="1" x14ac:dyDescent="0.25">
      <c r="B449" s="40"/>
      <c r="C449" s="42" t="s">
        <v>720</v>
      </c>
      <c r="D449" s="42" t="s">
        <v>1497</v>
      </c>
      <c r="E449" s="42" t="s">
        <v>836</v>
      </c>
      <c r="F449" s="47" t="s">
        <v>21</v>
      </c>
      <c r="G449" s="42" t="s">
        <v>837</v>
      </c>
      <c r="H449" s="42" t="s">
        <v>838</v>
      </c>
      <c r="I449" s="43"/>
    </row>
    <row r="450" spans="2:9" hidden="1" x14ac:dyDescent="0.25">
      <c r="B450" s="40"/>
      <c r="C450" s="42" t="s">
        <v>722</v>
      </c>
      <c r="D450" s="42" t="s">
        <v>1498</v>
      </c>
      <c r="E450" s="42" t="s">
        <v>836</v>
      </c>
      <c r="F450" s="47" t="s">
        <v>21</v>
      </c>
      <c r="G450" s="42" t="s">
        <v>837</v>
      </c>
      <c r="H450" s="42" t="s">
        <v>838</v>
      </c>
      <c r="I450" s="43"/>
    </row>
    <row r="451" spans="2:9" hidden="1" x14ac:dyDescent="0.25">
      <c r="B451" s="40"/>
      <c r="C451" s="42" t="s">
        <v>1499</v>
      </c>
      <c r="D451" s="42" t="s">
        <v>1500</v>
      </c>
      <c r="E451" s="42" t="s">
        <v>836</v>
      </c>
      <c r="F451" s="47" t="s">
        <v>21</v>
      </c>
      <c r="G451" s="42" t="s">
        <v>837</v>
      </c>
      <c r="H451" s="42" t="s">
        <v>838</v>
      </c>
      <c r="I451" s="43"/>
    </row>
    <row r="452" spans="2:9" hidden="1" x14ac:dyDescent="0.25">
      <c r="B452" s="40"/>
      <c r="C452" s="42" t="s">
        <v>160</v>
      </c>
      <c r="D452" s="42" t="s">
        <v>1413</v>
      </c>
      <c r="E452" s="42" t="s">
        <v>836</v>
      </c>
      <c r="F452" s="47" t="s">
        <v>21</v>
      </c>
      <c r="G452" s="42" t="s">
        <v>837</v>
      </c>
      <c r="H452" s="42" t="s">
        <v>838</v>
      </c>
      <c r="I452" s="43"/>
    </row>
    <row r="453" spans="2:9" hidden="1" x14ac:dyDescent="0.25">
      <c r="B453" s="40"/>
      <c r="C453" s="42" t="s">
        <v>378</v>
      </c>
      <c r="D453" s="42" t="s">
        <v>1513</v>
      </c>
      <c r="E453" s="42" t="s">
        <v>836</v>
      </c>
      <c r="F453" s="47" t="s">
        <v>21</v>
      </c>
      <c r="G453" s="42" t="s">
        <v>837</v>
      </c>
      <c r="H453" s="42" t="s">
        <v>838</v>
      </c>
      <c r="I453" s="43"/>
    </row>
    <row r="454" spans="2:9" hidden="1" x14ac:dyDescent="0.25">
      <c r="B454" s="40"/>
      <c r="C454" s="42" t="s">
        <v>20</v>
      </c>
      <c r="D454" s="42" t="s">
        <v>1514</v>
      </c>
      <c r="E454" s="42" t="s">
        <v>836</v>
      </c>
      <c r="F454" s="48" t="s">
        <v>278</v>
      </c>
      <c r="G454" s="42" t="s">
        <v>837</v>
      </c>
      <c r="H454" s="42" t="s">
        <v>838</v>
      </c>
      <c r="I454" s="43"/>
    </row>
    <row r="455" spans="2:9" hidden="1" x14ac:dyDescent="0.25">
      <c r="B455" s="40"/>
      <c r="C455" s="42" t="s">
        <v>1630</v>
      </c>
      <c r="D455" s="42" t="s">
        <v>1631</v>
      </c>
      <c r="E455" s="42" t="s">
        <v>836</v>
      </c>
      <c r="F455" s="48" t="s">
        <v>278</v>
      </c>
      <c r="G455" s="42" t="s">
        <v>837</v>
      </c>
      <c r="H455" s="42" t="s">
        <v>838</v>
      </c>
      <c r="I455" s="43"/>
    </row>
    <row r="456" spans="2:9" hidden="1" x14ac:dyDescent="0.25">
      <c r="B456" s="40"/>
      <c r="C456" s="42" t="s">
        <v>1515</v>
      </c>
      <c r="D456" s="42" t="s">
        <v>1516</v>
      </c>
      <c r="E456" s="42" t="s">
        <v>836</v>
      </c>
      <c r="F456" s="47" t="s">
        <v>21</v>
      </c>
      <c r="G456" s="42" t="s">
        <v>837</v>
      </c>
      <c r="H456" s="42" t="s">
        <v>884</v>
      </c>
      <c r="I456" s="43"/>
    </row>
    <row r="457" spans="2:9" hidden="1" x14ac:dyDescent="0.25">
      <c r="B457" s="40"/>
      <c r="C457" s="42" t="s">
        <v>175</v>
      </c>
      <c r="D457" s="42" t="s">
        <v>1517</v>
      </c>
      <c r="E457" s="42" t="s">
        <v>836</v>
      </c>
      <c r="F457" s="47" t="s">
        <v>21</v>
      </c>
      <c r="G457" s="42" t="s">
        <v>837</v>
      </c>
      <c r="H457" s="42" t="s">
        <v>838</v>
      </c>
      <c r="I457" s="43"/>
    </row>
    <row r="458" spans="2:9" hidden="1" x14ac:dyDescent="0.25">
      <c r="B458" s="40"/>
      <c r="C458" s="42" t="s">
        <v>177</v>
      </c>
      <c r="D458" s="42" t="s">
        <v>1520</v>
      </c>
      <c r="E458" s="42" t="s">
        <v>836</v>
      </c>
      <c r="F458" s="47" t="s">
        <v>21</v>
      </c>
      <c r="G458" s="42" t="s">
        <v>837</v>
      </c>
      <c r="H458" s="42" t="s">
        <v>838</v>
      </c>
      <c r="I458" s="43"/>
    </row>
    <row r="459" spans="2:9" hidden="1" x14ac:dyDescent="0.25">
      <c r="B459" s="40"/>
      <c r="C459" s="42" t="s">
        <v>1518</v>
      </c>
      <c r="D459" s="42" t="s">
        <v>1519</v>
      </c>
      <c r="E459" s="42" t="s">
        <v>836</v>
      </c>
      <c r="F459" s="49" t="s">
        <v>423</v>
      </c>
      <c r="G459" s="42" t="s">
        <v>837</v>
      </c>
      <c r="H459" s="42" t="s">
        <v>838</v>
      </c>
      <c r="I459" s="43"/>
    </row>
    <row r="460" spans="2:9" hidden="1" x14ac:dyDescent="0.25">
      <c r="B460" s="40"/>
      <c r="C460" s="42" t="s">
        <v>1521</v>
      </c>
      <c r="D460" s="42" t="s">
        <v>1522</v>
      </c>
      <c r="E460" s="42" t="s">
        <v>836</v>
      </c>
      <c r="F460" s="48" t="s">
        <v>278</v>
      </c>
      <c r="G460" s="42" t="s">
        <v>837</v>
      </c>
      <c r="H460" s="42" t="s">
        <v>838</v>
      </c>
      <c r="I460" s="43"/>
    </row>
    <row r="461" spans="2:9" hidden="1" x14ac:dyDescent="0.25">
      <c r="B461" s="40"/>
      <c r="C461" s="42" t="s">
        <v>1269</v>
      </c>
      <c r="D461" s="42" t="s">
        <v>1270</v>
      </c>
      <c r="E461" s="42" t="s">
        <v>836</v>
      </c>
      <c r="F461" s="48" t="s">
        <v>278</v>
      </c>
      <c r="G461" s="42" t="s">
        <v>837</v>
      </c>
      <c r="H461" s="42" t="s">
        <v>838</v>
      </c>
      <c r="I461" s="43"/>
    </row>
    <row r="462" spans="2:9" hidden="1" x14ac:dyDescent="0.25">
      <c r="B462" s="40"/>
      <c r="C462" s="42" t="s">
        <v>745</v>
      </c>
      <c r="D462" s="42" t="s">
        <v>1523</v>
      </c>
      <c r="E462" s="42" t="s">
        <v>836</v>
      </c>
      <c r="F462" s="47" t="s">
        <v>21</v>
      </c>
      <c r="G462" s="42" t="s">
        <v>837</v>
      </c>
      <c r="H462" s="42" t="s">
        <v>838</v>
      </c>
      <c r="I462" s="43"/>
    </row>
    <row r="463" spans="2:9" hidden="1" x14ac:dyDescent="0.25">
      <c r="B463" s="40"/>
      <c r="C463" s="42" t="s">
        <v>390</v>
      </c>
      <c r="D463" s="42" t="s">
        <v>1524</v>
      </c>
      <c r="E463" s="42" t="s">
        <v>836</v>
      </c>
      <c r="F463" s="47" t="s">
        <v>21</v>
      </c>
      <c r="G463" s="42" t="s">
        <v>837</v>
      </c>
      <c r="H463" s="42" t="s">
        <v>838</v>
      </c>
      <c r="I463" s="43"/>
    </row>
    <row r="464" spans="2:9" hidden="1" x14ac:dyDescent="0.25">
      <c r="B464" s="40"/>
      <c r="C464" s="42" t="s">
        <v>749</v>
      </c>
      <c r="D464" s="42" t="s">
        <v>1525</v>
      </c>
      <c r="E464" s="42" t="s">
        <v>836</v>
      </c>
      <c r="F464" s="47" t="s">
        <v>21</v>
      </c>
      <c r="G464" s="42" t="s">
        <v>837</v>
      </c>
      <c r="H464" s="42" t="s">
        <v>838</v>
      </c>
      <c r="I464" s="43"/>
    </row>
    <row r="465" spans="2:9" hidden="1" x14ac:dyDescent="0.25">
      <c r="B465" s="40"/>
      <c r="C465" s="42" t="s">
        <v>753</v>
      </c>
      <c r="D465" s="42" t="s">
        <v>1529</v>
      </c>
      <c r="E465" s="42" t="s">
        <v>836</v>
      </c>
      <c r="F465" s="48" t="s">
        <v>278</v>
      </c>
      <c r="G465" s="42" t="s">
        <v>837</v>
      </c>
      <c r="H465" s="42" t="s">
        <v>838</v>
      </c>
      <c r="I465" s="43"/>
    </row>
    <row r="466" spans="2:9" hidden="1" x14ac:dyDescent="0.25">
      <c r="B466" s="40"/>
      <c r="C466" s="42" t="s">
        <v>179</v>
      </c>
      <c r="D466" s="42" t="s">
        <v>1530</v>
      </c>
      <c r="E466" s="42" t="s">
        <v>836</v>
      </c>
      <c r="F466" s="47" t="s">
        <v>21</v>
      </c>
      <c r="G466" s="42" t="s">
        <v>837</v>
      </c>
      <c r="H466" s="42" t="s">
        <v>838</v>
      </c>
      <c r="I466" s="43"/>
    </row>
    <row r="467" spans="2:9" hidden="1" x14ac:dyDescent="0.25">
      <c r="B467" s="40"/>
      <c r="C467" s="42" t="s">
        <v>182</v>
      </c>
      <c r="D467" s="42" t="s">
        <v>1531</v>
      </c>
      <c r="E467" s="42" t="s">
        <v>836</v>
      </c>
      <c r="F467" s="47" t="s">
        <v>21</v>
      </c>
      <c r="G467" s="42" t="s">
        <v>837</v>
      </c>
      <c r="H467" s="42" t="s">
        <v>838</v>
      </c>
      <c r="I467" s="43"/>
    </row>
    <row r="468" spans="2:9" hidden="1" x14ac:dyDescent="0.25">
      <c r="B468" s="40"/>
      <c r="C468" s="42" t="s">
        <v>1385</v>
      </c>
      <c r="D468" s="42" t="s">
        <v>1386</v>
      </c>
      <c r="E468" s="42" t="s">
        <v>836</v>
      </c>
      <c r="F468" s="47" t="s">
        <v>21</v>
      </c>
      <c r="G468" s="42" t="s">
        <v>837</v>
      </c>
      <c r="H468" s="42" t="s">
        <v>838</v>
      </c>
      <c r="I468" s="43"/>
    </row>
    <row r="469" spans="2:9" hidden="1" x14ac:dyDescent="0.25">
      <c r="B469" s="40"/>
      <c r="C469" s="42" t="s">
        <v>640</v>
      </c>
      <c r="D469" s="42" t="s">
        <v>1388</v>
      </c>
      <c r="E469" s="42" t="s">
        <v>836</v>
      </c>
      <c r="F469" s="47" t="s">
        <v>21</v>
      </c>
      <c r="G469" s="42" t="s">
        <v>837</v>
      </c>
      <c r="H469" s="42" t="s">
        <v>838</v>
      </c>
      <c r="I469" s="43"/>
    </row>
    <row r="470" spans="2:9" hidden="1" x14ac:dyDescent="0.25">
      <c r="B470" s="40"/>
      <c r="C470" s="42" t="s">
        <v>755</v>
      </c>
      <c r="D470" s="42" t="s">
        <v>1532</v>
      </c>
      <c r="E470" s="42" t="s">
        <v>836</v>
      </c>
      <c r="F470" s="47" t="s">
        <v>21</v>
      </c>
      <c r="G470" s="42" t="s">
        <v>837</v>
      </c>
      <c r="H470" s="42" t="s">
        <v>838</v>
      </c>
      <c r="I470" s="43"/>
    </row>
    <row r="471" spans="2:9" hidden="1" x14ac:dyDescent="0.25">
      <c r="B471" s="40"/>
      <c r="C471" s="42" t="s">
        <v>1533</v>
      </c>
      <c r="D471" s="42" t="s">
        <v>1534</v>
      </c>
      <c r="E471" s="42" t="s">
        <v>836</v>
      </c>
      <c r="F471" s="51" t="s">
        <v>1063</v>
      </c>
      <c r="G471" s="42" t="s">
        <v>837</v>
      </c>
      <c r="H471" s="42" t="s">
        <v>838</v>
      </c>
      <c r="I471" s="43"/>
    </row>
    <row r="472" spans="2:9" hidden="1" x14ac:dyDescent="0.25">
      <c r="B472" s="40"/>
      <c r="C472" s="42" t="s">
        <v>757</v>
      </c>
      <c r="D472" s="42" t="s">
        <v>1535</v>
      </c>
      <c r="E472" s="42" t="s">
        <v>836</v>
      </c>
      <c r="F472" s="47" t="s">
        <v>21</v>
      </c>
      <c r="G472" s="42" t="s">
        <v>837</v>
      </c>
      <c r="H472" s="42" t="s">
        <v>838</v>
      </c>
      <c r="I472" s="43"/>
    </row>
    <row r="473" spans="2:9" hidden="1" x14ac:dyDescent="0.25">
      <c r="B473" s="40"/>
      <c r="C473" s="42" t="s">
        <v>759</v>
      </c>
      <c r="D473" s="42" t="s">
        <v>1536</v>
      </c>
      <c r="E473" s="42" t="s">
        <v>836</v>
      </c>
      <c r="F473" s="47" t="s">
        <v>21</v>
      </c>
      <c r="G473" s="42" t="s">
        <v>837</v>
      </c>
      <c r="H473" s="42" t="s">
        <v>838</v>
      </c>
      <c r="I473" s="43"/>
    </row>
    <row r="474" spans="2:9" hidden="1" x14ac:dyDescent="0.25">
      <c r="B474" s="40"/>
      <c r="C474" s="42" t="s">
        <v>1537</v>
      </c>
      <c r="D474" s="42" t="s">
        <v>1538</v>
      </c>
      <c r="E474" s="42" t="s">
        <v>836</v>
      </c>
      <c r="F474" s="49" t="s">
        <v>423</v>
      </c>
      <c r="G474" s="42" t="s">
        <v>837</v>
      </c>
      <c r="H474" s="42" t="s">
        <v>838</v>
      </c>
      <c r="I474" s="43"/>
    </row>
    <row r="475" spans="2:9" hidden="1" x14ac:dyDescent="0.25">
      <c r="B475" s="40"/>
      <c r="C475" s="42" t="s">
        <v>992</v>
      </c>
      <c r="D475" s="42" t="s">
        <v>993</v>
      </c>
      <c r="E475" s="42" t="s">
        <v>836</v>
      </c>
      <c r="F475" s="47" t="s">
        <v>21</v>
      </c>
      <c r="G475" s="42" t="s">
        <v>837</v>
      </c>
      <c r="H475" s="42" t="s">
        <v>838</v>
      </c>
      <c r="I475" s="43"/>
    </row>
    <row r="476" spans="2:9" hidden="1" x14ac:dyDescent="0.25">
      <c r="B476" s="40"/>
      <c r="C476" s="42" t="s">
        <v>1540</v>
      </c>
      <c r="D476" s="42" t="s">
        <v>1541</v>
      </c>
      <c r="E476" s="42" t="s">
        <v>836</v>
      </c>
      <c r="F476" s="47" t="s">
        <v>21</v>
      </c>
      <c r="G476" s="42" t="s">
        <v>837</v>
      </c>
      <c r="H476" s="42" t="s">
        <v>838</v>
      </c>
      <c r="I476" s="43"/>
    </row>
    <row r="477" spans="2:9" hidden="1" x14ac:dyDescent="0.25">
      <c r="B477" s="40"/>
      <c r="C477" s="42" t="s">
        <v>762</v>
      </c>
      <c r="D477" s="42" t="s">
        <v>1539</v>
      </c>
      <c r="E477" s="42" t="s">
        <v>836</v>
      </c>
      <c r="F477" s="47" t="s">
        <v>21</v>
      </c>
      <c r="G477" s="42" t="s">
        <v>837</v>
      </c>
      <c r="H477" s="42" t="s">
        <v>838</v>
      </c>
      <c r="I477" s="43"/>
    </row>
    <row r="478" spans="2:9" hidden="1" x14ac:dyDescent="0.25">
      <c r="B478" s="40"/>
      <c r="C478" s="42" t="s">
        <v>596</v>
      </c>
      <c r="D478" s="42" t="s">
        <v>1296</v>
      </c>
      <c r="E478" s="42" t="s">
        <v>845</v>
      </c>
      <c r="F478" s="47" t="s">
        <v>21</v>
      </c>
      <c r="G478" s="42" t="s">
        <v>837</v>
      </c>
      <c r="H478" s="42" t="s">
        <v>838</v>
      </c>
      <c r="I478" s="43"/>
    </row>
    <row r="479" spans="2:9" hidden="1" x14ac:dyDescent="0.25">
      <c r="B479" s="40"/>
      <c r="C479" s="42" t="s">
        <v>1043</v>
      </c>
      <c r="D479" s="42" t="s">
        <v>1044</v>
      </c>
      <c r="E479" s="42" t="s">
        <v>836</v>
      </c>
      <c r="F479" s="47" t="s">
        <v>21</v>
      </c>
      <c r="G479" s="42" t="s">
        <v>837</v>
      </c>
      <c r="H479" s="42" t="s">
        <v>838</v>
      </c>
      <c r="I479" s="43"/>
    </row>
    <row r="480" spans="2:9" hidden="1" x14ac:dyDescent="0.25">
      <c r="B480" s="40"/>
      <c r="C480" s="42" t="s">
        <v>977</v>
      </c>
      <c r="D480" s="42" t="s">
        <v>978</v>
      </c>
      <c r="E480" s="42" t="s">
        <v>836</v>
      </c>
      <c r="F480" s="48" t="s">
        <v>278</v>
      </c>
      <c r="G480" s="42" t="s">
        <v>837</v>
      </c>
      <c r="H480" s="42" t="s">
        <v>838</v>
      </c>
      <c r="I480" s="43"/>
    </row>
    <row r="481" spans="2:9" hidden="1" x14ac:dyDescent="0.25">
      <c r="B481" s="40"/>
      <c r="C481" s="42" t="s">
        <v>1035</v>
      </c>
      <c r="D481" s="42" t="s">
        <v>1036</v>
      </c>
      <c r="E481" s="42" t="s">
        <v>836</v>
      </c>
      <c r="F481" s="48" t="s">
        <v>278</v>
      </c>
      <c r="G481" s="42" t="s">
        <v>837</v>
      </c>
      <c r="H481" s="42" t="s">
        <v>838</v>
      </c>
      <c r="I481" s="43"/>
    </row>
    <row r="482" spans="2:9" hidden="1" x14ac:dyDescent="0.25">
      <c r="B482" s="40"/>
      <c r="C482" s="42" t="s">
        <v>809</v>
      </c>
      <c r="D482" s="42" t="s">
        <v>1610</v>
      </c>
      <c r="E482" s="42" t="s">
        <v>836</v>
      </c>
      <c r="F482" s="47" t="s">
        <v>21</v>
      </c>
      <c r="G482" s="42" t="s">
        <v>837</v>
      </c>
      <c r="H482" s="42" t="s">
        <v>838</v>
      </c>
      <c r="I482" s="43"/>
    </row>
    <row r="483" spans="2:9" hidden="1" x14ac:dyDescent="0.25">
      <c r="B483" s="40"/>
      <c r="C483" s="42" t="s">
        <v>693</v>
      </c>
      <c r="D483" s="42" t="s">
        <v>1633</v>
      </c>
      <c r="E483" s="42" t="s">
        <v>836</v>
      </c>
      <c r="F483" s="47" t="s">
        <v>21</v>
      </c>
      <c r="G483" s="42" t="s">
        <v>837</v>
      </c>
      <c r="H483" s="42" t="s">
        <v>838</v>
      </c>
      <c r="I483" s="43"/>
    </row>
    <row r="484" spans="2:9" hidden="1" x14ac:dyDescent="0.25">
      <c r="B484" s="40"/>
      <c r="C484" s="42" t="s">
        <v>187</v>
      </c>
      <c r="D484" s="42" t="s">
        <v>1543</v>
      </c>
      <c r="E484" s="42" t="s">
        <v>836</v>
      </c>
      <c r="F484" s="47" t="s">
        <v>21</v>
      </c>
      <c r="G484" s="42" t="s">
        <v>837</v>
      </c>
      <c r="H484" s="42" t="s">
        <v>838</v>
      </c>
      <c r="I484" s="43"/>
    </row>
    <row r="485" spans="2:9" hidden="1" x14ac:dyDescent="0.25">
      <c r="B485" s="40"/>
      <c r="C485" s="42" t="s">
        <v>354</v>
      </c>
      <c r="D485" s="42" t="s">
        <v>1546</v>
      </c>
      <c r="E485" s="42" t="s">
        <v>836</v>
      </c>
      <c r="F485" s="47" t="s">
        <v>21</v>
      </c>
      <c r="G485" s="42" t="s">
        <v>837</v>
      </c>
      <c r="H485" s="42" t="s">
        <v>838</v>
      </c>
      <c r="I485" s="43"/>
    </row>
    <row r="486" spans="2:9" hidden="1" x14ac:dyDescent="0.25">
      <c r="B486" s="40"/>
      <c r="C486" s="42" t="s">
        <v>189</v>
      </c>
      <c r="D486" s="42" t="s">
        <v>1549</v>
      </c>
      <c r="E486" s="42" t="s">
        <v>836</v>
      </c>
      <c r="F486" s="47" t="s">
        <v>21</v>
      </c>
      <c r="G486" s="42" t="s">
        <v>837</v>
      </c>
      <c r="H486" s="42" t="s">
        <v>838</v>
      </c>
      <c r="I486" s="43"/>
    </row>
    <row r="487" spans="2:9" hidden="1" x14ac:dyDescent="0.25">
      <c r="B487" s="40"/>
      <c r="C487" s="42" t="s">
        <v>1544</v>
      </c>
      <c r="D487" s="42" t="s">
        <v>1545</v>
      </c>
      <c r="E487" s="42" t="s">
        <v>836</v>
      </c>
      <c r="F487" s="47" t="s">
        <v>21</v>
      </c>
      <c r="G487" s="42" t="s">
        <v>837</v>
      </c>
      <c r="H487" s="42" t="s">
        <v>838</v>
      </c>
      <c r="I487" s="43"/>
    </row>
    <row r="488" spans="2:9" hidden="1" x14ac:dyDescent="0.25">
      <c r="B488" s="40"/>
      <c r="C488" s="42" t="s">
        <v>1550</v>
      </c>
      <c r="D488" s="42" t="s">
        <v>1551</v>
      </c>
      <c r="E488" s="42" t="s">
        <v>845</v>
      </c>
      <c r="F488" s="48" t="s">
        <v>278</v>
      </c>
      <c r="G488" s="42" t="s">
        <v>837</v>
      </c>
      <c r="H488" s="42" t="s">
        <v>838</v>
      </c>
      <c r="I488" s="43"/>
    </row>
    <row r="489" spans="2:9" hidden="1" x14ac:dyDescent="0.25">
      <c r="B489" s="40"/>
      <c r="C489" s="42" t="s">
        <v>769</v>
      </c>
      <c r="D489" s="42" t="s">
        <v>1552</v>
      </c>
      <c r="E489" s="42" t="s">
        <v>836</v>
      </c>
      <c r="F489" s="47" t="s">
        <v>21</v>
      </c>
      <c r="G489" s="42" t="s">
        <v>837</v>
      </c>
      <c r="H489" s="42" t="s">
        <v>838</v>
      </c>
      <c r="I489" s="43"/>
    </row>
    <row r="490" spans="2:9" hidden="1" x14ac:dyDescent="0.25">
      <c r="B490" s="40"/>
      <c r="C490" s="42" t="s">
        <v>668</v>
      </c>
      <c r="D490" s="42" t="s">
        <v>1434</v>
      </c>
      <c r="E490" s="42" t="s">
        <v>836</v>
      </c>
      <c r="F490" s="47" t="s">
        <v>21</v>
      </c>
      <c r="G490" s="42" t="s">
        <v>837</v>
      </c>
      <c r="H490" s="42" t="s">
        <v>838</v>
      </c>
      <c r="I490" s="43"/>
    </row>
    <row r="491" spans="2:9" hidden="1" x14ac:dyDescent="0.25">
      <c r="B491" s="40"/>
      <c r="C491" s="42" t="s">
        <v>191</v>
      </c>
      <c r="D491" s="42" t="s">
        <v>1553</v>
      </c>
      <c r="E491" s="42" t="s">
        <v>836</v>
      </c>
      <c r="F491" s="47" t="s">
        <v>21</v>
      </c>
      <c r="G491" s="42" t="s">
        <v>837</v>
      </c>
      <c r="H491" s="42" t="s">
        <v>838</v>
      </c>
      <c r="I491" s="43"/>
    </row>
    <row r="492" spans="2:9" hidden="1" x14ac:dyDescent="0.25">
      <c r="B492" s="40"/>
      <c r="C492" s="42" t="s">
        <v>771</v>
      </c>
      <c r="D492" s="42" t="s">
        <v>1560</v>
      </c>
      <c r="E492" s="42" t="s">
        <v>836</v>
      </c>
      <c r="F492" s="47" t="s">
        <v>21</v>
      </c>
      <c r="G492" s="42" t="s">
        <v>837</v>
      </c>
      <c r="H492" s="42" t="s">
        <v>838</v>
      </c>
      <c r="I492" s="43"/>
    </row>
    <row r="493" spans="2:9" hidden="1" x14ac:dyDescent="0.25">
      <c r="B493" s="40"/>
      <c r="C493" s="42" t="s">
        <v>1556</v>
      </c>
      <c r="D493" s="42" t="s">
        <v>1557</v>
      </c>
      <c r="E493" s="42" t="s">
        <v>836</v>
      </c>
      <c r="F493" s="47" t="s">
        <v>21</v>
      </c>
      <c r="G493" s="42" t="s">
        <v>837</v>
      </c>
      <c r="H493" s="42" t="s">
        <v>838</v>
      </c>
      <c r="I493" s="43"/>
    </row>
    <row r="494" spans="2:9" hidden="1" x14ac:dyDescent="0.25">
      <c r="B494" s="40"/>
      <c r="C494" s="42" t="s">
        <v>228</v>
      </c>
      <c r="D494" s="42" t="s">
        <v>1562</v>
      </c>
      <c r="E494" s="42" t="s">
        <v>836</v>
      </c>
      <c r="F494" s="47" t="s">
        <v>21</v>
      </c>
      <c r="G494" s="42" t="s">
        <v>837</v>
      </c>
      <c r="H494" s="42" t="s">
        <v>838</v>
      </c>
      <c r="I494" s="43"/>
    </row>
    <row r="495" spans="2:9" hidden="1" x14ac:dyDescent="0.25">
      <c r="B495" s="40"/>
      <c r="C495" s="42" t="s">
        <v>1563</v>
      </c>
      <c r="D495" s="42" t="s">
        <v>1564</v>
      </c>
      <c r="E495" s="42" t="s">
        <v>836</v>
      </c>
      <c r="F495" s="47" t="s">
        <v>21</v>
      </c>
      <c r="G495" s="42" t="s">
        <v>837</v>
      </c>
      <c r="H495" s="42" t="s">
        <v>838</v>
      </c>
      <c r="I495" s="43"/>
    </row>
    <row r="496" spans="2:9" hidden="1" x14ac:dyDescent="0.25">
      <c r="B496" s="40"/>
      <c r="C496" s="42" t="s">
        <v>1554</v>
      </c>
      <c r="D496" s="42" t="s">
        <v>1555</v>
      </c>
      <c r="E496" s="42" t="s">
        <v>836</v>
      </c>
      <c r="F496" s="48" t="s">
        <v>278</v>
      </c>
      <c r="G496" s="42" t="s">
        <v>837</v>
      </c>
      <c r="H496" s="42" t="s">
        <v>838</v>
      </c>
      <c r="I496" s="43"/>
    </row>
    <row r="497" spans="2:9" hidden="1" x14ac:dyDescent="0.25">
      <c r="B497" s="40"/>
      <c r="C497" s="42" t="s">
        <v>1454</v>
      </c>
      <c r="D497" s="42" t="s">
        <v>1455</v>
      </c>
      <c r="E497" s="42" t="s">
        <v>836</v>
      </c>
      <c r="F497" s="47" t="s">
        <v>21</v>
      </c>
      <c r="G497" s="42" t="s">
        <v>837</v>
      </c>
      <c r="H497" s="42" t="s">
        <v>838</v>
      </c>
      <c r="I497" s="43"/>
    </row>
    <row r="498" spans="2:9" hidden="1" x14ac:dyDescent="0.25">
      <c r="B498" s="40"/>
      <c r="C498" s="42" t="s">
        <v>419</v>
      </c>
      <c r="D498" s="42" t="s">
        <v>1561</v>
      </c>
      <c r="E498" s="42" t="s">
        <v>836</v>
      </c>
      <c r="F498" s="47" t="s">
        <v>21</v>
      </c>
      <c r="G498" s="42" t="s">
        <v>837</v>
      </c>
      <c r="H498" s="42" t="s">
        <v>838</v>
      </c>
      <c r="I498" s="43"/>
    </row>
    <row r="499" spans="2:9" hidden="1" x14ac:dyDescent="0.25">
      <c r="B499" s="40"/>
      <c r="C499" s="42" t="s">
        <v>1565</v>
      </c>
      <c r="D499" s="42" t="s">
        <v>1566</v>
      </c>
      <c r="E499" s="42" t="s">
        <v>836</v>
      </c>
      <c r="F499" s="48" t="s">
        <v>278</v>
      </c>
      <c r="G499" s="42" t="s">
        <v>837</v>
      </c>
      <c r="H499" s="42" t="s">
        <v>838</v>
      </c>
      <c r="I499" s="43"/>
    </row>
    <row r="500" spans="2:9" hidden="1" x14ac:dyDescent="0.25">
      <c r="B500" s="40"/>
      <c r="C500" s="42" t="s">
        <v>1567</v>
      </c>
      <c r="D500" s="42" t="s">
        <v>1568</v>
      </c>
      <c r="E500" s="42" t="s">
        <v>836</v>
      </c>
      <c r="F500" s="48" t="s">
        <v>278</v>
      </c>
      <c r="G500" s="42" t="s">
        <v>837</v>
      </c>
      <c r="H500" s="42" t="s">
        <v>838</v>
      </c>
      <c r="I500" s="43"/>
    </row>
    <row r="501" spans="2:9" hidden="1" x14ac:dyDescent="0.25">
      <c r="B501" s="40"/>
      <c r="C501" s="42" t="s">
        <v>300</v>
      </c>
      <c r="D501" s="42" t="s">
        <v>908</v>
      </c>
      <c r="E501" s="42" t="s">
        <v>836</v>
      </c>
      <c r="F501" s="47" t="s">
        <v>21</v>
      </c>
      <c r="G501" s="42" t="s">
        <v>837</v>
      </c>
      <c r="H501" s="42" t="s">
        <v>838</v>
      </c>
      <c r="I501" s="43"/>
    </row>
    <row r="502" spans="2:9" hidden="1" x14ac:dyDescent="0.25">
      <c r="B502" s="40"/>
      <c r="C502" s="42" t="s">
        <v>780</v>
      </c>
      <c r="D502" s="42" t="s">
        <v>1571</v>
      </c>
      <c r="E502" s="42" t="s">
        <v>836</v>
      </c>
      <c r="F502" s="47" t="s">
        <v>21</v>
      </c>
      <c r="G502" s="42" t="s">
        <v>837</v>
      </c>
      <c r="H502" s="42" t="s">
        <v>838</v>
      </c>
      <c r="I502" s="43"/>
    </row>
    <row r="503" spans="2:9" hidden="1" x14ac:dyDescent="0.25">
      <c r="B503" s="40"/>
      <c r="C503" s="42" t="s">
        <v>1574</v>
      </c>
      <c r="D503" s="42" t="s">
        <v>1575</v>
      </c>
      <c r="E503" s="42" t="s">
        <v>836</v>
      </c>
      <c r="F503" s="47" t="s">
        <v>21</v>
      </c>
      <c r="G503" s="42" t="s">
        <v>837</v>
      </c>
      <c r="H503" s="42" t="s">
        <v>838</v>
      </c>
      <c r="I503" s="43"/>
    </row>
    <row r="504" spans="2:9" hidden="1" x14ac:dyDescent="0.25">
      <c r="B504" s="40"/>
      <c r="C504" s="42" t="s">
        <v>1572</v>
      </c>
      <c r="D504" s="42" t="s">
        <v>1573</v>
      </c>
      <c r="E504" s="42" t="s">
        <v>836</v>
      </c>
      <c r="F504" s="48" t="s">
        <v>278</v>
      </c>
      <c r="G504" s="42" t="s">
        <v>837</v>
      </c>
      <c r="H504" s="42" t="s">
        <v>838</v>
      </c>
      <c r="I504" s="43"/>
    </row>
    <row r="505" spans="2:9" hidden="1" x14ac:dyDescent="0.25">
      <c r="B505" s="40"/>
      <c r="C505" s="42" t="s">
        <v>386</v>
      </c>
      <c r="D505" s="42" t="s">
        <v>1578</v>
      </c>
      <c r="E505" s="42" t="s">
        <v>836</v>
      </c>
      <c r="F505" s="47" t="s">
        <v>21</v>
      </c>
      <c r="G505" s="42" t="s">
        <v>837</v>
      </c>
      <c r="H505" s="42" t="s">
        <v>838</v>
      </c>
      <c r="I505" s="43"/>
    </row>
    <row r="506" spans="2:9" hidden="1" x14ac:dyDescent="0.25">
      <c r="B506" s="40"/>
      <c r="C506" s="42" t="s">
        <v>1252</v>
      </c>
      <c r="D506" s="42" t="s">
        <v>1253</v>
      </c>
      <c r="E506" s="42" t="s">
        <v>836</v>
      </c>
      <c r="F506" s="48" t="s">
        <v>278</v>
      </c>
      <c r="G506" s="42" t="s">
        <v>837</v>
      </c>
      <c r="H506" s="42" t="s">
        <v>838</v>
      </c>
      <c r="I506" s="43"/>
    </row>
    <row r="507" spans="2:9" hidden="1" x14ac:dyDescent="0.25">
      <c r="B507" s="40"/>
      <c r="C507" s="42" t="s">
        <v>193</v>
      </c>
      <c r="D507" s="42" t="s">
        <v>1569</v>
      </c>
      <c r="E507" s="42" t="s">
        <v>836</v>
      </c>
      <c r="F507" s="47" t="s">
        <v>21</v>
      </c>
      <c r="G507" s="42" t="s">
        <v>837</v>
      </c>
      <c r="H507" s="42" t="s">
        <v>838</v>
      </c>
      <c r="I507" s="43"/>
    </row>
    <row r="508" spans="2:9" hidden="1" x14ac:dyDescent="0.25">
      <c r="B508" s="40"/>
      <c r="C508" s="42" t="s">
        <v>198</v>
      </c>
      <c r="D508" s="42" t="s">
        <v>1583</v>
      </c>
      <c r="E508" s="42" t="s">
        <v>836</v>
      </c>
      <c r="F508" s="47" t="s">
        <v>21</v>
      </c>
      <c r="G508" s="42" t="s">
        <v>837</v>
      </c>
      <c r="H508" s="42" t="s">
        <v>838</v>
      </c>
      <c r="I508" s="43"/>
    </row>
    <row r="509" spans="2:9" hidden="1" x14ac:dyDescent="0.25">
      <c r="B509" s="40"/>
      <c r="C509" s="42" t="s">
        <v>796</v>
      </c>
      <c r="D509" s="42" t="s">
        <v>1582</v>
      </c>
      <c r="E509" s="42" t="s">
        <v>836</v>
      </c>
      <c r="F509" s="47" t="s">
        <v>21</v>
      </c>
      <c r="G509" s="42" t="s">
        <v>837</v>
      </c>
      <c r="H509" s="42" t="s">
        <v>838</v>
      </c>
      <c r="I509" s="43"/>
    </row>
    <row r="510" spans="2:9" hidden="1" x14ac:dyDescent="0.25">
      <c r="B510" s="40"/>
      <c r="C510" s="42" t="s">
        <v>1580</v>
      </c>
      <c r="D510" s="42" t="s">
        <v>1581</v>
      </c>
      <c r="E510" s="42" t="s">
        <v>836</v>
      </c>
      <c r="F510" s="48" t="s">
        <v>278</v>
      </c>
      <c r="G510" s="42" t="s">
        <v>837</v>
      </c>
      <c r="H510" s="42" t="s">
        <v>838</v>
      </c>
      <c r="I510" s="43"/>
    </row>
    <row r="511" spans="2:9" hidden="1" x14ac:dyDescent="0.25">
      <c r="B511" s="40"/>
      <c r="C511" s="42" t="s">
        <v>1584</v>
      </c>
      <c r="D511" s="42" t="s">
        <v>1585</v>
      </c>
      <c r="E511" s="42" t="s">
        <v>845</v>
      </c>
      <c r="F511" s="48" t="s">
        <v>278</v>
      </c>
      <c r="G511" s="42" t="s">
        <v>837</v>
      </c>
      <c r="H511" s="42" t="s">
        <v>838</v>
      </c>
      <c r="I511" s="43"/>
    </row>
    <row r="512" spans="2:9" hidden="1" x14ac:dyDescent="0.25">
      <c r="B512" s="40"/>
      <c r="C512" s="42" t="s">
        <v>788</v>
      </c>
      <c r="D512" s="42" t="s">
        <v>1586</v>
      </c>
      <c r="E512" s="42" t="s">
        <v>836</v>
      </c>
      <c r="F512" s="47" t="s">
        <v>21</v>
      </c>
      <c r="G512" s="42" t="s">
        <v>837</v>
      </c>
      <c r="H512" s="42" t="s">
        <v>838</v>
      </c>
      <c r="I512" s="43"/>
    </row>
    <row r="513" spans="2:9" hidden="1" x14ac:dyDescent="0.25">
      <c r="B513" s="40"/>
      <c r="C513" s="42" t="s">
        <v>1587</v>
      </c>
      <c r="D513" s="42" t="s">
        <v>1588</v>
      </c>
      <c r="E513" s="42" t="s">
        <v>836</v>
      </c>
      <c r="F513" s="48" t="s">
        <v>278</v>
      </c>
      <c r="G513" s="42" t="s">
        <v>837</v>
      </c>
      <c r="H513" s="42" t="s">
        <v>838</v>
      </c>
      <c r="I513" s="43"/>
    </row>
    <row r="514" spans="2:9" hidden="1" x14ac:dyDescent="0.25">
      <c r="B514" s="40"/>
      <c r="C514" s="42" t="s">
        <v>794</v>
      </c>
      <c r="D514" s="42" t="s">
        <v>1591</v>
      </c>
      <c r="E514" s="42" t="s">
        <v>836</v>
      </c>
      <c r="F514" s="49" t="s">
        <v>423</v>
      </c>
      <c r="G514" s="42" t="s">
        <v>837</v>
      </c>
      <c r="H514" s="42" t="s">
        <v>838</v>
      </c>
      <c r="I514" s="43"/>
    </row>
    <row r="515" spans="2:9" hidden="1" x14ac:dyDescent="0.25">
      <c r="B515" s="40"/>
      <c r="C515" s="42" t="s">
        <v>766</v>
      </c>
      <c r="D515" s="42" t="s">
        <v>1590</v>
      </c>
      <c r="E515" s="42" t="s">
        <v>836</v>
      </c>
      <c r="F515" s="47" t="s">
        <v>21</v>
      </c>
      <c r="G515" s="42" t="s">
        <v>837</v>
      </c>
      <c r="H515" s="42" t="s">
        <v>838</v>
      </c>
      <c r="I515" s="43"/>
    </row>
    <row r="516" spans="2:9" hidden="1" x14ac:dyDescent="0.25">
      <c r="B516" s="40"/>
      <c r="C516" s="42" t="s">
        <v>798</v>
      </c>
      <c r="D516" s="42" t="s">
        <v>1593</v>
      </c>
      <c r="E516" s="42" t="s">
        <v>836</v>
      </c>
      <c r="F516" s="47" t="s">
        <v>21</v>
      </c>
      <c r="G516" s="42" t="s">
        <v>837</v>
      </c>
      <c r="H516" s="42" t="s">
        <v>838</v>
      </c>
      <c r="I516" s="43"/>
    </row>
    <row r="517" spans="2:9" hidden="1" x14ac:dyDescent="0.25">
      <c r="B517" s="40"/>
      <c r="C517" s="42" t="s">
        <v>466</v>
      </c>
      <c r="D517" s="42" t="s">
        <v>1592</v>
      </c>
      <c r="E517" s="42" t="s">
        <v>836</v>
      </c>
      <c r="F517" s="47" t="s">
        <v>21</v>
      </c>
      <c r="G517" s="42" t="s">
        <v>837</v>
      </c>
      <c r="H517" s="42" t="s">
        <v>838</v>
      </c>
      <c r="I517" s="43"/>
    </row>
    <row r="518" spans="2:9" hidden="1" x14ac:dyDescent="0.25">
      <c r="B518" s="40"/>
      <c r="C518" s="42" t="s">
        <v>1594</v>
      </c>
      <c r="D518" s="42" t="s">
        <v>1595</v>
      </c>
      <c r="E518" s="42" t="s">
        <v>836</v>
      </c>
      <c r="F518" s="48" t="s">
        <v>278</v>
      </c>
      <c r="G518" s="42" t="s">
        <v>837</v>
      </c>
      <c r="H518" s="42" t="s">
        <v>838</v>
      </c>
      <c r="I518" s="43"/>
    </row>
    <row r="519" spans="2:9" hidden="1" x14ac:dyDescent="0.25">
      <c r="B519" s="40"/>
      <c r="C519" s="42" t="s">
        <v>200</v>
      </c>
      <c r="D519" s="42" t="s">
        <v>1596</v>
      </c>
      <c r="E519" s="42" t="s">
        <v>836</v>
      </c>
      <c r="F519" s="47" t="s">
        <v>21</v>
      </c>
      <c r="G519" s="42" t="s">
        <v>837</v>
      </c>
      <c r="H519" s="42" t="s">
        <v>838</v>
      </c>
      <c r="I519" s="43"/>
    </row>
    <row r="520" spans="2:9" hidden="1" x14ac:dyDescent="0.25">
      <c r="B520" s="40"/>
      <c r="C520" s="42" t="s">
        <v>1597</v>
      </c>
      <c r="D520" s="42" t="s">
        <v>1598</v>
      </c>
      <c r="E520" s="42" t="s">
        <v>836</v>
      </c>
      <c r="F520" s="51" t="s">
        <v>1051</v>
      </c>
      <c r="G520" s="42" t="s">
        <v>837</v>
      </c>
      <c r="H520" s="42" t="s">
        <v>838</v>
      </c>
      <c r="I520" s="43"/>
    </row>
    <row r="521" spans="2:9" hidden="1" x14ac:dyDescent="0.25">
      <c r="B521" s="40"/>
      <c r="C521" s="42" t="s">
        <v>1600</v>
      </c>
      <c r="D521" s="42" t="s">
        <v>1601</v>
      </c>
      <c r="E521" s="42" t="s">
        <v>836</v>
      </c>
      <c r="F521" s="47" t="s">
        <v>21</v>
      </c>
      <c r="G521" s="42" t="s">
        <v>837</v>
      </c>
      <c r="H521" s="42" t="s">
        <v>838</v>
      </c>
      <c r="I521" s="43"/>
    </row>
    <row r="522" spans="2:9" hidden="1" x14ac:dyDescent="0.25">
      <c r="B522" s="40"/>
      <c r="C522" s="42" t="s">
        <v>764</v>
      </c>
      <c r="D522" s="42" t="s">
        <v>1599</v>
      </c>
      <c r="E522" s="42" t="s">
        <v>836</v>
      </c>
      <c r="F522" s="47" t="s">
        <v>21</v>
      </c>
      <c r="G522" s="42" t="s">
        <v>837</v>
      </c>
      <c r="H522" s="42" t="s">
        <v>838</v>
      </c>
      <c r="I522" s="43"/>
    </row>
    <row r="523" spans="2:9" hidden="1" x14ac:dyDescent="0.25">
      <c r="B523" s="40"/>
      <c r="C523" s="42" t="s">
        <v>1603</v>
      </c>
      <c r="D523" s="42" t="s">
        <v>1604</v>
      </c>
      <c r="E523" s="42" t="s">
        <v>836</v>
      </c>
      <c r="F523" s="47" t="s">
        <v>21</v>
      </c>
      <c r="G523" s="42" t="s">
        <v>837</v>
      </c>
      <c r="H523" s="42" t="s">
        <v>838</v>
      </c>
      <c r="I523" s="43"/>
    </row>
    <row r="524" spans="2:9" hidden="1" x14ac:dyDescent="0.25">
      <c r="B524" s="40"/>
      <c r="C524" s="42" t="s">
        <v>806</v>
      </c>
      <c r="D524" s="42" t="s">
        <v>1605</v>
      </c>
      <c r="E524" s="42" t="s">
        <v>836</v>
      </c>
      <c r="F524" s="47" t="s">
        <v>21</v>
      </c>
      <c r="G524" s="42" t="s">
        <v>837</v>
      </c>
      <c r="H524" s="42" t="s">
        <v>838</v>
      </c>
      <c r="I524" s="43"/>
    </row>
    <row r="525" spans="2:9" hidden="1" x14ac:dyDescent="0.25">
      <c r="B525" s="40"/>
      <c r="C525" s="42" t="s">
        <v>1606</v>
      </c>
      <c r="D525" s="42" t="s">
        <v>1607</v>
      </c>
      <c r="E525" s="42" t="s">
        <v>836</v>
      </c>
      <c r="F525" s="47" t="s">
        <v>21</v>
      </c>
      <c r="G525" s="42" t="s">
        <v>837</v>
      </c>
      <c r="H525" s="42" t="s">
        <v>838</v>
      </c>
      <c r="I525" s="43"/>
    </row>
    <row r="526" spans="2:9" hidden="1" x14ac:dyDescent="0.25">
      <c r="B526" s="40"/>
      <c r="C526" s="42" t="s">
        <v>811</v>
      </c>
      <c r="D526" s="42" t="s">
        <v>1611</v>
      </c>
      <c r="E526" s="42" t="s">
        <v>836</v>
      </c>
      <c r="F526" s="51" t="s">
        <v>1051</v>
      </c>
      <c r="G526" s="42" t="s">
        <v>837</v>
      </c>
      <c r="H526" s="42" t="s">
        <v>838</v>
      </c>
      <c r="I526" s="43"/>
    </row>
    <row r="527" spans="2:9" hidden="1" x14ac:dyDescent="0.25">
      <c r="B527" s="40"/>
      <c r="C527" s="42" t="s">
        <v>1608</v>
      </c>
      <c r="D527" s="42" t="s">
        <v>1609</v>
      </c>
      <c r="E527" s="42" t="s">
        <v>836</v>
      </c>
      <c r="F527" s="47" t="s">
        <v>21</v>
      </c>
      <c r="G527" s="42" t="s">
        <v>837</v>
      </c>
      <c r="H527" s="42" t="s">
        <v>838</v>
      </c>
      <c r="I527" s="43"/>
    </row>
    <row r="528" spans="2:9" hidden="1" x14ac:dyDescent="0.25">
      <c r="B528" s="40"/>
      <c r="C528" s="42" t="s">
        <v>1614</v>
      </c>
      <c r="D528" s="42" t="s">
        <v>1615</v>
      </c>
      <c r="E528" s="42" t="s">
        <v>836</v>
      </c>
      <c r="F528" s="47" t="s">
        <v>21</v>
      </c>
      <c r="G528" s="42" t="s">
        <v>837</v>
      </c>
      <c r="H528" s="42" t="s">
        <v>838</v>
      </c>
      <c r="I528" s="43"/>
    </row>
    <row r="529" spans="2:9" hidden="1" x14ac:dyDescent="0.25">
      <c r="B529" s="40"/>
      <c r="C529" s="42" t="s">
        <v>1612</v>
      </c>
      <c r="D529" s="42" t="s">
        <v>1613</v>
      </c>
      <c r="E529" s="42" t="s">
        <v>836</v>
      </c>
      <c r="F529" s="47" t="s">
        <v>21</v>
      </c>
      <c r="G529" s="42" t="s">
        <v>837</v>
      </c>
      <c r="H529" s="42" t="s">
        <v>838</v>
      </c>
      <c r="I529" s="43"/>
    </row>
    <row r="530" spans="2:9" hidden="1" x14ac:dyDescent="0.25">
      <c r="B530" s="40"/>
      <c r="C530" s="42" t="s">
        <v>875</v>
      </c>
      <c r="D530" s="42" t="s">
        <v>876</v>
      </c>
      <c r="E530" s="42" t="s">
        <v>836</v>
      </c>
      <c r="F530" s="48" t="s">
        <v>278</v>
      </c>
      <c r="G530" s="42" t="s">
        <v>837</v>
      </c>
      <c r="H530" s="42" t="s">
        <v>838</v>
      </c>
      <c r="I530" s="43"/>
    </row>
    <row r="531" spans="2:9" hidden="1" x14ac:dyDescent="0.25">
      <c r="B531" s="40"/>
      <c r="C531" s="42" t="s">
        <v>543</v>
      </c>
      <c r="D531" s="42" t="s">
        <v>1215</v>
      </c>
      <c r="E531" s="42" t="s">
        <v>836</v>
      </c>
      <c r="F531" s="49" t="s">
        <v>423</v>
      </c>
      <c r="G531" s="42" t="s">
        <v>837</v>
      </c>
      <c r="H531" s="42" t="s">
        <v>838</v>
      </c>
      <c r="I531" s="43"/>
    </row>
    <row r="532" spans="2:9" hidden="1" x14ac:dyDescent="0.25">
      <c r="B532" s="41"/>
      <c r="C532" s="44" t="s">
        <v>547</v>
      </c>
      <c r="D532" s="44" t="s">
        <v>1245</v>
      </c>
      <c r="E532" s="44" t="s">
        <v>836</v>
      </c>
      <c r="F532" s="53" t="s">
        <v>21</v>
      </c>
      <c r="G532" s="44" t="s">
        <v>837</v>
      </c>
      <c r="H532" s="44" t="s">
        <v>838</v>
      </c>
      <c r="I532" s="45"/>
    </row>
    <row r="533" spans="2:9" x14ac:dyDescent="0.25">
      <c r="B533" s="40"/>
      <c r="C533" s="39"/>
      <c r="D533" s="39"/>
      <c r="E533" s="39"/>
      <c r="F533" s="39"/>
      <c r="G533" s="39"/>
      <c r="H533" s="39"/>
      <c r="I533" s="39"/>
    </row>
  </sheetData>
  <autoFilter ref="B1:I532" xr:uid="{2C580E92-52DF-4E39-B5BF-0853FB6E847E}">
    <filterColumn colId="1">
      <filters>
        <filter val="LUIS CARLOS BROERING"/>
      </filters>
    </filterColumn>
  </autoFilter>
  <hyperlinks>
    <hyperlink ref="B2" r:id="rId1" display="https://amp.vexpenses.com/settings/membros-de-equipe/895944" xr:uid="{ABC68CE9-F0C0-427E-99A8-C85987F4FC0A}"/>
    <hyperlink ref="B3" r:id="rId2" display="https://amp.vexpenses.com/settings/membros-de-equipe/923558" xr:uid="{CF9E8166-F879-41C2-9296-61F22B9FC09F}"/>
    <hyperlink ref="B4" r:id="rId3" display="https://amp.vexpenses.com/settings/membros-de-equipe/895945" xr:uid="{614A7AA5-BD4E-4A98-AD78-10EB49C5C047}"/>
    <hyperlink ref="B5" r:id="rId4" display="https://amp.vexpenses.com/settings/membros-de-equipe/895946" xr:uid="{344C754E-3AAF-42C4-84DF-2E0ECDA8B309}"/>
    <hyperlink ref="B6" r:id="rId5" display="https://amp.vexpenses.com/settings/membros-de-equipe/895947" xr:uid="{0E567BC3-5C8D-4059-A21A-04A0AED4697C}"/>
    <hyperlink ref="B7" r:id="rId6" display="https://amp.vexpenses.com/settings/membros-de-equipe/895948" xr:uid="{AFF76D91-9FD9-466B-8C5B-D8137FFA7ECD}"/>
    <hyperlink ref="B8" r:id="rId7" display="https://amp.vexpenses.com/settings/membros-de-equipe/895949" xr:uid="{383C6C84-CD81-4563-BE32-E6F19B15AD9B}"/>
    <hyperlink ref="B9" r:id="rId8" display="https://amp.vexpenses.com/settings/membros-de-equipe/895950" xr:uid="{B4E36A57-7F4D-4EA1-A8E6-C7E528DB7186}"/>
    <hyperlink ref="B10" r:id="rId9" display="https://amp.vexpenses.com/settings/membros-de-equipe/895952" xr:uid="{4DA3B8E5-F477-4CF3-831C-0E0DC30865D4}"/>
    <hyperlink ref="B11" r:id="rId10" display="https://amp.vexpenses.com/settings/membros-de-equipe/895954" xr:uid="{D23F8483-417E-446C-8720-B7B2734CA173}"/>
    <hyperlink ref="B12" r:id="rId11" display="https://amp.vexpenses.com/settings/membros-de-equipe/895955" xr:uid="{25563E67-BA37-4098-A48D-6F71A11E9A06}"/>
    <hyperlink ref="B13" r:id="rId12" display="https://amp.vexpenses.com/settings/membros-de-equipe/895956" xr:uid="{56660D0B-022C-42F9-A729-48B816E5E10A}"/>
    <hyperlink ref="B14" r:id="rId13" display="https://amp.vexpenses.com/settings/membros-de-equipe/916910" xr:uid="{5831ACCC-0F08-4230-AE84-029B8A8F0D60}"/>
    <hyperlink ref="B15" r:id="rId14" display="https://amp.vexpenses.com/settings/membros-de-equipe/895957" xr:uid="{292E4D4F-818D-44C9-BE41-9C9CDB018CC9}"/>
    <hyperlink ref="B16" r:id="rId15" display="https://amp.vexpenses.com/settings/membros-de-equipe/895958" xr:uid="{CC5B7B1B-840D-4A3E-A16A-885E2CFCE24D}"/>
    <hyperlink ref="B17" r:id="rId16" display="https://amp.vexpenses.com/settings/membros-de-equipe/929763" xr:uid="{3B54B075-D9AD-4F07-84F6-1FE6DF8D5385}"/>
    <hyperlink ref="B18" r:id="rId17" display="https://amp.vexpenses.com/settings/membros-de-equipe/895959" xr:uid="{8062AD1D-894A-4E09-A9A2-E2A7C91724FD}"/>
    <hyperlink ref="B19" r:id="rId18" display="https://amp.vexpenses.com/settings/membros-de-equipe/895961" xr:uid="{C4997693-C4D0-4901-9E26-1D746DC39F90}"/>
    <hyperlink ref="B20" r:id="rId19" display="https://amp.vexpenses.com/settings/membros-de-equipe/895962" xr:uid="{22EC71FF-070A-4DA1-9A0D-741A1986C2B6}"/>
    <hyperlink ref="B21" r:id="rId20" display="https://amp.vexpenses.com/settings/membros-de-equipe/895963" xr:uid="{D6DD6555-7A18-4804-BBC5-4EBFF3D96857}"/>
    <hyperlink ref="B22" r:id="rId21" display="https://amp.vexpenses.com/settings/membros-de-equipe/895964" xr:uid="{93530528-CCFE-4860-8A05-03370EE70462}"/>
    <hyperlink ref="B23" r:id="rId22" display="https://amp.vexpenses.com/settings/membros-de-equipe/895965" xr:uid="{1A56E2EB-C47C-461A-9F7D-037A1878B6ED}"/>
    <hyperlink ref="B24" r:id="rId23" display="https://amp.vexpenses.com/settings/membros-de-equipe/917314" xr:uid="{F19E0F30-DE6A-4C8C-8946-0F75109361F4}"/>
    <hyperlink ref="B25" r:id="rId24" display="https://amp.vexpenses.com/settings/membros-de-equipe/895966" xr:uid="{5C2C616E-0029-42B4-84BF-9629FFAA4CBC}"/>
    <hyperlink ref="B26" r:id="rId25" display="https://amp.vexpenses.com/settings/membros-de-equipe/895967" xr:uid="{A2E80321-FC33-4E4B-B470-F0FF6C02C4CE}"/>
    <hyperlink ref="B27" r:id="rId26" display="https://amp.vexpenses.com/settings/membros-de-equipe/916897" xr:uid="{97F1A807-53AF-4BE5-9DA9-221B9505C627}"/>
    <hyperlink ref="B28" r:id="rId27" display="https://amp.vexpenses.com/settings/membros-de-equipe/895968" xr:uid="{C2D472DD-47E0-40EE-869E-2C01210CB9CD}"/>
    <hyperlink ref="B29" r:id="rId28" display="https://amp.vexpenses.com/settings/membros-de-equipe/917318" xr:uid="{49CF2909-386E-4060-A667-3373F74019C3}"/>
    <hyperlink ref="B30" r:id="rId29" display="https://amp.vexpenses.com/settings/membros-de-equipe/895969" xr:uid="{1D6867BA-C461-4228-81D2-43FD65CD48CE}"/>
    <hyperlink ref="B31" r:id="rId30" display="https://amp.vexpenses.com/settings/membros-de-equipe/918852" xr:uid="{91F13C3F-AEDA-4887-A7C2-A6BCC8B289EB}"/>
    <hyperlink ref="B32" r:id="rId31" display="https://amp.vexpenses.com/settings/membros-de-equipe/895970" xr:uid="{BA5EE95F-4D0C-4CD8-888F-AC067654681B}"/>
    <hyperlink ref="B33" r:id="rId32" display="https://amp.vexpenses.com/settings/membros-de-equipe/895971" xr:uid="{C78A4ED2-73BB-41C3-BCAB-829AB0DD42D1}"/>
    <hyperlink ref="B34" r:id="rId33" display="https://amp.vexpenses.com/settings/membros-de-equipe/895972" xr:uid="{457A83DD-2C92-4F69-867B-799D50F2D232}"/>
    <hyperlink ref="B35" r:id="rId34" display="https://amp.vexpenses.com/settings/membros-de-equipe/895974" xr:uid="{F9A54379-A084-4553-9F73-F64AA7C501AF}"/>
    <hyperlink ref="B36" r:id="rId35" display="https://amp.vexpenses.com/settings/membros-de-equipe/929757" xr:uid="{17D99C8E-0E4D-4102-8C48-B4F9A3489120}"/>
    <hyperlink ref="B37" r:id="rId36" display="https://amp.vexpenses.com/settings/membros-de-equipe/895975" xr:uid="{0032A97A-5BC5-4C11-A48D-C4625325B8ED}"/>
    <hyperlink ref="B38" r:id="rId37" display="https://amp.vexpenses.com/settings/membros-de-equipe/895976" xr:uid="{697E85CA-A494-4A58-BCBD-9F8D5DBC8D5D}"/>
    <hyperlink ref="B39" r:id="rId38" display="https://amp.vexpenses.com/settings/membros-de-equipe/891979" xr:uid="{473DFD1F-99AE-4409-BEA4-6CC59711879F}"/>
    <hyperlink ref="B40" r:id="rId39" display="https://amp.vexpenses.com/settings/membros-de-equipe/895977" xr:uid="{58D533C8-9463-464E-A6FF-6F846A31D88C}"/>
    <hyperlink ref="B41" r:id="rId40" display="https://amp.vexpenses.com/settings/membros-de-equipe/895978" xr:uid="{AD02FEE0-DA7C-4E8C-91C8-A9596F48D340}"/>
    <hyperlink ref="B42" r:id="rId41" display="https://amp.vexpenses.com/settings/membros-de-equipe/934784" xr:uid="{6F15D69C-64D3-4503-8128-557D9E5CC8B2}"/>
    <hyperlink ref="B43" r:id="rId42" display="https://amp.vexpenses.com/settings/membros-de-equipe/917324" xr:uid="{AC474F46-C2CD-4676-B2B1-01D9DEC9A2D1}"/>
    <hyperlink ref="B44" r:id="rId43" display="https://amp.vexpenses.com/settings/membros-de-equipe/895981" xr:uid="{8894218C-1DA7-4DB9-A1BB-495145B3A6D2}"/>
    <hyperlink ref="B45" r:id="rId44" display="https://amp.vexpenses.com/settings/membros-de-equipe/895982" xr:uid="{4B20E749-CD94-472D-B430-9F234A389F5F}"/>
    <hyperlink ref="B46" r:id="rId45" display="https://amp.vexpenses.com/settings/membros-de-equipe/895983" xr:uid="{4142C0AF-7321-4892-851B-5146E3AF0C0B}"/>
    <hyperlink ref="B47" r:id="rId46" display="https://amp.vexpenses.com/settings/membros-de-equipe/895984" xr:uid="{C74CC4AB-1D28-4E54-BA4E-2E322321F00C}"/>
    <hyperlink ref="B48" r:id="rId47" display="https://amp.vexpenses.com/settings/membros-de-equipe/895985" xr:uid="{129BF54C-39F2-4A0B-99B5-760747114115}"/>
    <hyperlink ref="B49" r:id="rId48" display="https://amp.vexpenses.com/settings/membros-de-equipe/916889" xr:uid="{72E02E9B-D03C-4016-B7BB-814719825667}"/>
    <hyperlink ref="B50" r:id="rId49" display="https://amp.vexpenses.com/settings/membros-de-equipe/895986" xr:uid="{027D4B11-CF05-4A4B-A73A-77851B6E3185}"/>
    <hyperlink ref="B51" r:id="rId50" display="https://amp.vexpenses.com/settings/membros-de-equipe/891977" xr:uid="{6EF613AE-E20A-420B-91F4-D51D0980A9A8}"/>
    <hyperlink ref="B52" r:id="rId51" display="https://amp.vexpenses.com/settings/membros-de-equipe/895988" xr:uid="{3857269A-4CD3-4F06-BE50-D19241E2BA56}"/>
    <hyperlink ref="B53" r:id="rId52" display="https://amp.vexpenses.com/settings/membros-de-equipe/895989" xr:uid="{A5BDFB77-290B-4854-B784-0AA11C1E459E}"/>
    <hyperlink ref="B54" r:id="rId53" display="https://amp.vexpenses.com/settings/membros-de-equipe/895990" xr:uid="{824E921A-4501-48DA-8D4D-2D6146BDA8ED}"/>
    <hyperlink ref="B55" r:id="rId54" display="https://amp.vexpenses.com/settings/membros-de-equipe/895991" xr:uid="{25A73E1B-7F8B-473A-826A-1F7F313078D5}"/>
    <hyperlink ref="B56" r:id="rId55" display="https://amp.vexpenses.com/settings/membros-de-equipe/895992" xr:uid="{626BDC8E-C9CB-444B-A7F7-BEACE7B59683}"/>
    <hyperlink ref="B57" r:id="rId56" display="https://amp.vexpenses.com/settings/membros-de-equipe/895993" xr:uid="{D3A81DD0-BF9D-4595-9D79-B01017533AE7}"/>
    <hyperlink ref="B58" r:id="rId57" display="https://amp.vexpenses.com/settings/membros-de-equipe/895994" xr:uid="{2D9C17F1-DB95-449A-A28A-49DB64512AC2}"/>
    <hyperlink ref="B59" r:id="rId58" display="https://amp.vexpenses.com/settings/membros-de-equipe/920071" xr:uid="{C28C6F6B-BDA6-4EA4-8D86-1A4023727FA6}"/>
    <hyperlink ref="B60" r:id="rId59" display="https://amp.vexpenses.com/settings/membros-de-equipe/895996" xr:uid="{9B7CEBED-131E-4DB0-9EDB-606C0041A1B9}"/>
    <hyperlink ref="B61" r:id="rId60" display="https://amp.vexpenses.com/settings/membros-de-equipe/895997" xr:uid="{4CBEC936-3472-4E44-A7EA-C56FA9BC43B9}"/>
    <hyperlink ref="B62" r:id="rId61" display="https://amp.vexpenses.com/settings/membros-de-equipe/917085" xr:uid="{9F0ED6E6-B4C3-4299-AD15-42C5229D5442}"/>
    <hyperlink ref="B63" r:id="rId62" display="https://amp.vexpenses.com/settings/membros-de-equipe/895998" xr:uid="{962F0125-73A9-475A-8C9E-BB9C14DF9F8B}"/>
    <hyperlink ref="B64" r:id="rId63" display="https://amp.vexpenses.com/settings/membros-de-equipe/930416" xr:uid="{DCA455CC-0DE2-4A09-95D1-30201E8E12C6}"/>
    <hyperlink ref="B65" r:id="rId64" display="https://amp.vexpenses.com/settings/membros-de-equipe/895999" xr:uid="{0D09E6CA-A493-4846-A543-75CA0594B822}"/>
    <hyperlink ref="B66" r:id="rId65" display="https://amp.vexpenses.com/settings/membros-de-equipe/896000" xr:uid="{3CB1CFE2-D307-480F-9EC5-6E2790D091DA}"/>
    <hyperlink ref="B67" r:id="rId66" display="https://amp.vexpenses.com/settings/membros-de-equipe/896001" xr:uid="{FFD1CCF1-06EC-4918-965C-472F4E0647D7}"/>
    <hyperlink ref="B68" r:id="rId67" display="https://amp.vexpenses.com/settings/membros-de-equipe/896002" xr:uid="{ADB3A0ED-63AD-40A4-A77D-FF0E1CA5E79C}"/>
    <hyperlink ref="B69" r:id="rId68" display="https://amp.vexpenses.com/settings/membros-de-equipe/896003" xr:uid="{DAC74BD6-528D-4207-AA0E-0EF44BA417F6}"/>
    <hyperlink ref="B70" r:id="rId69" display="https://amp.vexpenses.com/settings/membros-de-equipe/896004" xr:uid="{AFCFB670-203C-42FB-A4D0-717300BF0207}"/>
    <hyperlink ref="B71" r:id="rId70" display="https://amp.vexpenses.com/settings/membros-de-equipe/896005" xr:uid="{887C1B04-122D-4467-819A-BD4A4523FB7A}"/>
    <hyperlink ref="B72" r:id="rId71" display="https://amp.vexpenses.com/settings/membros-de-equipe/896006" xr:uid="{6B5A8624-505C-407B-9892-D0F397C7CAAD}"/>
    <hyperlink ref="B73" r:id="rId72" display="https://amp.vexpenses.com/settings/membros-de-equipe/896007" xr:uid="{CF07C59D-9BD8-4A57-96EB-CCC02924F353}"/>
    <hyperlink ref="B74" r:id="rId73" display="https://amp.vexpenses.com/settings/membros-de-equipe/896008" xr:uid="{E2375938-ACD5-4E02-84BB-37C1BC1B26BF}"/>
    <hyperlink ref="B75" r:id="rId74" display="https://amp.vexpenses.com/settings/membros-de-equipe/896009" xr:uid="{411A3DDB-C0EE-43C4-9696-6542F5AFA49A}"/>
    <hyperlink ref="B76" r:id="rId75" display="https://amp.vexpenses.com/settings/membros-de-equipe/896011" xr:uid="{BF8E80C2-F271-4DAE-8409-A127A95E1FA0}"/>
    <hyperlink ref="B77" r:id="rId76" display="https://amp.vexpenses.com/settings/membros-de-equipe/896012" xr:uid="{EF88400F-58C9-4758-899F-BD65D0309534}"/>
    <hyperlink ref="B78" r:id="rId77" display="https://amp.vexpenses.com/settings/membros-de-equipe/896014" xr:uid="{06B96FA0-29CD-4CC7-B0DB-0DCA3E382258}"/>
    <hyperlink ref="B79" r:id="rId78" display="https://amp.vexpenses.com/settings/membros-de-equipe/896015" xr:uid="{A856E529-1A4C-439F-9DDC-8E83D23211FB}"/>
    <hyperlink ref="B80" r:id="rId79" display="https://amp.vexpenses.com/settings/membros-de-equipe/930924" xr:uid="{704A1DD5-A296-4819-A680-95D49D31BC8F}"/>
    <hyperlink ref="B81" r:id="rId80" display="https://amp.vexpenses.com/settings/membros-de-equipe/896017" xr:uid="{6A96B165-73AE-42D9-9A5F-0AC0BF3538EC}"/>
    <hyperlink ref="B82" r:id="rId81" display="https://amp.vexpenses.com/settings/membros-de-equipe/917342" xr:uid="{B6F8CC59-CD16-44B5-8E0F-072019C77C19}"/>
    <hyperlink ref="B83" r:id="rId82" display="https://amp.vexpenses.com/settings/membros-de-equipe/896018" xr:uid="{9FE1F8D2-F8B8-4B48-9D7F-2C5CD1E550DC}"/>
    <hyperlink ref="B84" r:id="rId83" display="https://amp.vexpenses.com/settings/membros-de-equipe/896019" xr:uid="{4578A306-2B25-4163-9B81-F71239A7B0BE}"/>
    <hyperlink ref="B85" r:id="rId84" display="https://amp.vexpenses.com/settings/membros-de-equipe/896020" xr:uid="{E9AC9DF6-A31B-42EC-9632-71D08CD7A5F7}"/>
    <hyperlink ref="B86" r:id="rId85" display="https://amp.vexpenses.com/settings/membros-de-equipe/896021" xr:uid="{4D8655E1-815A-4115-A740-98A0795F091E}"/>
    <hyperlink ref="B87" r:id="rId86" display="https://amp.vexpenses.com/settings/membros-de-equipe/915897" xr:uid="{CBAAA2CB-DE0D-47DA-A08F-F65B907D51E9}"/>
    <hyperlink ref="B88" r:id="rId87" display="https://amp.vexpenses.com/settings/membros-de-equipe/896023" xr:uid="{1E74AE16-E06B-4531-A6A7-AE05B5304507}"/>
    <hyperlink ref="B89" r:id="rId88" display="https://amp.vexpenses.com/settings/membros-de-equipe/896024" xr:uid="{2B914165-6A3A-4680-A7BC-1C9C8264D443}"/>
    <hyperlink ref="B90" r:id="rId89" display="https://amp.vexpenses.com/settings/membros-de-equipe/896025" xr:uid="{84D8CF64-D2AD-4229-B56D-7C77781A78D5}"/>
    <hyperlink ref="B91" r:id="rId90" display="https://amp.vexpenses.com/settings/membros-de-equipe/896026" xr:uid="{15001967-B22E-43A1-BF69-F2E7D06483BB}"/>
    <hyperlink ref="B92" r:id="rId91" display="https://amp.vexpenses.com/settings/membros-de-equipe/896027" xr:uid="{31AEE29B-3A7A-452E-9F63-04280AAD8D68}"/>
    <hyperlink ref="B93" r:id="rId92" display="https://amp.vexpenses.com/settings/membros-de-equipe/896028" xr:uid="{17A8A701-2C7E-4E55-B16F-9F3671BCE916}"/>
    <hyperlink ref="B94" r:id="rId93" display="https://amp.vexpenses.com/settings/membros-de-equipe/896029" xr:uid="{961E4969-7C81-4650-8B96-36E4C962A4DC}"/>
    <hyperlink ref="B95" r:id="rId94" display="https://amp.vexpenses.com/settings/membros-de-equipe/896030" xr:uid="{B629B7F8-9698-4FBA-959B-CADB2BEEEAE0}"/>
    <hyperlink ref="B96" r:id="rId95" display="https://amp.vexpenses.com/settings/membros-de-equipe/896031" xr:uid="{88271907-ED04-41D6-BDB7-E5F2F3020871}"/>
    <hyperlink ref="B97" r:id="rId96" display="https://amp.vexpenses.com/settings/membros-de-equipe/896032" xr:uid="{BBA4051E-989B-4D32-B1F6-4A2BAF3BB292}"/>
    <hyperlink ref="B98" r:id="rId97" display="https://amp.vexpenses.com/settings/membros-de-equipe/896033" xr:uid="{360FD1E3-ABDF-43EE-87F2-3F3275B670CF}"/>
    <hyperlink ref="B99" r:id="rId98" display="https://amp.vexpenses.com/settings/membros-de-equipe/930403" xr:uid="{681C702F-0624-416E-B0B2-20ED69902745}"/>
    <hyperlink ref="B100" r:id="rId99" display="https://amp.vexpenses.com/settings/membros-de-equipe/935041" xr:uid="{3FC000A9-13D6-42F3-9526-2135408E08BE}"/>
    <hyperlink ref="B101" r:id="rId100" display="https://amp.vexpenses.com/settings/membros-de-equipe/896034" xr:uid="{D02CB58B-396B-43A0-BD5A-1B7BFFCEC765}"/>
    <hyperlink ref="B102" r:id="rId101" display="https://amp.vexpenses.com/settings/membros-de-equipe/921947" xr:uid="{4275205F-1999-4AD9-AD51-034A084D9703}"/>
    <hyperlink ref="B103" r:id="rId102" display="https://amp.vexpenses.com/settings/membros-de-equipe/896035" xr:uid="{1794CB0B-E562-46DB-BE0C-60356831B436}"/>
    <hyperlink ref="B104" r:id="rId103" display="https://amp.vexpenses.com/settings/membros-de-equipe/896036" xr:uid="{729F8CCC-8F01-44DF-BADC-AA5393AA4AD3}"/>
    <hyperlink ref="B105" r:id="rId104" display="https://amp.vexpenses.com/settings/membros-de-equipe/890792" xr:uid="{D1A4290A-0D12-4E61-83C0-78AACB6AF8BA}"/>
    <hyperlink ref="B106" r:id="rId105" display="https://amp.vexpenses.com/settings/membros-de-equipe/919653" xr:uid="{AEDBBEA1-CEA2-48A5-9B7E-0E32F334C3A5}"/>
    <hyperlink ref="B107" r:id="rId106" display="https://amp.vexpenses.com/settings/membros-de-equipe/896037" xr:uid="{9BDEA1C6-03C9-4BB7-A9B8-E2D4626A2B6F}"/>
    <hyperlink ref="B108" r:id="rId107" display="https://amp.vexpenses.com/settings/membros-de-equipe/917376" xr:uid="{DBDDF636-CE63-472A-9077-948FA65542A8}"/>
    <hyperlink ref="B109" r:id="rId108" display="https://amp.vexpenses.com/settings/membros-de-equipe/930913" xr:uid="{B1534842-95FC-4B2A-B3A0-0BEDD860DA33}"/>
    <hyperlink ref="B110" r:id="rId109" display="https://amp.vexpenses.com/settings/membros-de-equipe/916919" xr:uid="{69FBBD29-36A1-4767-A552-CFC65C7E2F40}"/>
    <hyperlink ref="B111" r:id="rId110" display="https://amp.vexpenses.com/settings/membros-de-equipe/896040" xr:uid="{F1A9E189-333C-440B-8052-70625B346F42}"/>
    <hyperlink ref="B112" r:id="rId111" display="https://amp.vexpenses.com/settings/membros-de-equipe/923635" xr:uid="{5C476895-3D39-465D-BF40-73444CB34942}"/>
    <hyperlink ref="B113" r:id="rId112" display="https://amp.vexpenses.com/settings/membros-de-equipe/896419" xr:uid="{CFB7D97E-4EC2-413F-8657-AE86FB4ACE81}"/>
    <hyperlink ref="B114" r:id="rId113" display="https://amp.vexpenses.com/settings/membros-de-equipe/896041" xr:uid="{B500D20B-1F45-4553-9E5D-9B1BF76C7254}"/>
    <hyperlink ref="B115" r:id="rId114" display="https://amp.vexpenses.com/settings/membros-de-equipe/917060" xr:uid="{4238C154-D4DC-40B6-B3B7-4D4E62F97742}"/>
    <hyperlink ref="B116" r:id="rId115" display="https://amp.vexpenses.com/settings/membros-de-equipe/896043" xr:uid="{368302E2-BA3F-431B-B452-D496C88F9F20}"/>
    <hyperlink ref="B117" r:id="rId116" display="https://amp.vexpenses.com/settings/membros-de-equipe/896044" xr:uid="{84251418-B86E-4DF3-9B72-9D6724DBD9F7}"/>
    <hyperlink ref="B118" r:id="rId117" display="https://amp.vexpenses.com/settings/membros-de-equipe/917345" xr:uid="{9C4B945B-4FCF-4098-B1FA-E78009F825BA}"/>
    <hyperlink ref="B119" r:id="rId118" display="https://amp.vexpenses.com/settings/membros-de-equipe/896045" xr:uid="{FFC4E403-4B92-4D29-8672-C612CE2EFFF1}"/>
    <hyperlink ref="B120" r:id="rId119" display="https://amp.vexpenses.com/settings/membros-de-equipe/896046" xr:uid="{F8CBAE5A-37A1-440C-B3D1-02D0F3F80B8F}"/>
    <hyperlink ref="B121" r:id="rId120" display="https://amp.vexpenses.com/settings/membros-de-equipe/896047" xr:uid="{8EA7A56C-705B-4A7D-8E70-8DBBC5FE29B4}"/>
    <hyperlink ref="B122" r:id="rId121" display="https://amp.vexpenses.com/settings/membros-de-equipe/896048" xr:uid="{E578A050-A96E-40AB-8C84-3A987D55A822}"/>
    <hyperlink ref="B123" r:id="rId122" display="https://amp.vexpenses.com/settings/membros-de-equipe/896049" xr:uid="{3A83D895-424B-4EA9-8712-61296B03BC10}"/>
    <hyperlink ref="B124" r:id="rId123" display="https://amp.vexpenses.com/settings/membros-de-equipe/896050" xr:uid="{B9D96191-23C4-4CB2-A9DC-44A3540B4A31}"/>
    <hyperlink ref="B125" r:id="rId124" display="https://amp.vexpenses.com/settings/membros-de-equipe/896051" xr:uid="{C595F709-859A-401F-BC8C-C2F628F8FA4F}"/>
    <hyperlink ref="B126" r:id="rId125" display="https://amp.vexpenses.com/settings/membros-de-equipe/896052" xr:uid="{51C367A3-F191-4DB7-956F-4EC38D9DEF8D}"/>
    <hyperlink ref="B127" r:id="rId126" display="https://amp.vexpenses.com/settings/membros-de-equipe/896053" xr:uid="{211FAC36-39B8-4C39-BC1B-0E3737377F7C}"/>
    <hyperlink ref="B128" r:id="rId127" display="https://amp.vexpenses.com/settings/membros-de-equipe/896054" xr:uid="{1F39C4D8-2267-43FD-B6CA-602F3390A60B}"/>
    <hyperlink ref="B129" r:id="rId128" display="https://amp.vexpenses.com/settings/membros-de-equipe/896055" xr:uid="{F2C17E2D-2DF6-4AFD-B57F-66CF421092DB}"/>
    <hyperlink ref="B130" r:id="rId129" display="https://amp.vexpenses.com/settings/membros-de-equipe/896057" xr:uid="{43AF1CDF-2E85-4F6D-89E6-337814E7D5BE}"/>
    <hyperlink ref="B131" r:id="rId130" display="https://amp.vexpenses.com/settings/membros-de-equipe/896058" xr:uid="{9C555D4B-E646-415D-ADBA-5F8EF355FD87}"/>
    <hyperlink ref="B132" r:id="rId131" display="https://amp.vexpenses.com/settings/membros-de-equipe/896059" xr:uid="{FA07428D-B429-45B6-ACEC-D5870C618FA2}"/>
    <hyperlink ref="B133" r:id="rId132" display="https://amp.vexpenses.com/settings/membros-de-equipe/896060" xr:uid="{43127653-1E59-4299-B154-1B40A97EAF70}"/>
    <hyperlink ref="B134" r:id="rId133" display="https://amp.vexpenses.com/settings/membros-de-equipe/896061" xr:uid="{69142A0C-4030-4E96-8B9B-CFD09D2B08E7}"/>
    <hyperlink ref="B135" r:id="rId134" display="https://amp.vexpenses.com/settings/membros-de-equipe/896062" xr:uid="{B054120D-7D30-4D6B-84F4-BADBC1254414}"/>
    <hyperlink ref="B136" r:id="rId135" display="https://amp.vexpenses.com/settings/membros-de-equipe/927175" xr:uid="{51AFB4F0-2A86-4A1B-9A39-7588E649FDD1}"/>
    <hyperlink ref="B137" r:id="rId136" display="https://amp.vexpenses.com/settings/membros-de-equipe/896063" xr:uid="{68F3D8A7-9867-4CAE-8642-8E40361DDCE5}"/>
    <hyperlink ref="B138" r:id="rId137" display="https://amp.vexpenses.com/settings/membros-de-equipe/896064" xr:uid="{71781637-444C-4FED-90BD-5546934BCB23}"/>
    <hyperlink ref="B139" r:id="rId138" display="https://amp.vexpenses.com/settings/membros-de-equipe/920852" xr:uid="{5B6B483B-EC39-49EF-A282-CF8FB5337E09}"/>
    <hyperlink ref="B140" r:id="rId139" display="https://amp.vexpenses.com/settings/membros-de-equipe/896065" xr:uid="{A309444A-2244-480E-A2A9-8C117470177A}"/>
    <hyperlink ref="B141" r:id="rId140" display="https://amp.vexpenses.com/settings/membros-de-equipe/896066" xr:uid="{523F4701-34C8-43A1-A5CC-8868C93C6864}"/>
    <hyperlink ref="B142" r:id="rId141" display="https://amp.vexpenses.com/settings/membros-de-equipe/896067" xr:uid="{C733A9F9-043B-4471-9C04-0C34634F58AC}"/>
    <hyperlink ref="B143" r:id="rId142" display="https://amp.vexpenses.com/settings/membros-de-equipe/896068" xr:uid="{05F62FDE-1C5B-47C0-9ED5-F180DF4988AA}"/>
    <hyperlink ref="B144" r:id="rId143" display="https://amp.vexpenses.com/settings/membros-de-equipe/896069" xr:uid="{A1ABE54C-CA38-4982-AB26-656801A5AF93}"/>
    <hyperlink ref="B145" r:id="rId144" display="https://amp.vexpenses.com/settings/membros-de-equipe/930406" xr:uid="{CE4EF6A3-E8BA-465D-81BB-18B4A12AE939}"/>
    <hyperlink ref="B146" r:id="rId145" display="https://amp.vexpenses.com/settings/membros-de-equipe/896070" xr:uid="{77766DD4-EB80-44AE-B839-7E32B1B75FE1}"/>
    <hyperlink ref="B147" r:id="rId146" display="https://amp.vexpenses.com/settings/membros-de-equipe/896071" xr:uid="{AF7503D1-0402-4E85-979D-D99F05996F52}"/>
    <hyperlink ref="B148" r:id="rId147" display="https://amp.vexpenses.com/settings/membros-de-equipe/896072" xr:uid="{1EE00A86-4564-4AC8-BF64-5881D62D293C}"/>
    <hyperlink ref="B149" r:id="rId148" display="https://amp.vexpenses.com/settings/membros-de-equipe/896073" xr:uid="{D7767092-AC3B-4BC9-9739-79FA19278682}"/>
    <hyperlink ref="B150" r:id="rId149" display="https://amp.vexpenses.com/settings/membros-de-equipe/896074" xr:uid="{BE9A3EB0-6638-4E70-A80F-E40D3004E1C2}"/>
    <hyperlink ref="B151" r:id="rId150" display="https://amp.vexpenses.com/settings/membros-de-equipe/896075" xr:uid="{CC46CF6A-0861-4DB8-A594-9A9358C7B16E}"/>
    <hyperlink ref="B152" r:id="rId151" display="https://amp.vexpenses.com/settings/membros-de-equipe/915374" xr:uid="{E2F7DE87-19B0-4CCE-A0C6-2A3342511AAF}"/>
    <hyperlink ref="B153" r:id="rId152" display="https://amp.vexpenses.com/settings/membros-de-equipe/896076" xr:uid="{D0DD7D66-9C63-487B-945E-09FEA16AF20A}"/>
    <hyperlink ref="B154" r:id="rId153" display="https://amp.vexpenses.com/settings/membros-de-equipe/920845" xr:uid="{A58F6A82-ABB6-4457-B9AD-5E3B8AB7FB12}"/>
    <hyperlink ref="B155" r:id="rId154" display="https://amp.vexpenses.com/settings/membros-de-equipe/896077" xr:uid="{E90F219A-5CEB-4B63-AB37-3449B65EB7C0}"/>
    <hyperlink ref="B156" r:id="rId155" display="https://amp.vexpenses.com/settings/membros-de-equipe/946535" xr:uid="{A25B6B8E-C173-4860-A184-22E9F18983B4}"/>
    <hyperlink ref="B157" r:id="rId156" display="https://amp.vexpenses.com/settings/membros-de-equipe/896079" xr:uid="{3AB2B398-BFC8-4538-A20B-C052B6AFC139}"/>
    <hyperlink ref="B158" r:id="rId157" display="https://amp.vexpenses.com/settings/membros-de-equipe/922738" xr:uid="{22D75852-85FF-49BE-9F3D-A7B776D1CA92}"/>
    <hyperlink ref="B159" r:id="rId158" display="https://amp.vexpenses.com/settings/membros-de-equipe/896080" xr:uid="{C2E24B66-B952-40C8-BF5C-BD4F92ED9D29}"/>
    <hyperlink ref="B160" r:id="rId159" display="https://amp.vexpenses.com/settings/membros-de-equipe/896081" xr:uid="{090FC5FF-15FC-40D9-8EE1-82BC018180D8}"/>
    <hyperlink ref="B161" r:id="rId160" display="https://amp.vexpenses.com/settings/membros-de-equipe/923631" xr:uid="{F7B4F559-385B-487D-A372-B3E24553776A}"/>
    <hyperlink ref="B162" r:id="rId161" display="https://amp.vexpenses.com/settings/membros-de-equipe/920872" xr:uid="{66655339-8A64-4DA6-B1E0-EEDEEEB39227}"/>
    <hyperlink ref="B163" r:id="rId162" display="https://amp.vexpenses.com/settings/membros-de-equipe/896082" xr:uid="{DA9FE3B0-086D-4FF8-A2CC-F122255188B7}"/>
    <hyperlink ref="B164" r:id="rId163" display="https://amp.vexpenses.com/settings/membros-de-equipe/896083" xr:uid="{2C93AB9D-45B9-4A00-918D-206C36F6AFDC}"/>
    <hyperlink ref="B165" r:id="rId164" display="https://amp.vexpenses.com/settings/membros-de-equipe/930420" xr:uid="{6D9B3869-FDAA-4FC4-9636-E89D9014C95A}"/>
    <hyperlink ref="B166" r:id="rId165" display="https://amp.vexpenses.com/settings/membros-de-equipe/896084" xr:uid="{E8682A4E-D12B-4F0F-A3E9-8A994B9B993F}"/>
    <hyperlink ref="B167" r:id="rId166" display="https://amp.vexpenses.com/settings/membros-de-equipe/896085" xr:uid="{0557A6BF-963F-4EA7-B7D4-7D704B5EAF8A}"/>
    <hyperlink ref="B168" r:id="rId167" display="https://amp.vexpenses.com/settings/membros-de-equipe/896086" xr:uid="{19BBB96F-AC42-41D1-AE01-582B7A4381FE}"/>
    <hyperlink ref="B169" r:id="rId168" display="https://amp.vexpenses.com/settings/membros-de-equipe/946138" xr:uid="{92EACA77-E241-4007-9D58-3727D374AC25}"/>
    <hyperlink ref="B170" r:id="rId169" display="https://amp.vexpenses.com/settings/membros-de-equipe/896087" xr:uid="{FB86DC70-4495-4A5B-9879-A8C0A106B68C}"/>
    <hyperlink ref="B171" r:id="rId170" display="https://amp.vexpenses.com/settings/membros-de-equipe/896088" xr:uid="{1F155D6B-2E95-4181-A9D0-1EE96218E564}"/>
    <hyperlink ref="B172" r:id="rId171" display="https://amp.vexpenses.com/settings/membros-de-equipe/896089" xr:uid="{F7425377-D973-4F57-9182-7774B4FE9216}"/>
    <hyperlink ref="B173" r:id="rId172" display="https://amp.vexpenses.com/settings/membros-de-equipe/896090" xr:uid="{802F3475-873D-49AC-A226-BAFC0D10E497}"/>
    <hyperlink ref="B174" r:id="rId173" display="https://amp.vexpenses.com/settings/membros-de-equipe/896420" xr:uid="{D9DFAEAF-9A0D-4CED-B129-689D0F1DFDBB}"/>
    <hyperlink ref="B175" r:id="rId174" display="https://amp.vexpenses.com/settings/membros-de-equipe/944251" xr:uid="{E82B4A45-6217-48A4-9484-427C8246ED74}"/>
    <hyperlink ref="B176" r:id="rId175" display="https://amp.vexpenses.com/settings/membros-de-equipe/917078" xr:uid="{36670B5C-DD5A-4122-9039-F92A886F4714}"/>
    <hyperlink ref="B177" r:id="rId176" display="https://amp.vexpenses.com/settings/membros-de-equipe/896091" xr:uid="{8D6FC5B4-62D0-4B5F-97D1-875254C85ABD}"/>
    <hyperlink ref="B178" r:id="rId177" display="https://amp.vexpenses.com/settings/membros-de-equipe/896092" xr:uid="{2812A42B-88E0-4E9C-88D2-DA8451FAAE09}"/>
    <hyperlink ref="B179" r:id="rId178" display="https://amp.vexpenses.com/settings/membros-de-equipe/896093" xr:uid="{D1352394-4697-4338-82F8-F035A5D4764C}"/>
    <hyperlink ref="B180" r:id="rId179" display="https://amp.vexpenses.com/settings/membros-de-equipe/896094" xr:uid="{B63FA05B-E774-4590-A2EA-411549B9E829}"/>
    <hyperlink ref="B181" r:id="rId180" display="https://amp.vexpenses.com/settings/membros-de-equipe/896095" xr:uid="{19DD423D-68DE-4435-BDAC-653F76F01FB4}"/>
    <hyperlink ref="B182" r:id="rId181" display="https://amp.vexpenses.com/settings/membros-de-equipe/896096" xr:uid="{6EC5AA26-024C-4543-9474-DF91212921BA}"/>
    <hyperlink ref="B183" r:id="rId182" display="https://amp.vexpenses.com/settings/membros-de-equipe/940437" xr:uid="{9663B352-D043-4553-AB5B-61C5E1D5F87F}"/>
    <hyperlink ref="B184" r:id="rId183" display="https://amp.vexpenses.com/settings/membros-de-equipe/896099" xr:uid="{A183F39E-BEDE-4EC2-B6FB-FFAED615AD35}"/>
    <hyperlink ref="B185" r:id="rId184" display="https://amp.vexpenses.com/settings/membros-de-equipe/896101" xr:uid="{972C91C9-CA27-47A0-BE6B-C642CC803696}"/>
    <hyperlink ref="B186" r:id="rId185" display="https://amp.vexpenses.com/settings/membros-de-equipe/896102" xr:uid="{352F21D8-1D7C-4D2A-8FEB-1528EA7926EA}"/>
    <hyperlink ref="B187" r:id="rId186" display="https://amp.vexpenses.com/settings/membros-de-equipe/896103" xr:uid="{D483A796-BBC3-4E2F-A157-3A97947A97B9}"/>
    <hyperlink ref="B188" r:id="rId187" display="https://amp.vexpenses.com/settings/membros-de-equipe/896104" xr:uid="{87A8C388-696B-49AA-B573-F5F3DE7B57F6}"/>
    <hyperlink ref="B189" r:id="rId188" display="https://amp.vexpenses.com/settings/membros-de-equipe/896105" xr:uid="{A97CD943-6913-49B1-8D43-50214DA76304}"/>
    <hyperlink ref="B190" r:id="rId189" display="https://amp.vexpenses.com/settings/membros-de-equipe/896106" xr:uid="{D65172D8-B495-44DD-8E9C-CAB3DB542197}"/>
    <hyperlink ref="B191" r:id="rId190" display="https://amp.vexpenses.com/settings/membros-de-equipe/896107" xr:uid="{5C7EA1E5-EEFA-4CAA-BA72-30EE4982FF33}"/>
    <hyperlink ref="B192" r:id="rId191" display="https://amp.vexpenses.com/settings/membros-de-equipe/917075" xr:uid="{D6F4CEC3-8C30-4324-82DE-9CD7EB303BFC}"/>
    <hyperlink ref="B193" r:id="rId192" display="https://amp.vexpenses.com/settings/membros-de-equipe/896109" xr:uid="{66C97E27-D000-4AFB-BA27-E01EE1ED6713}"/>
    <hyperlink ref="B194" r:id="rId193" display="https://amp.vexpenses.com/settings/membros-de-equipe/917058" xr:uid="{992AB65E-28B2-4B9E-9770-AB76262FA733}"/>
    <hyperlink ref="B195" r:id="rId194" display="https://amp.vexpenses.com/settings/membros-de-equipe/896111" xr:uid="{8860555B-96C5-4FC9-93D6-E5F15B6F5BF9}"/>
    <hyperlink ref="B196" r:id="rId195" display="https://amp.vexpenses.com/settings/membros-de-equipe/927567" xr:uid="{E42A9403-1173-4E26-819A-D12983DB993C}"/>
    <hyperlink ref="B197" r:id="rId196" display="https://amp.vexpenses.com/settings/membros-de-equipe/896112" xr:uid="{4663790A-D47B-46B0-878D-ECCCB19E26A9}"/>
    <hyperlink ref="B198" r:id="rId197" display="https://amp.vexpenses.com/settings/membros-de-equipe/896113" xr:uid="{E2477E73-DF8E-42A0-BB9C-FCB73C72A711}"/>
    <hyperlink ref="B199" r:id="rId198" display="https://amp.vexpenses.com/settings/membros-de-equipe/930400" xr:uid="{EE219E73-F40B-400E-AB86-D8EB9E74C6F3}"/>
    <hyperlink ref="B200" r:id="rId199" display="https://amp.vexpenses.com/settings/membros-de-equipe/896115" xr:uid="{08639FDB-7A26-4273-9342-4CD9758B8B86}"/>
    <hyperlink ref="B201" r:id="rId200" display="https://amp.vexpenses.com/settings/membros-de-equipe/896116" xr:uid="{608946F7-7BF1-470B-9438-935E55074671}"/>
    <hyperlink ref="B202" r:id="rId201" display="https://amp.vexpenses.com/settings/membros-de-equipe/896117" xr:uid="{E3B6E31F-CFEF-455D-B8F6-DD26B46B64B7}"/>
    <hyperlink ref="B203" r:id="rId202" display="https://amp.vexpenses.com/settings/membros-de-equipe/896421" xr:uid="{1F9AA0B4-A496-419F-8DEB-00E59E05BC11}"/>
    <hyperlink ref="B204" r:id="rId203" display="https://amp.vexpenses.com/settings/membros-de-equipe/896118" xr:uid="{4B624D38-EB77-43DC-9CF7-25FF177E3400}"/>
    <hyperlink ref="B205" r:id="rId204" display="https://amp.vexpenses.com/settings/membros-de-equipe/896119" xr:uid="{FBE350E6-2475-44CD-A216-758B832FC708}"/>
    <hyperlink ref="B206" r:id="rId205" display="https://amp.vexpenses.com/settings/membros-de-equipe/929756" xr:uid="{799BE2C9-6C71-4745-892E-D1541916643E}"/>
    <hyperlink ref="B207" r:id="rId206" display="https://amp.vexpenses.com/settings/membros-de-equipe/896120" xr:uid="{89C5FBAB-4E83-433C-9D69-2DFFE7CF422F}"/>
    <hyperlink ref="B208" r:id="rId207" display="https://amp.vexpenses.com/settings/membros-de-equipe/896121" xr:uid="{5974EF01-1AA8-433A-8A7B-5EB348CF6804}"/>
    <hyperlink ref="B209" r:id="rId208" display="https://amp.vexpenses.com/settings/membros-de-equipe/916905" xr:uid="{C8795B4B-1520-4ADC-A3F4-10728D22572C}"/>
    <hyperlink ref="B210" r:id="rId209" display="https://amp.vexpenses.com/settings/membros-de-equipe/896122" xr:uid="{5687A05A-C4DC-47F1-A08E-2FBCAF20F0D8}"/>
    <hyperlink ref="B211" r:id="rId210" display="https://amp.vexpenses.com/settings/membros-de-equipe/929761" xr:uid="{EC3FA70A-F95D-437A-B00B-7D19D5DE78E1}"/>
    <hyperlink ref="B212" r:id="rId211" display="https://amp.vexpenses.com/settings/membros-de-equipe/896123" xr:uid="{AA2662C2-8426-484B-91F8-7F724D64897A}"/>
    <hyperlink ref="B213" r:id="rId212" display="https://amp.vexpenses.com/settings/membros-de-equipe/896124" xr:uid="{C8220C7B-C0FA-4CB1-B947-FA86D73AE64F}"/>
    <hyperlink ref="B214" r:id="rId213" display="https://amp.vexpenses.com/settings/membros-de-equipe/896125" xr:uid="{F80D1CE9-C199-4685-ABF6-8A59D41EE36C}"/>
    <hyperlink ref="B215" r:id="rId214" display="https://amp.vexpenses.com/settings/membros-de-equipe/916374" xr:uid="{B589357A-9A97-4F84-81FB-8B648ED1D136}"/>
    <hyperlink ref="B216" r:id="rId215" display="https://amp.vexpenses.com/settings/membros-de-equipe/896127" xr:uid="{F2C52072-84EA-4D46-BF22-F90167D44621}"/>
    <hyperlink ref="B217" r:id="rId216" display="https://amp.vexpenses.com/settings/membros-de-equipe/896128" xr:uid="{02D3C763-29D9-4C3D-B233-2152731E4715}"/>
    <hyperlink ref="B218" r:id="rId217" display="https://amp.vexpenses.com/settings/membros-de-equipe/896129" xr:uid="{6D89B945-272F-4B63-92D7-272831D25D15}"/>
    <hyperlink ref="B219" r:id="rId218" display="https://amp.vexpenses.com/settings/membros-de-equipe/896131" xr:uid="{F9C186E7-D67D-4F88-AA47-9A4598DB486D}"/>
    <hyperlink ref="B220" r:id="rId219" display="https://amp.vexpenses.com/settings/membros-de-equipe/896132" xr:uid="{CBA4CD7C-05A2-494F-9A07-C2860DDC8258}"/>
    <hyperlink ref="B221" r:id="rId220" display="https://amp.vexpenses.com/settings/membros-de-equipe/917353" xr:uid="{E8879D99-58DC-4B74-878A-85BE778581D9}"/>
    <hyperlink ref="B222" r:id="rId221" display="https://amp.vexpenses.com/settings/membros-de-equipe/896133" xr:uid="{2FC57D76-E462-47EA-BAA3-1B6F17C7AE1E}"/>
    <hyperlink ref="B223" r:id="rId222" display="https://amp.vexpenses.com/settings/membros-de-equipe/922784" xr:uid="{23670754-23E9-4DFA-BE0A-CBA131641906}"/>
    <hyperlink ref="B224" r:id="rId223" display="https://amp.vexpenses.com/settings/membros-de-equipe/916921" xr:uid="{67C107B3-82FC-474A-87E3-76E2C17E10EF}"/>
    <hyperlink ref="B225" r:id="rId224" display="https://amp.vexpenses.com/settings/membros-de-equipe/896135" xr:uid="{204A8B62-D7F4-4608-AB1B-8DBFED09AF6B}"/>
    <hyperlink ref="B226" r:id="rId225" display="https://amp.vexpenses.com/settings/membros-de-equipe/896136" xr:uid="{197C8FAB-428C-40BE-9D8E-A230C6343B8E}"/>
    <hyperlink ref="B227" r:id="rId226" display="https://amp.vexpenses.com/settings/membros-de-equipe/896137" xr:uid="{4E64DAD1-F021-44FA-B4A4-F8C07190F4D1}"/>
    <hyperlink ref="B228" r:id="rId227" display="https://amp.vexpenses.com/settings/membros-de-equipe/896138" xr:uid="{E1CD3B4E-1F0E-4F59-8F49-22398AEDDD91}"/>
    <hyperlink ref="B229" r:id="rId228" display="https://amp.vexpenses.com/settings/membros-de-equipe/896140" xr:uid="{8A520715-19C9-42CD-B2FB-21532DFB5226}"/>
    <hyperlink ref="B230" r:id="rId229" display="https://amp.vexpenses.com/settings/membros-de-equipe/896141" xr:uid="{9A785750-40CB-47AD-9E01-280A4D90491D}"/>
    <hyperlink ref="B231" r:id="rId230" display="https://amp.vexpenses.com/settings/membros-de-equipe/896142" xr:uid="{440B1F6A-71CA-4EB8-A856-BC415126855A}"/>
    <hyperlink ref="B232" r:id="rId231" display="https://amp.vexpenses.com/settings/membros-de-equipe/896143" xr:uid="{F357DF7D-BDAC-41DF-BFBE-2A3ECF059335}"/>
    <hyperlink ref="B233" r:id="rId232" display="https://amp.vexpenses.com/settings/membros-de-equipe/923893" xr:uid="{8B01B85A-1927-4994-BF9F-334DFF5F485C}"/>
    <hyperlink ref="B234" r:id="rId233" display="https://amp.vexpenses.com/settings/membros-de-equipe/896144" xr:uid="{A4053C7A-FEF7-4A10-BD61-44539171FF04}"/>
    <hyperlink ref="B235" r:id="rId234" display="https://amp.vexpenses.com/settings/membros-de-equipe/896145" xr:uid="{A835335B-CDFC-4E6C-BEA3-CA6462903370}"/>
    <hyperlink ref="B236" r:id="rId235" display="https://amp.vexpenses.com/settings/membros-de-equipe/896147" xr:uid="{64C6DB4F-F2FE-4A15-9E40-F93967E288EB}"/>
    <hyperlink ref="B237" r:id="rId236" display="https://amp.vexpenses.com/settings/membros-de-equipe/896148" xr:uid="{93B21686-E03D-43B6-B8BF-A9A094B47727}"/>
    <hyperlink ref="B238" r:id="rId237" display="https://amp.vexpenses.com/settings/membros-de-equipe/896149" xr:uid="{16FDD7FB-978F-46F8-9344-A22B36BA6702}"/>
    <hyperlink ref="B239" r:id="rId238" display="https://amp.vexpenses.com/settings/membros-de-equipe/896150" xr:uid="{97679BCF-AA66-49A2-A348-E92A3AA14458}"/>
    <hyperlink ref="B240" r:id="rId239" display="https://amp.vexpenses.com/settings/membros-de-equipe/923651" xr:uid="{B893F0E7-BB81-4B1F-8491-2C59A6227260}"/>
    <hyperlink ref="B241" r:id="rId240" display="https://amp.vexpenses.com/settings/membros-de-equipe/896151" xr:uid="{947758D1-7898-4260-95E5-B252E603EFA3}"/>
    <hyperlink ref="B242" r:id="rId241" display="https://amp.vexpenses.com/settings/membros-de-equipe/896152" xr:uid="{130B3DF1-8B0B-41C2-88D1-0B891F6E74B8}"/>
    <hyperlink ref="B243" r:id="rId242" display="https://amp.vexpenses.com/settings/membros-de-equipe/896153" xr:uid="{49F5771B-2D14-4C1F-AED3-5C0F05E57598}"/>
    <hyperlink ref="B244" r:id="rId243" display="https://amp.vexpenses.com/settings/membros-de-equipe/896154" xr:uid="{C7C470C0-CFE6-4161-B0CC-EC475FA81EAB}"/>
    <hyperlink ref="B245" r:id="rId244" display="https://amp.vexpenses.com/settings/membros-de-equipe/896156" xr:uid="{8A18653F-D0C3-4A3C-8CDC-10909C6C4A17}"/>
    <hyperlink ref="B246" r:id="rId245" display="https://amp.vexpenses.com/settings/membros-de-equipe/896157" xr:uid="{97B658EF-39A3-4563-A785-56229CDAD071}"/>
    <hyperlink ref="B247" r:id="rId246" display="https://amp.vexpenses.com/settings/membros-de-equipe/896158" xr:uid="{E74AD3F1-92DC-4448-A4CF-C36B320E942C}"/>
    <hyperlink ref="B248" r:id="rId247" display="https://amp.vexpenses.com/settings/membros-de-equipe/931414" xr:uid="{10093878-B2FD-4E6C-8481-D5F25AA4E51C}"/>
    <hyperlink ref="B249" r:id="rId248" display="https://amp.vexpenses.com/settings/membros-de-equipe/896159" xr:uid="{589F5173-3714-41B8-AB16-1328E29ED939}"/>
    <hyperlink ref="B250" r:id="rId249" display="https://amp.vexpenses.com/settings/membros-de-equipe/896160" xr:uid="{E8E671DE-11B5-45CD-920A-EBC36185746B}"/>
    <hyperlink ref="B251" r:id="rId250" display="https://amp.vexpenses.com/settings/membros-de-equipe/930413" xr:uid="{478B9975-C1C9-4CA5-A1A8-612440F1F5DC}"/>
    <hyperlink ref="B252" r:id="rId251" display="https://amp.vexpenses.com/settings/membros-de-equipe/896161" xr:uid="{85BF90CD-CA6B-4ECD-B763-118AE757AA11}"/>
    <hyperlink ref="B253" r:id="rId252" display="https://amp.vexpenses.com/settings/membros-de-equipe/896162" xr:uid="{159A9F30-7DF4-474F-B5A5-F64EC4AB6BA3}"/>
    <hyperlink ref="B254" r:id="rId253" display="https://amp.vexpenses.com/settings/membros-de-equipe/896163" xr:uid="{83E570E6-32F8-4986-BF37-7F94DB9EEC8D}"/>
    <hyperlink ref="B255" r:id="rId254" display="https://amp.vexpenses.com/settings/membros-de-equipe/916884" xr:uid="{3FBD5BAF-F8E6-4889-9B05-BD59BE4F64C5}"/>
    <hyperlink ref="B256" r:id="rId255" display="https://amp.vexpenses.com/settings/membros-de-equipe/896164" xr:uid="{2CE99B5B-6307-4C1C-8BC1-7DFAF19C6F45}"/>
    <hyperlink ref="B257" r:id="rId256" display="https://amp.vexpenses.com/settings/membros-de-equipe/896165" xr:uid="{D8C27BDE-D3F2-4E4A-BCFA-F309B50816A2}"/>
    <hyperlink ref="B258" r:id="rId257" display="https://amp.vexpenses.com/settings/membros-de-equipe/896166" xr:uid="{556DA912-6F75-4ECE-AD18-945BDAEF9600}"/>
    <hyperlink ref="B259" r:id="rId258" display="https://amp.vexpenses.com/settings/membros-de-equipe/921956" xr:uid="{19B2EC30-7C5B-40FE-B15D-3235065116FF}"/>
    <hyperlink ref="B260" r:id="rId259" display="https://amp.vexpenses.com/settings/membros-de-equipe/896168" xr:uid="{4A66699A-D18B-475C-9FD6-6C64D4DC7FDD}"/>
    <hyperlink ref="B261" r:id="rId260" display="https://amp.vexpenses.com/settings/membros-de-equipe/896170" xr:uid="{A0AFA2CD-9A4D-4AA6-909F-045F55D941D5}"/>
    <hyperlink ref="B262" r:id="rId261" display="https://amp.vexpenses.com/settings/membros-de-equipe/896171" xr:uid="{6E250D53-A2D3-4E8D-894A-CF0CFF0CE38E}"/>
    <hyperlink ref="B263" r:id="rId262" display="https://amp.vexpenses.com/settings/membros-de-equipe/896172" xr:uid="{F63C4375-A802-4664-B571-2F83ABEA1055}"/>
    <hyperlink ref="B264" r:id="rId263" display="https://amp.vexpenses.com/settings/membros-de-equipe/896173" xr:uid="{65884972-B6B8-4708-A96F-05870AF06CBB}"/>
    <hyperlink ref="B265" r:id="rId264" display="https://amp.vexpenses.com/settings/membros-de-equipe/896174" xr:uid="{6B2B58D2-F51B-4C5B-B13E-AD7728AC4F93}"/>
    <hyperlink ref="B266" r:id="rId265" display="https://amp.vexpenses.com/settings/membros-de-equipe/916893" xr:uid="{B2E8319C-8B21-4CD7-BEEE-7C1465DE8CD8}"/>
    <hyperlink ref="B267" r:id="rId266" display="https://amp.vexpenses.com/settings/membros-de-equipe/896175" xr:uid="{57258641-83B3-4BF7-A4B6-E2D4D2D64FEF}"/>
    <hyperlink ref="B268" r:id="rId267" display="https://amp.vexpenses.com/settings/membros-de-equipe/896176" xr:uid="{567817C5-2F51-48EE-86EE-D96402E05A96}"/>
    <hyperlink ref="B269" r:id="rId268" display="https://amp.vexpenses.com/settings/membros-de-equipe/896177" xr:uid="{26957553-D0A5-4EAA-A456-07BB129986C2}"/>
    <hyperlink ref="B270" r:id="rId269" display="https://amp.vexpenses.com/settings/membros-de-equipe/896178" xr:uid="{86224126-DC6E-4AB4-BBC2-C2643F486CA2}"/>
    <hyperlink ref="B271" r:id="rId270" display="https://amp.vexpenses.com/settings/membros-de-equipe/896179" xr:uid="{37597BF6-E70C-4A35-95EC-70BEA2EB43F8}"/>
    <hyperlink ref="B272" r:id="rId271" display="https://amp.vexpenses.com/settings/membros-de-equipe/896180" xr:uid="{2050E21E-6104-46E6-BB6F-67800A1ACC14}"/>
    <hyperlink ref="B273" r:id="rId272" display="https://amp.vexpenses.com/settings/membros-de-equipe/896181" xr:uid="{F0F322F0-B4D2-4C3B-B615-A9FDAA39ABE9}"/>
    <hyperlink ref="B274" r:id="rId273" display="https://amp.vexpenses.com/settings/membros-de-equipe/896182" xr:uid="{50D74F1D-9D8C-45F3-83A6-15D4577010DC}"/>
    <hyperlink ref="B275" r:id="rId274" display="https://amp.vexpenses.com/settings/membros-de-equipe/896183" xr:uid="{A7ABE1F3-B7FB-4A3E-A56D-6B7DE53DF636}"/>
    <hyperlink ref="B276" r:id="rId275" display="https://amp.vexpenses.com/settings/membros-de-equipe/896184" xr:uid="{31DB2B18-381D-4818-B53C-D710DEBCA97C}"/>
    <hyperlink ref="B277" r:id="rId276" display="https://amp.vexpenses.com/settings/membros-de-equipe/921535" xr:uid="{D37B6F75-8158-493B-BEE6-6D833652E6E6}"/>
    <hyperlink ref="B278" r:id="rId277" display="https://amp.vexpenses.com/settings/membros-de-equipe/896185" xr:uid="{F6C74D8E-6442-48D6-8878-8892C4E446E5}"/>
    <hyperlink ref="B279" r:id="rId278" display="https://amp.vexpenses.com/settings/membros-de-equipe/896186" xr:uid="{A6BD4891-A355-4B9D-BA85-4818575A663D}"/>
    <hyperlink ref="B280" r:id="rId279" display="https://amp.vexpenses.com/settings/membros-de-equipe/896187" xr:uid="{134490EF-1BCE-416E-A5B8-AC3A98D79696}"/>
    <hyperlink ref="B281" r:id="rId280" display="https://amp.vexpenses.com/settings/membros-de-equipe/896188" xr:uid="{B6878CF4-BFC4-4AE0-9EFE-E1560713DE29}"/>
    <hyperlink ref="B282" r:id="rId281" display="https://amp.vexpenses.com/settings/membros-de-equipe/896189" xr:uid="{CEC8C034-A2F8-4776-8A8E-CF9E03AC4616}"/>
    <hyperlink ref="B283" r:id="rId282" display="https://amp.vexpenses.com/settings/membros-de-equipe/896191" xr:uid="{28F979F3-472A-4099-92AB-E297F533D5A5}"/>
    <hyperlink ref="B284" r:id="rId283" display="https://amp.vexpenses.com/settings/membros-de-equipe/896192" xr:uid="{3F76D3E1-B1CA-40C7-A265-1DD96AF3606D}"/>
    <hyperlink ref="B285" r:id="rId284" display="https://amp.vexpenses.com/settings/membros-de-equipe/896193" xr:uid="{7936D102-B2FF-4175-9BB8-FD256C4528B3}"/>
    <hyperlink ref="B286" r:id="rId285" display="https://amp.vexpenses.com/settings/membros-de-equipe/896195" xr:uid="{31C9DF17-A789-4DCF-BF4C-01BA6568A5AC}"/>
    <hyperlink ref="B287" r:id="rId286" display="https://amp.vexpenses.com/settings/membros-de-equipe/896196" xr:uid="{4FB6E413-EADD-4C3E-8755-F73B80203B21}"/>
    <hyperlink ref="B288" r:id="rId287" display="https://amp.vexpenses.com/settings/membros-de-equipe/896197" xr:uid="{1140C043-91B7-43B1-B06D-74607041C891}"/>
    <hyperlink ref="B289" r:id="rId288" display="https://amp.vexpenses.com/settings/membros-de-equipe/896198" xr:uid="{22FC8D94-AEE8-47C5-8906-7118408A4530}"/>
    <hyperlink ref="B290" r:id="rId289" display="https://amp.vexpenses.com/settings/membros-de-equipe/896199" xr:uid="{94A41D72-0749-48E3-9BA0-558DCC0F0AA6}"/>
    <hyperlink ref="B291" r:id="rId290" display="https://amp.vexpenses.com/settings/membros-de-equipe/896200" xr:uid="{950BA4AD-936A-47E1-985D-C46DB1C0A9F9}"/>
    <hyperlink ref="B292" r:id="rId291" display="https://amp.vexpenses.com/settings/membros-de-equipe/896201" xr:uid="{EE80C645-B635-4DE4-81B0-50833A265D03}"/>
    <hyperlink ref="B293" r:id="rId292" display="https://amp.vexpenses.com/settings/membros-de-equipe/896202" xr:uid="{91280F98-18AB-4736-89F2-4EE3A3448096}"/>
    <hyperlink ref="B294" r:id="rId293" display="https://amp.vexpenses.com/settings/membros-de-equipe/896203" xr:uid="{0FA4CD31-5AE9-40F9-8964-04B067C62647}"/>
    <hyperlink ref="B295" r:id="rId294" display="https://amp.vexpenses.com/settings/membros-de-equipe/896204" xr:uid="{8966BE55-6B36-4BEF-9DE1-453D3A8629DE}"/>
    <hyperlink ref="B296" r:id="rId295" display="https://amp.vexpenses.com/settings/membros-de-equipe/896422" xr:uid="{862FD742-C65B-41A1-8C8C-64FC7ACC65A9}"/>
    <hyperlink ref="B297" r:id="rId296" display="https://amp.vexpenses.com/settings/membros-de-equipe/923628" xr:uid="{07E5EACB-F40A-4032-B8E1-A5CFD12B5809}"/>
    <hyperlink ref="B298" r:id="rId297" display="https://amp.vexpenses.com/settings/membros-de-equipe/896205" xr:uid="{54420C13-3CAB-4ADF-901A-464100ACC042}"/>
    <hyperlink ref="B299" r:id="rId298" display="https://amp.vexpenses.com/settings/membros-de-equipe/921952" xr:uid="{9A3D3623-5CD8-470C-A7C8-19B5DDDB9405}"/>
    <hyperlink ref="B300" r:id="rId299" display="https://amp.vexpenses.com/settings/membros-de-equipe/896206" xr:uid="{EEA440C2-1BF3-4104-AE09-E9B3FBC7C986}"/>
    <hyperlink ref="B301" r:id="rId300" display="https://amp.vexpenses.com/settings/membros-de-equipe/896207" xr:uid="{C48D6F80-B054-491E-9182-1DE5F9ABF500}"/>
    <hyperlink ref="B302" r:id="rId301" display="https://amp.vexpenses.com/settings/membros-de-equipe/916936" xr:uid="{A89AB5BB-564D-4842-97F0-CF4A3C883738}"/>
    <hyperlink ref="B303" r:id="rId302" display="https://amp.vexpenses.com/settings/membros-de-equipe/896208" xr:uid="{0EBA1BAF-60DE-4277-B6CC-2CD9119DB9F7}"/>
    <hyperlink ref="B304" r:id="rId303" display="https://amp.vexpenses.com/settings/membros-de-equipe/896209" xr:uid="{7262A57A-49BA-451E-B2A4-8D9B6BCCF8CD}"/>
    <hyperlink ref="B305" r:id="rId304" display="https://amp.vexpenses.com/settings/membros-de-equipe/896210" xr:uid="{4B8B76BC-F786-4ADF-AD5B-4DB5F8AFECAE}"/>
    <hyperlink ref="B306" r:id="rId305" display="https://amp.vexpenses.com/settings/membros-de-equipe/896211" xr:uid="{8873356D-A5F6-4578-9036-C2A60EB2EA47}"/>
    <hyperlink ref="B307" r:id="rId306" display="https://amp.vexpenses.com/settings/membros-de-equipe/922276" xr:uid="{21F5C6A4-70B1-4985-8F8C-189E6E8FCBF4}"/>
    <hyperlink ref="B308" r:id="rId307" display="https://amp.vexpenses.com/settings/membros-de-equipe/896212" xr:uid="{76089D19-72F7-427A-9392-5D3B6ED25F1A}"/>
    <hyperlink ref="B309" r:id="rId308" display="https://amp.vexpenses.com/settings/membros-de-equipe/896213" xr:uid="{59B514AB-6277-47E8-9829-197BF9464D3A}"/>
    <hyperlink ref="B310" r:id="rId309" display="https://amp.vexpenses.com/settings/membros-de-equipe/923302" xr:uid="{604E2F63-CA80-4A9C-939E-86778086CF69}"/>
    <hyperlink ref="B311" r:id="rId310" display="https://amp.vexpenses.com/settings/membros-de-equipe/896214" xr:uid="{6A4AD9A7-1865-40DD-88BC-8B4C91BCF361}"/>
    <hyperlink ref="B312" r:id="rId311" display="https://amp.vexpenses.com/settings/membros-de-equipe/917049" xr:uid="{E9FB945A-6C31-401E-B007-4D819A89EFE9}"/>
    <hyperlink ref="B313" r:id="rId312" display="https://amp.vexpenses.com/settings/membros-de-equipe/896215" xr:uid="{401477E7-0A51-4606-930E-2007CC65D0CF}"/>
    <hyperlink ref="B314" r:id="rId313" display="https://amp.vexpenses.com/settings/membros-de-equipe/896216" xr:uid="{26B37E1C-99CC-45B8-AD90-90482B95572C}"/>
    <hyperlink ref="B315" r:id="rId314" display="https://amp.vexpenses.com/settings/membros-de-equipe/896217" xr:uid="{AE1CC5BE-EFF2-4C83-9333-EEEBCE64EA7C}"/>
    <hyperlink ref="B316" r:id="rId315" display="https://amp.vexpenses.com/settings/membros-de-equipe/896218" xr:uid="{5CDCBC82-2E7D-4EF5-B694-CA0D993DEDFE}"/>
    <hyperlink ref="B317" r:id="rId316" display="https://amp.vexpenses.com/settings/membros-de-equipe/916906" xr:uid="{4E10FC2F-64EB-4DEA-A070-26441467F20D}"/>
    <hyperlink ref="B318" r:id="rId317" display="https://amp.vexpenses.com/settings/membros-de-equipe/917357" xr:uid="{F021395C-38A8-4E6A-8FB7-379D036B86A0}"/>
    <hyperlink ref="B319" r:id="rId318" display="https://amp.vexpenses.com/settings/membros-de-equipe/916930" xr:uid="{06DAAC3B-909E-4FB7-9CF8-28F7DEBDA49F}"/>
    <hyperlink ref="B320" r:id="rId319" display="https://amp.vexpenses.com/settings/membros-de-equipe/896219" xr:uid="{EE4D1953-C3A2-4143-8930-18E982EF7400}"/>
    <hyperlink ref="B321" r:id="rId320" display="https://amp.vexpenses.com/settings/membros-de-equipe/896220" xr:uid="{05F6C8DC-586B-4F23-B5C3-14FD03A44656}"/>
    <hyperlink ref="B322" r:id="rId321" display="https://amp.vexpenses.com/settings/membros-de-equipe/891904" xr:uid="{DD24F646-F567-40B3-A4FB-D0A918485BDB}"/>
    <hyperlink ref="B323" r:id="rId322" display="https://amp.vexpenses.com/settings/membros-de-equipe/940725" xr:uid="{40C527D7-049C-4E45-9EF6-4DC30C1CB459}"/>
    <hyperlink ref="B324" r:id="rId323" display="https://amp.vexpenses.com/settings/membros-de-equipe/896221" xr:uid="{B4E192D0-6229-4A15-9F38-E3F3959E88EA}"/>
    <hyperlink ref="B325" r:id="rId324" display="https://amp.vexpenses.com/settings/membros-de-equipe/923895" xr:uid="{0CEB1DEA-526B-4ED1-A06A-69B66461BB9C}"/>
    <hyperlink ref="B326" r:id="rId325" display="https://amp.vexpenses.com/settings/membros-de-equipe/896222" xr:uid="{0F963307-5F02-4BF8-9BB0-545C49713C81}"/>
    <hyperlink ref="B327" r:id="rId326" display="https://amp.vexpenses.com/settings/membros-de-equipe/896423" xr:uid="{8A8BCFB0-E7F5-416D-BF93-36D19EE28679}"/>
    <hyperlink ref="B328" r:id="rId327" display="https://amp.vexpenses.com/settings/membros-de-equipe/917361" xr:uid="{F81BFDAC-961F-45DB-9CB2-D1198A4F99D8}"/>
    <hyperlink ref="B329" r:id="rId328" display="https://amp.vexpenses.com/settings/membros-de-equipe/896223" xr:uid="{1FFBD240-E4E7-469A-A536-D6168C262177}"/>
    <hyperlink ref="B330" r:id="rId329" display="https://amp.vexpenses.com/settings/membros-de-equipe/896224" xr:uid="{004455B2-6904-4873-9493-D3B65E9CACE3}"/>
    <hyperlink ref="B331" r:id="rId330" display="https://amp.vexpenses.com/settings/membros-de-equipe/896225" xr:uid="{90FC5D86-7631-44A0-91E1-47604AF087C2}"/>
    <hyperlink ref="B332" r:id="rId331" display="https://amp.vexpenses.com/settings/membros-de-equipe/896226" xr:uid="{CA621BF3-EB0C-4568-8D83-0534B3DC7656}"/>
    <hyperlink ref="B333" r:id="rId332" display="https://amp.vexpenses.com/settings/membros-de-equipe/925993" xr:uid="{51E2C4D8-0490-4316-ADEB-F246B222AE67}"/>
    <hyperlink ref="B334" r:id="rId333" display="https://amp.vexpenses.com/settings/membros-de-equipe/896227" xr:uid="{FBC5C548-1B07-4BB0-9706-D062D29D4CC5}"/>
    <hyperlink ref="B335" r:id="rId334" display="https://amp.vexpenses.com/settings/membros-de-equipe/896228" xr:uid="{554BD697-AAEE-43B3-85BD-5AE1FAE895E7}"/>
    <hyperlink ref="B336" r:id="rId335" display="https://amp.vexpenses.com/settings/membros-de-equipe/896229" xr:uid="{187880BF-C889-45CA-941C-C0AB0D2C66D6}"/>
    <hyperlink ref="B337" r:id="rId336" display="https://amp.vexpenses.com/settings/membros-de-equipe/896230" xr:uid="{781DC739-F5F2-49E9-AEF3-0D255006D465}"/>
    <hyperlink ref="B338" r:id="rId337" display="https://amp.vexpenses.com/settings/membros-de-equipe/896231" xr:uid="{DD4947B9-57CF-49EE-A6AF-9711BD08316E}"/>
    <hyperlink ref="B339" r:id="rId338" display="https://amp.vexpenses.com/settings/membros-de-equipe/916932" xr:uid="{585033FD-6279-4512-A5BA-722A60407259}"/>
    <hyperlink ref="B340" r:id="rId339" display="https://amp.vexpenses.com/settings/membros-de-equipe/896232" xr:uid="{BA41AF62-040B-406D-B04A-A082EB433050}"/>
    <hyperlink ref="B341" r:id="rId340" display="https://amp.vexpenses.com/settings/membros-de-equipe/896233" xr:uid="{C2CEFD63-11A9-414E-8DE2-339247BE7975}"/>
    <hyperlink ref="B342" r:id="rId341" display="https://amp.vexpenses.com/settings/membros-de-equipe/896234" xr:uid="{0C8DE51E-A8D5-4983-9061-DC3456FC4131}"/>
    <hyperlink ref="B343" r:id="rId342" display="https://amp.vexpenses.com/settings/membros-de-equipe/896235" xr:uid="{4AAC7F97-59B0-49DA-B531-B1E751773BAC}"/>
    <hyperlink ref="B344" r:id="rId343" display="https://amp.vexpenses.com/settings/membros-de-equipe/896236" xr:uid="{A29FE3DD-9FBE-4661-A255-A7229A4A1C4A}"/>
    <hyperlink ref="B345" r:id="rId344" display="https://amp.vexpenses.com/settings/membros-de-equipe/896237" xr:uid="{CEC46FF8-2884-491F-99DA-5733D10D1D2E}"/>
    <hyperlink ref="B346" r:id="rId345" display="https://amp.vexpenses.com/settings/membros-de-equipe/916912" xr:uid="{35041403-823C-4A49-A98E-3EEB25D7050C}"/>
    <hyperlink ref="B347" r:id="rId346" display="https://amp.vexpenses.com/settings/membros-de-equipe/896238" xr:uid="{7D83D20D-7E52-47B2-9060-6A8BE03CCE76}"/>
    <hyperlink ref="B348" r:id="rId347" display="https://amp.vexpenses.com/settings/membros-de-equipe/896239" xr:uid="{9D718394-AEE0-47CE-BB98-4B30D75AA42A}"/>
    <hyperlink ref="B349" r:id="rId348" display="https://amp.vexpenses.com/settings/membros-de-equipe/896240" xr:uid="{7A209C1C-2B09-4DF7-8C22-01D48022B691}"/>
    <hyperlink ref="B350" r:id="rId349" display="https://amp.vexpenses.com/settings/membros-de-equipe/896241" xr:uid="{B4CC4195-4B1F-441B-821F-D79A2700060E}"/>
    <hyperlink ref="B351" r:id="rId350" display="https://amp.vexpenses.com/settings/membros-de-equipe/896242" xr:uid="{F14BA735-61D8-4673-BB75-E061A44550F4}"/>
    <hyperlink ref="B352" r:id="rId351" display="https://amp.vexpenses.com/settings/membros-de-equipe/896243" xr:uid="{23AFBAD3-A93B-4E6C-915F-498067B47476}"/>
    <hyperlink ref="B353" r:id="rId352" display="https://amp.vexpenses.com/settings/membros-de-equipe/933048" xr:uid="{524752FB-05F6-4B58-92C3-484E351C73C7}"/>
    <hyperlink ref="B354" r:id="rId353" display="https://amp.vexpenses.com/settings/membros-de-equipe/928767" xr:uid="{24E68933-B8CC-4B07-BC15-70AA21ED4FF4}"/>
    <hyperlink ref="B355" r:id="rId354" display="https://amp.vexpenses.com/settings/membros-de-equipe/917057" xr:uid="{E26453E0-5EB0-49BB-BE2F-67DAA4B52925}"/>
    <hyperlink ref="B356" r:id="rId355" display="https://amp.vexpenses.com/settings/membros-de-equipe/917365" xr:uid="{A032DA4E-7176-4297-9A9C-4614BF9F4926}"/>
    <hyperlink ref="B357" r:id="rId356" display="https://amp.vexpenses.com/settings/membros-de-equipe/896244" xr:uid="{2F692291-C463-4B5B-BA41-F5F3B6C7757B}"/>
    <hyperlink ref="B358" r:id="rId357" display="https://amp.vexpenses.com/settings/membros-de-equipe/935493" xr:uid="{0EA8E4F5-2AB3-41FF-8235-A8D8958427E1}"/>
    <hyperlink ref="B359" r:id="rId358" display="https://amp.vexpenses.com/settings/membros-de-equipe/896245" xr:uid="{F0C26094-39EE-4FC7-AA54-FA1D0DCCE01C}"/>
    <hyperlink ref="B360" r:id="rId359" display="https://amp.vexpenses.com/settings/membros-de-equipe/929759" xr:uid="{E703E753-4A4C-40C4-BBD8-E8D66720780B}"/>
    <hyperlink ref="B361" r:id="rId360" display="https://amp.vexpenses.com/settings/membros-de-equipe/896246" xr:uid="{EE21C5BD-64D9-4D6A-982E-DBD69850413A}"/>
    <hyperlink ref="B362" r:id="rId361" display="https://amp.vexpenses.com/settings/membros-de-equipe/896248" xr:uid="{AAB97E05-A38A-47DA-8730-7E784E167477}"/>
    <hyperlink ref="B363" r:id="rId362" display="https://amp.vexpenses.com/settings/membros-de-equipe/896249" xr:uid="{CE085C54-9DBC-48AC-9FD3-CB27B1CFFFB3}"/>
    <hyperlink ref="B364" r:id="rId363" display="https://amp.vexpenses.com/settings/membros-de-equipe/896250" xr:uid="{E37C3559-4934-497A-AD12-1405F4FF009E}"/>
    <hyperlink ref="B365" r:id="rId364" display="https://amp.vexpenses.com/settings/membros-de-equipe/913936" xr:uid="{C70BE7C0-8E53-440B-961A-82360368CA11}"/>
    <hyperlink ref="B366" r:id="rId365" display="https://amp.vexpenses.com/settings/membros-de-equipe/896251" xr:uid="{C4FCD34F-6181-4610-87AE-B2803979AC94}"/>
    <hyperlink ref="B367" r:id="rId366" display="https://amp.vexpenses.com/settings/membros-de-equipe/896425" xr:uid="{C888EAF3-0ACA-4AAB-B9F2-758D96B0B13A}"/>
    <hyperlink ref="B368" r:id="rId367" display="https://amp.vexpenses.com/settings/membros-de-equipe/896252" xr:uid="{9AEED808-CC28-464A-9550-39974F87D857}"/>
    <hyperlink ref="B369" r:id="rId368" display="https://amp.vexpenses.com/settings/membros-de-equipe/896253" xr:uid="{7931E12B-1541-48C8-9CA2-B0DD75287321}"/>
    <hyperlink ref="B370" r:id="rId369" display="https://amp.vexpenses.com/settings/membros-de-equipe/896254" xr:uid="{78F36AB3-EA52-4C83-A0E5-959F79593893}"/>
    <hyperlink ref="B371" r:id="rId370" display="https://amp.vexpenses.com/settings/membros-de-equipe/896333" xr:uid="{BC47C960-0614-4129-A5BF-A3541CAD10F0}"/>
    <hyperlink ref="B372" r:id="rId371" display="https://amp.vexpenses.com/settings/membros-de-equipe/896255" xr:uid="{D19170A6-75FE-4D3A-8385-499FFBE59D37}"/>
    <hyperlink ref="B373" r:id="rId372" display="https://amp.vexpenses.com/settings/membros-de-equipe/896256" xr:uid="{B4579AC3-FFE5-4A45-9AA4-D68C9CF79C0C}"/>
    <hyperlink ref="B374" r:id="rId373" display="https://amp.vexpenses.com/settings/membros-de-equipe/896257" xr:uid="{D9E4E3BA-E681-47B1-A344-68569CB1A358}"/>
    <hyperlink ref="B375" r:id="rId374" display="https://amp.vexpenses.com/settings/membros-de-equipe/896258" xr:uid="{3A71E99E-EAE3-49BB-AC4A-ADBC77F37518}"/>
    <hyperlink ref="B376" r:id="rId375" display="https://amp.vexpenses.com/settings/membros-de-equipe/896259" xr:uid="{6E142795-7682-46BC-91E5-F8B47228F97F}"/>
    <hyperlink ref="B377" r:id="rId376" display="https://amp.vexpenses.com/settings/membros-de-equipe/946419" xr:uid="{6C097B91-70F1-47CE-A9E5-89399911F2A2}"/>
    <hyperlink ref="B378" r:id="rId377" display="https://amp.vexpenses.com/settings/membros-de-equipe/891980" xr:uid="{73076100-87C8-4FBC-B841-55A1264F789A}"/>
    <hyperlink ref="B379" r:id="rId378" display="https://amp.vexpenses.com/settings/membros-de-equipe/896262" xr:uid="{057907DE-8657-4BF7-9830-73244E186932}"/>
    <hyperlink ref="B380" r:id="rId379" display="https://amp.vexpenses.com/settings/membros-de-equipe/896264" xr:uid="{AD2B6D00-8F33-4907-9F14-BF1C4BB60110}"/>
    <hyperlink ref="B381" r:id="rId380" display="https://amp.vexpenses.com/settings/membros-de-equipe/896265" xr:uid="{95591E9C-37AA-42DA-BEE8-5FAD0E194543}"/>
    <hyperlink ref="B382" r:id="rId381" display="https://amp.vexpenses.com/settings/membros-de-equipe/896266" xr:uid="{893211E3-933E-4AEF-87C5-47A0A68DCA50}"/>
    <hyperlink ref="B383" r:id="rId382" display="https://amp.vexpenses.com/settings/membros-de-equipe/924050" xr:uid="{E63B7825-F64F-4341-8827-C216677C834A}"/>
    <hyperlink ref="B384" r:id="rId383" display="https://amp.vexpenses.com/settings/membros-de-equipe/917363" xr:uid="{EB338CEE-F310-46E3-96DA-275CC57CC1E2}"/>
    <hyperlink ref="B385" r:id="rId384" display="https://amp.vexpenses.com/settings/membros-de-equipe/896267" xr:uid="{D5EC0003-6253-4C9C-93A3-B0B6ADD0E1D1}"/>
    <hyperlink ref="B386" r:id="rId385" display="https://amp.vexpenses.com/settings/membros-de-equipe/896269" xr:uid="{5E6DB204-B7DF-4E84-A60D-BD6B589DD8A7}"/>
    <hyperlink ref="B387" r:id="rId386" display="https://amp.vexpenses.com/settings/membros-de-equipe/896270" xr:uid="{28332ABA-5279-402A-BD9E-2E244CD1F719}"/>
    <hyperlink ref="B388" r:id="rId387" display="https://amp.vexpenses.com/settings/membros-de-equipe/943299" xr:uid="{4FAA7250-1902-4D56-8056-C55FABEF611A}"/>
    <hyperlink ref="B389" r:id="rId388" display="https://amp.vexpenses.com/settings/membros-de-equipe/896271" xr:uid="{767D2260-1056-4E0A-9825-7D83D12FFB9A}"/>
    <hyperlink ref="B390" r:id="rId389" display="https://amp.vexpenses.com/settings/membros-de-equipe/896272" xr:uid="{2E361F2D-3EB6-4B80-B642-DC1A1AD4034F}"/>
    <hyperlink ref="B391" r:id="rId390" display="https://amp.vexpenses.com/settings/membros-de-equipe/896273" xr:uid="{C882C2AA-391C-413E-9879-3FC91A3BEA81}"/>
    <hyperlink ref="B392" r:id="rId391" display="https://amp.vexpenses.com/settings/membros-de-equipe/896274" xr:uid="{B4D53AE5-EF98-477B-AD70-66E75C6C8A6B}"/>
    <hyperlink ref="B393" r:id="rId392" display="https://amp.vexpenses.com/settings/membros-de-equipe/896275" xr:uid="{81928641-9996-4250-B652-DDF956DD839D}"/>
    <hyperlink ref="B394" r:id="rId393" display="https://amp.vexpenses.com/settings/membros-de-equipe/896276" xr:uid="{4D72DFD6-DBDF-4D9F-9334-CF71BBD616A5}"/>
    <hyperlink ref="B395" r:id="rId394" display="https://amp.vexpenses.com/settings/membros-de-equipe/896277" xr:uid="{717ED6F9-52C1-49D1-9F16-D3074D2D82E2}"/>
    <hyperlink ref="B396" r:id="rId395" display="https://amp.vexpenses.com/settings/membros-de-equipe/896278" xr:uid="{58A90D51-6334-4E9D-BA1E-6F493FB35869}"/>
    <hyperlink ref="B397" r:id="rId396" display="https://amp.vexpenses.com/settings/membros-de-equipe/896279" xr:uid="{B3781DCE-F3C0-4B0E-BCFD-0DCA32B39299}"/>
    <hyperlink ref="B398" r:id="rId397" display="https://amp.vexpenses.com/settings/membros-de-equipe/896280" xr:uid="{F92F85F2-605F-4116-A3F6-9908BECF09B6}"/>
    <hyperlink ref="B399" r:id="rId398" display="https://amp.vexpenses.com/settings/membros-de-equipe/916915" xr:uid="{4CEFAAFD-9E59-484A-9472-6B4ACBB09617}"/>
    <hyperlink ref="B400" r:id="rId399" display="https://amp.vexpenses.com/settings/membros-de-equipe/896281" xr:uid="{F01461D6-1A1F-4EE8-A968-BAA2B92A4F0D}"/>
    <hyperlink ref="B401" r:id="rId400" display="https://amp.vexpenses.com/settings/membros-de-equipe/896282" xr:uid="{FCF532E2-A67E-42CE-B663-A186702EA05E}"/>
    <hyperlink ref="B402" r:id="rId401" display="https://amp.vexpenses.com/settings/membros-de-equipe/896283" xr:uid="{4A8F0DED-C32E-4069-BB7D-01FB43FD70F1}"/>
    <hyperlink ref="B403" r:id="rId402" display="https://amp.vexpenses.com/settings/membros-de-equipe/896284" xr:uid="{E5984532-8613-4B90-9E50-60326BE14778}"/>
    <hyperlink ref="B404" r:id="rId403" display="https://amp.vexpenses.com/settings/membros-de-equipe/896285" xr:uid="{4F2C076C-8797-4040-8B4D-BCEB2913A599}"/>
    <hyperlink ref="B405" r:id="rId404" display="https://amp.vexpenses.com/settings/membros-de-equipe/896286" xr:uid="{F66D7F20-82CD-4B77-89B8-4E68202C5B5D}"/>
    <hyperlink ref="B406" r:id="rId405" display="https://amp.vexpenses.com/settings/membros-de-equipe/921927" xr:uid="{88E3E66E-DF32-404A-8E30-0B9437CE3F46}"/>
    <hyperlink ref="B407" r:id="rId406" display="https://amp.vexpenses.com/settings/membros-de-equipe/896287" xr:uid="{E9369E93-067F-4A20-9652-A38E8B139BDB}"/>
    <hyperlink ref="B408" r:id="rId407" display="https://amp.vexpenses.com/settings/membros-de-equipe/896288" xr:uid="{0041CA7D-4743-48E7-A030-AFE3E76B04CB}"/>
    <hyperlink ref="B409" r:id="rId408" display="https://amp.vexpenses.com/settings/membros-de-equipe/896289" xr:uid="{D3FC7952-981B-4107-89CF-7E5280B28B3C}"/>
    <hyperlink ref="B410" r:id="rId409" display="https://amp.vexpenses.com/settings/membros-de-equipe/896290" xr:uid="{FBBECEA6-82DE-46B7-8CFD-0425894C3FF0}"/>
    <hyperlink ref="B411" r:id="rId410" display="https://amp.vexpenses.com/settings/membros-de-equipe/896291" xr:uid="{FFDF98F5-631A-475D-AFBF-69AE29714E3A}"/>
    <hyperlink ref="B412" r:id="rId411" display="https://amp.vexpenses.com/settings/membros-de-equipe/896292" xr:uid="{A02520CA-C661-4A22-937D-1D3D88739EF6}"/>
    <hyperlink ref="B413" r:id="rId412" display="https://amp.vexpenses.com/settings/membros-de-equipe/896293" xr:uid="{92F6FB8F-3F4E-408E-9008-DB512EC3B7E2}"/>
    <hyperlink ref="B414" r:id="rId413" display="https://amp.vexpenses.com/settings/membros-de-equipe/896294" xr:uid="{B7E04055-07A3-4532-A6A4-89D9FF206D59}"/>
    <hyperlink ref="B415" r:id="rId414" display="https://amp.vexpenses.com/settings/membros-de-equipe/896295" xr:uid="{664156C8-F8FC-46B9-8D1C-53680C81CFFA}"/>
    <hyperlink ref="B416" r:id="rId415" display="https://amp.vexpenses.com/settings/membros-de-equipe/920825" xr:uid="{7ED8CF47-FD93-4592-8EDD-E4DB261AF0A7}"/>
    <hyperlink ref="B417" r:id="rId416" display="https://amp.vexpenses.com/settings/membros-de-equipe/896296" xr:uid="{5CAF7812-7CF4-4FF1-BB81-3F2F80D487F3}"/>
    <hyperlink ref="B418" r:id="rId417" display="https://amp.vexpenses.com/settings/membros-de-equipe/896297" xr:uid="{BCF3B644-7BEF-46C6-B027-4E5CFF82FAB6}"/>
    <hyperlink ref="B419" r:id="rId418" display="https://amp.vexpenses.com/settings/membros-de-equipe/920083" xr:uid="{BDA05FCA-DA0F-402C-9CCF-0A5C77239BC8}"/>
    <hyperlink ref="B420" r:id="rId419" display="https://amp.vexpenses.com/settings/membros-de-equipe/896298" xr:uid="{BD85EF30-3785-4589-B53E-8C8828715E16}"/>
    <hyperlink ref="B421" r:id="rId420" display="https://amp.vexpenses.com/settings/membros-de-equipe/891978" xr:uid="{C685567F-7C74-484E-B723-957C56D9F2CC}"/>
    <hyperlink ref="B422" r:id="rId421" display="https://amp.vexpenses.com/settings/membros-de-equipe/918849" xr:uid="{3E67118E-E81F-4BE9-9183-5B6002DC95C1}"/>
    <hyperlink ref="B423" r:id="rId422" display="https://amp.vexpenses.com/settings/membros-de-equipe/896299" xr:uid="{AE2E8B1E-52EF-4EAB-BD1F-27FF10D74B75}"/>
    <hyperlink ref="B424" r:id="rId423" display="https://amp.vexpenses.com/settings/membros-de-equipe/896300" xr:uid="{47F14600-A610-4CE3-8AAD-209D3A51A46C}"/>
    <hyperlink ref="B425" r:id="rId424" display="https://amp.vexpenses.com/settings/membros-de-equipe/933590" xr:uid="{AB2C0A4B-65C9-4CB8-8269-981788BD4074}"/>
    <hyperlink ref="B426" r:id="rId425" display="https://amp.vexpenses.com/settings/membros-de-equipe/896301" xr:uid="{86715319-D8EF-4A60-92B8-224F1940995D}"/>
    <hyperlink ref="B427" r:id="rId426" display="https://amp.vexpenses.com/settings/membros-de-equipe/896302" xr:uid="{D11B423E-9985-4D8C-BDBD-030C8DA638C0}"/>
    <hyperlink ref="B428" r:id="rId427" display="https://amp.vexpenses.com/settings/membros-de-equipe/896303" xr:uid="{C09AB3F0-FD02-40B1-9ADB-BA9068409818}"/>
    <hyperlink ref="B429" r:id="rId428" display="https://amp.vexpenses.com/settings/membros-de-equipe/923649" xr:uid="{B6391916-DC8A-46D9-9E6B-FF8D7144FE72}"/>
    <hyperlink ref="B430" r:id="rId429" display="https://amp.vexpenses.com/settings/membros-de-equipe/896304" xr:uid="{B0C09870-1481-4B37-89AE-054236EF5732}"/>
    <hyperlink ref="B431" r:id="rId430" display="https://amp.vexpenses.com/settings/membros-de-equipe/921795" xr:uid="{C52CF0C8-847D-4EF4-A3A0-2FBDB9452824}"/>
    <hyperlink ref="B432" r:id="rId431" display="https://amp.vexpenses.com/settings/membros-de-equipe/896305" xr:uid="{9DD28E1A-BDD1-4DD9-89C7-D27FCD786A58}"/>
    <hyperlink ref="B433" r:id="rId432" display="https://amp.vexpenses.com/settings/membros-de-equipe/917065" xr:uid="{9434E9A7-B0F0-4DAF-9D6C-3DCCFCD68561}"/>
    <hyperlink ref="B434" r:id="rId433" display="https://amp.vexpenses.com/settings/membros-de-equipe/928994" xr:uid="{F0EC8779-4367-48F4-B80C-65279D2496EC}"/>
    <hyperlink ref="B435" r:id="rId434" display="https://amp.vexpenses.com/settings/membros-de-equipe/896306" xr:uid="{4E895D8C-1BB3-442E-AC3A-206643971952}"/>
    <hyperlink ref="B436" r:id="rId435" display="https://amp.vexpenses.com/settings/membros-de-equipe/896308" xr:uid="{6C8837C5-EF43-49A8-9230-C5D9F57506E2}"/>
    <hyperlink ref="B437" r:id="rId436" display="https://amp.vexpenses.com/settings/membros-de-equipe/896310" xr:uid="{8A6EB818-7837-4A7B-A49B-C5870A199CA0}"/>
    <hyperlink ref="B438" r:id="rId437" display="https://amp.vexpenses.com/settings/membros-de-equipe/896311" xr:uid="{E15878DC-82BF-493B-8298-34B32941F956}"/>
    <hyperlink ref="B439" r:id="rId438" display="https://amp.vexpenses.com/settings/membros-de-equipe/896312" xr:uid="{0692916B-5DA6-4B5F-AD12-303167FB7DAD}"/>
    <hyperlink ref="B440" r:id="rId439" display="https://amp.vexpenses.com/settings/membros-de-equipe/896313" xr:uid="{F7CA955B-159B-43D7-AB61-AF2A972954DF}"/>
    <hyperlink ref="B441" r:id="rId440" display="https://amp.vexpenses.com/settings/membros-de-equipe/896314" xr:uid="{464512D8-D048-4BB8-9366-CA072E7FADCB}"/>
    <hyperlink ref="B442" r:id="rId441" display="https://amp.vexpenses.com/settings/membros-de-equipe/917081" xr:uid="{B6E5E358-F13B-457B-9C0C-BDB4F67D21D6}"/>
    <hyperlink ref="B443" r:id="rId442" display="https://amp.vexpenses.com/settings/membros-de-equipe/896315" xr:uid="{56BA04CF-19D0-49E8-AFB8-0F3D6C5B6DD4}"/>
    <hyperlink ref="B444" r:id="rId443" display="https://amp.vexpenses.com/settings/membros-de-equipe/922275" xr:uid="{42928AAC-5864-42BF-BCA8-A7ACDB6B74F2}"/>
    <hyperlink ref="B445" r:id="rId444" display="https://amp.vexpenses.com/settings/membros-de-equipe/896316" xr:uid="{6527FCB0-3EDC-4E1B-9160-33576FFE2749}"/>
    <hyperlink ref="B446" r:id="rId445" display="https://amp.vexpenses.com/settings/membros-de-equipe/896317" xr:uid="{87C5D3E6-B387-4091-B665-8483588F1B8F}"/>
    <hyperlink ref="B447" r:id="rId446" display="https://amp.vexpenses.com/settings/membros-de-equipe/896318" xr:uid="{FDC79EC8-8573-405D-B529-09D7367CFC79}"/>
    <hyperlink ref="B448" r:id="rId447" display="https://amp.vexpenses.com/settings/membros-de-equipe/896319" xr:uid="{946C12F2-4C9F-4467-9265-CE691EAA809D}"/>
    <hyperlink ref="B449" r:id="rId448" display="https://amp.vexpenses.com/settings/membros-de-equipe/896321" xr:uid="{B58CF934-B6CF-41B6-A016-E32F86CC3FEB}"/>
    <hyperlink ref="B450" r:id="rId449" display="https://amp.vexpenses.com/settings/membros-de-equipe/896322" xr:uid="{2409FC23-2B7C-4AED-A2B1-F838D8F9B59D}"/>
    <hyperlink ref="B451" r:id="rId450" display="https://amp.vexpenses.com/settings/membros-de-equipe/930412" xr:uid="{E05E19DE-3B35-4937-BC7F-A733C9663C74}"/>
    <hyperlink ref="B452" r:id="rId451" display="https://amp.vexpenses.com/settings/membros-de-equipe/896273" xr:uid="{71BB1921-502C-49F2-AE0D-5A07C9BBD0B9}"/>
    <hyperlink ref="B453" r:id="rId452" display="https://amp.vexpenses.com/settings/membros-de-equipe/896332" xr:uid="{267C75AE-FECC-422D-A507-556AD1037146}"/>
    <hyperlink ref="B454" r:id="rId453" display="https://amp.vexpenses.com/settings/membros-de-equipe/896357" xr:uid="{6285868E-A976-4DAE-A1FC-6FAE3C73CDC7}"/>
    <hyperlink ref="B455" r:id="rId454" display="https://amp.vexpenses.com/settings/membros-de-equipe/896187" xr:uid="{7E5920F3-D262-4C4A-87A5-26F13F6AC136}"/>
    <hyperlink ref="B456" r:id="rId455" display="https://amp.vexpenses.com/settings/membros-de-equipe/896335" xr:uid="{8E208E42-B62F-478C-A19E-D2AF2AF2450B}"/>
    <hyperlink ref="B457" r:id="rId456" display="https://amp.vexpenses.com/settings/membros-de-equipe/928097" xr:uid="{29124451-C6A9-43BF-B9C0-2C597B5DF7CA}"/>
    <hyperlink ref="B458" r:id="rId457" display="https://amp.vexpenses.com/settings/membros-de-equipe/896336" xr:uid="{C2B9941A-4E9B-4475-87CA-25EF44C67427}"/>
    <hyperlink ref="B459" r:id="rId458" display="https://amp.vexpenses.com/settings/membros-de-equipe/921961" xr:uid="{DEB4AD77-17B6-4DD4-82D7-F532C6B8BC1A}"/>
    <hyperlink ref="B460" r:id="rId459" display="https://amp.vexpenses.com/settings/membros-de-equipe/917059" xr:uid="{4BAE2DFE-7957-445D-887D-2E337132601B}"/>
    <hyperlink ref="B461" r:id="rId460" display="https://amp.vexpenses.com/settings/membros-de-equipe/896205" xr:uid="{A46DBB92-1A00-4574-87E1-678C7986724D}"/>
    <hyperlink ref="B462" r:id="rId461" display="https://amp.vexpenses.com/settings/membros-de-equipe/896338" xr:uid="{93C1CF5F-FB76-47D5-A443-BE690D85AE09}"/>
    <hyperlink ref="B463" r:id="rId462" display="https://amp.vexpenses.com/settings/membros-de-equipe/917364" xr:uid="{D86B0C32-6EB6-49FE-9C3E-C1834E462E50}"/>
    <hyperlink ref="B464" r:id="rId463" display="https://amp.vexpenses.com/settings/membros-de-equipe/896339" xr:uid="{C0C53984-C106-4DF5-9AEC-166407769AD6}"/>
    <hyperlink ref="B465" r:id="rId464" display="https://amp.vexpenses.com/settings/membros-de-equipe/896342" xr:uid="{F7FB1D72-6CEF-4711-8BF0-79310D14B53F}"/>
    <hyperlink ref="B466" r:id="rId465" display="https://amp.vexpenses.com/settings/membros-de-equipe/896343" xr:uid="{A2B346A1-4954-4C19-BD41-AA37DCCCEB5F}"/>
    <hyperlink ref="B467" r:id="rId466" display="https://amp.vexpenses.com/settings/membros-de-equipe/896344" xr:uid="{4C6DEAC0-035A-40F3-8285-0AAFDEE2761C}"/>
    <hyperlink ref="B468" r:id="rId467" display="https://amp.vexpenses.com/settings/membros-de-equipe/896255" xr:uid="{CDA5218C-4340-4FB3-9545-3932CF58158D}"/>
    <hyperlink ref="B469" r:id="rId468" display="https://amp.vexpenses.com/settings/membros-de-equipe/896257" xr:uid="{0DD53DFB-D523-4087-A2E5-B9B5D331810A}"/>
    <hyperlink ref="B470" r:id="rId469" display="https://amp.vexpenses.com/settings/membros-de-equipe/896346" xr:uid="{4DBB413E-CDF3-4546-900F-D9D16DD02CB4}"/>
    <hyperlink ref="B471" r:id="rId470" display="https://amp.vexpenses.com/settings/membros-de-equipe/896347" xr:uid="{71818111-8FAF-495D-B3EC-6122F7E925FF}"/>
    <hyperlink ref="B472" r:id="rId471" display="https://amp.vexpenses.com/settings/membros-de-equipe/896348" xr:uid="{D1F99BF9-3EBD-4BEB-8E60-2EFD5F54D0E4}"/>
    <hyperlink ref="B473" r:id="rId472" display="https://amp.vexpenses.com/settings/membros-de-equipe/896349" xr:uid="{D56D431B-3839-49C1-A5C5-949D91B29B1E}"/>
    <hyperlink ref="B474" r:id="rId473" display="https://amp.vexpenses.com/settings/membros-de-equipe/896350" xr:uid="{F370D719-F1CE-45CC-A092-B69F8515C6C6}"/>
    <hyperlink ref="B475" r:id="rId474" display="https://amp.vexpenses.com/settings/membros-de-equipe/923635" xr:uid="{6CF4B1ED-63C8-4A5F-9295-782DB9A20739}"/>
    <hyperlink ref="B476" r:id="rId475" display="https://amp.vexpenses.com/settings/membros-de-equipe/896352" xr:uid="{EF13DDC8-E4A7-471E-8A78-0E4E07F3D560}"/>
    <hyperlink ref="B477" r:id="rId476" display="https://amp.vexpenses.com/settings/membros-de-equipe/896351" xr:uid="{5F1FED61-216F-44E5-8E96-BDCA24E0A947}"/>
    <hyperlink ref="B478" r:id="rId477" display="https://amp.vexpenses.com/settings/membros-de-equipe/896217" xr:uid="{8FC0108D-571A-4918-8535-AB9802A0DD2F}"/>
    <hyperlink ref="B479" r:id="rId478" display="https://amp.vexpenses.com/settings/membros-de-equipe/896073" xr:uid="{768BFFB2-BB8F-415B-BC09-D41667CA92F0}"/>
    <hyperlink ref="B480" r:id="rId479" display="https://amp.vexpenses.com/settings/membros-de-equipe/896034" xr:uid="{F66B19D6-D8DC-4C15-97C0-7EC907255AAA}"/>
    <hyperlink ref="B481" r:id="rId480" display="https://amp.vexpenses.com/settings/membros-de-equipe/896068" xr:uid="{DBE40CB0-A8A3-49A1-80DF-7551E9961A76}"/>
    <hyperlink ref="B482" r:id="rId481" display="https://amp.vexpenses.com/settings/membros-de-equipe/896394" xr:uid="{C6D3650C-8C94-4619-B466-D2179A5E6108}"/>
    <hyperlink ref="B483" r:id="rId482" display="https://amp.vexpenses.com/settings/membros-de-equipe/918849" xr:uid="{CAB91C1F-FBFA-45F0-AB78-E8CE4443088A}"/>
    <hyperlink ref="B484" r:id="rId483" display="https://amp.vexpenses.com/settings/membros-de-equipe/920862" xr:uid="{E6CD313C-52C5-4ABE-9CB5-F93B9A699C7B}"/>
    <hyperlink ref="B485" r:id="rId484" display="https://amp.vexpenses.com/settings/membros-de-equipe/896355" xr:uid="{8460661A-EE8F-498C-9136-5260D3FA7572}"/>
    <hyperlink ref="B486" r:id="rId485" display="https://amp.vexpenses.com/settings/membros-de-equipe/896356" xr:uid="{005E6D82-D8F6-4AB6-8240-3FCBB2B59F08}"/>
    <hyperlink ref="B487" r:id="rId486" display="https://amp.vexpenses.com/settings/membros-de-equipe/896354" xr:uid="{4659627E-AFC6-4675-B148-4914D7DB78BB}"/>
    <hyperlink ref="B488" r:id="rId487" display="https://amp.vexpenses.com/settings/membros-de-equipe/896397" xr:uid="{6EE95572-B312-4DAD-A6F0-A38933FDD0DE}"/>
    <hyperlink ref="B489" r:id="rId488" display="https://amp.vexpenses.com/settings/membros-de-equipe/896358" xr:uid="{CB97C46D-B3B9-414F-9B82-5EECA86B9404}"/>
    <hyperlink ref="B490" r:id="rId489" display="https://amp.vexpenses.com/settings/membros-de-equipe/896286" xr:uid="{8830C260-2E91-4AB1-BC9A-0885B91C6BAF}"/>
    <hyperlink ref="B491" r:id="rId490" display="https://amp.vexpenses.com/settings/membros-de-equipe/930440" xr:uid="{10AB998B-E33E-48FA-B4E3-B1E9C06E56F3}"/>
    <hyperlink ref="B492" r:id="rId491" display="https://amp.vexpenses.com/settings/membros-de-equipe/920855" xr:uid="{367E8595-4AF8-48CF-810F-51B8F68F70B8}"/>
    <hyperlink ref="B493" r:id="rId492" display="https://amp.vexpenses.com/settings/membros-de-equipe/896360" xr:uid="{D5F30EE8-2F0D-4C65-9645-DB43EACC31F0}"/>
    <hyperlink ref="B494" r:id="rId493" display="https://amp.vexpenses.com/settings/membros-de-equipe/896363" xr:uid="{0A224591-4333-49AC-B07C-779B51D58BE0}"/>
    <hyperlink ref="B495" r:id="rId494" display="https://amp.vexpenses.com/settings/membros-de-equipe/896364" xr:uid="{2CE86D56-FCC1-4052-AE7B-ECC1127484C5}"/>
    <hyperlink ref="B496" r:id="rId495" display="https://amp.vexpenses.com/settings/membros-de-equipe/896359" xr:uid="{D9BD5E4C-64EC-4A31-B51B-0A913D51BBE8}"/>
    <hyperlink ref="B497" r:id="rId496" display="https://amp.vexpenses.com/settings/membros-de-equipe/896298" xr:uid="{7DDED877-8C20-4758-8E33-C15231EBFF7A}"/>
    <hyperlink ref="B498" r:id="rId497" display="https://amp.vexpenses.com/settings/membros-de-equipe/896362" xr:uid="{3360F9B7-3F3D-41B6-92BD-EBDDB83CF3FB}"/>
    <hyperlink ref="B499" r:id="rId498" display="https://amp.vexpenses.com/settings/membros-de-equipe/896365" xr:uid="{6F4F131D-57F5-4815-93D2-CBF8526A63D6}"/>
    <hyperlink ref="B500" r:id="rId499" display="https://amp.vexpenses.com/settings/membros-de-equipe/917052" xr:uid="{4C394510-A7D6-4E75-9532-18F34501BD7E}"/>
    <hyperlink ref="B501" r:id="rId500" display="https://amp.vexpenses.com/settings/membros-de-equipe/895985" xr:uid="{7B34124E-0E6D-4967-89FB-0C7BFCF46194}"/>
    <hyperlink ref="B502" r:id="rId501" display="https://amp.vexpenses.com/settings/membros-de-equipe/896369" xr:uid="{289E35C1-59D2-402E-9953-311D01EA8BA0}"/>
    <hyperlink ref="B503" r:id="rId502" display="https://amp.vexpenses.com/settings/membros-de-equipe/922852" xr:uid="{00A48638-54DA-44A9-B63A-92221CADE5B5}"/>
    <hyperlink ref="B504" r:id="rId503" display="https://amp.vexpenses.com/settings/membros-de-equipe/931255" xr:uid="{D26EBDB6-2D99-458F-82C9-555C0C6B159D}"/>
    <hyperlink ref="B505" r:id="rId504" display="https://amp.vexpenses.com/settings/membros-de-equipe/896373" xr:uid="{B25AE219-1EE0-4F11-9600-D6898C169E2E}"/>
    <hyperlink ref="B506" r:id="rId505" display="https://amp.vexpenses.com/settings/membros-de-equipe/896196" xr:uid="{9347A1A2-3438-460B-9379-89888B2C0B07}"/>
    <hyperlink ref="B507" r:id="rId506" display="https://amp.vexpenses.com/settings/membros-de-equipe/896366" xr:uid="{67E7B2A9-0CB1-49F4-833D-C56B25210895}"/>
    <hyperlink ref="B508" r:id="rId507" display="https://amp.vexpenses.com/settings/membros-de-equipe/896376" xr:uid="{9AD5D694-8641-4688-9E4E-0D756D5F23AE}"/>
    <hyperlink ref="B509" r:id="rId508" display="https://amp.vexpenses.com/settings/membros-de-equipe/896424" xr:uid="{CBE5DD7F-3B89-4253-8273-9E5717418414}"/>
    <hyperlink ref="B510" r:id="rId509" display="https://amp.vexpenses.com/settings/membros-de-equipe/917368" xr:uid="{99517F10-8E8D-4FC6-82B6-E5FB684173C5}"/>
    <hyperlink ref="B511" r:id="rId510" display="https://amp.vexpenses.com/settings/membros-de-equipe/896377" xr:uid="{DF156ADB-A2CC-42D8-AF11-0DE6C08DDF16}"/>
    <hyperlink ref="B512" r:id="rId511" display="https://amp.vexpenses.com/settings/membros-de-equipe/896378" xr:uid="{8895E2FF-6840-49A1-B2D9-D80B176807D8}"/>
    <hyperlink ref="B513" r:id="rId512" display="https://amp.vexpenses.com/settings/membros-de-equipe/896379" xr:uid="{837B4588-CF44-47D1-8E45-BE16FA248F1F}"/>
    <hyperlink ref="B514" r:id="rId513" display="https://amp.vexpenses.com/settings/membros-de-equipe/896380" xr:uid="{CAF0BCE8-54BA-4967-90C9-7733D39A04B5}"/>
    <hyperlink ref="B515" r:id="rId514" display="https://amp.vexpenses.com/settings/membros-de-equipe/923842" xr:uid="{EB8C96C4-B92E-4B1F-BC18-3A19D781B973}"/>
    <hyperlink ref="B516" r:id="rId515" display="https://amp.vexpenses.com/settings/membros-de-equipe/896383" xr:uid="{0B202FB4-BA39-4ADF-A5F7-6C6B68A3843B}"/>
    <hyperlink ref="B517" r:id="rId516" display="https://amp.vexpenses.com/settings/membros-de-equipe/896381" xr:uid="{A01F123E-B28F-4AB2-BDBE-A7F845F51EA4}"/>
    <hyperlink ref="B518" r:id="rId517" display="https://amp.vexpenses.com/settings/membros-de-equipe/896384" xr:uid="{9CD4918C-8C27-4C8A-9BD3-C9830FA9DF2F}"/>
    <hyperlink ref="B519" r:id="rId518" display="https://amp.vexpenses.com/settings/membros-de-equipe/896385" xr:uid="{94B24CF2-6342-41FF-902B-D5B3F70E4A1B}"/>
    <hyperlink ref="B520" r:id="rId519" display="https://amp.vexpenses.com/settings/membros-de-equipe/896386" xr:uid="{D02EBAD8-CD75-4A82-9F04-48E68CFB2C9F}"/>
    <hyperlink ref="B521" r:id="rId520" display="https://amp.vexpenses.com/settings/membros-de-equipe/896388" xr:uid="{65B08196-8343-45D8-B807-B0DC42EA3C93}"/>
    <hyperlink ref="B522" r:id="rId521" display="https://amp.vexpenses.com/settings/membros-de-equipe/896387" xr:uid="{7CCDF142-4182-4469-9F81-F7CB81ACEC11}"/>
    <hyperlink ref="B523" r:id="rId522" display="https://amp.vexpenses.com/settings/membros-de-equipe/896390" xr:uid="{02FC9A6E-10FF-4940-A16E-D817CA9C0725}"/>
    <hyperlink ref="B524" r:id="rId523" display="https://amp.vexpenses.com/settings/membros-de-equipe/896391" xr:uid="{6501332E-37B5-4759-BBAA-A376A0460254}"/>
    <hyperlink ref="B525" r:id="rId524" display="https://amp.vexpenses.com/settings/membros-de-equipe/896392" xr:uid="{AECF12E8-A902-4717-A02D-9C3CC36A3178}"/>
    <hyperlink ref="B526" r:id="rId525" display="https://amp.vexpenses.com/settings/membros-de-equipe/916366" xr:uid="{C8645CA0-6F35-4862-B8F0-33F98254E5A4}"/>
    <hyperlink ref="B527" r:id="rId526" display="https://amp.vexpenses.com/settings/membros-de-equipe/896393" xr:uid="{33F511B7-8515-466B-841C-692EABB8C59E}"/>
    <hyperlink ref="B528" r:id="rId527" display="https://amp.vexpenses.com/settings/membros-de-equipe/896395" xr:uid="{80D6F589-92BA-49B5-8319-5DF0A1DB4B75}"/>
    <hyperlink ref="B529" r:id="rId528" display="https://amp.vexpenses.com/settings/membros-de-equipe/921921" xr:uid="{CEC78FA9-7D5A-4A49-834E-838C0397258F}"/>
    <hyperlink ref="B530" r:id="rId529" display="https://amp.vexpenses.com/settings/membros-de-equipe/916897" xr:uid="{DC84EB99-CAB3-4D4B-833A-6BAAD968B201}"/>
    <hyperlink ref="B531" r:id="rId530" display="https://amp.vexpenses.com/settings/membros-de-equipe/896168" xr:uid="{1A46741B-CBDB-4216-8EEE-41B9DE29C03A}"/>
    <hyperlink ref="B532" r:id="rId531" display="https://amp.vexpenses.com/settings/membros-de-equipe/896189" xr:uid="{684FFEC6-DF19-4D71-AC65-31E00C845782}"/>
    <hyperlink ref="B533" r:id="rId532" display="https://amp.vexpenses.com/settings/membros-de-equipe/895951" xr:uid="{8368A45D-C9DB-4B09-B7F9-D9B05296BED4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2456-0E05-4AA2-80BD-9A8633B67C92}">
  <dimension ref="A1:G314"/>
  <sheetViews>
    <sheetView topLeftCell="A25" workbookViewId="0">
      <selection activeCell="C36" sqref="C36"/>
    </sheetView>
  </sheetViews>
  <sheetFormatPr defaultRowHeight="15.75" x14ac:dyDescent="0.25"/>
  <cols>
    <col min="1" max="1" width="36.625" bestFit="1" customWidth="1"/>
    <col min="2" max="2" width="36.625" customWidth="1"/>
    <col min="4" max="4" width="16.5" style="14" bestFit="1" customWidth="1"/>
    <col min="7" max="7" width="18.125" bestFit="1" customWidth="1"/>
  </cols>
  <sheetData>
    <row r="1" spans="1:7" x14ac:dyDescent="0.25">
      <c r="A1" s="12" t="s">
        <v>0</v>
      </c>
      <c r="B1" s="12"/>
      <c r="C1" s="12" t="s">
        <v>1636</v>
      </c>
      <c r="D1" s="14" t="s">
        <v>1637</v>
      </c>
      <c r="E1" t="s">
        <v>1638</v>
      </c>
      <c r="F1" t="s">
        <v>1639</v>
      </c>
      <c r="G1" t="s">
        <v>1640</v>
      </c>
    </row>
    <row r="2" spans="1:7" x14ac:dyDescent="0.25">
      <c r="A2" s="63" t="s">
        <v>250</v>
      </c>
      <c r="B2" s="63" t="s">
        <v>251</v>
      </c>
      <c r="C2" s="63" t="s">
        <v>1637</v>
      </c>
      <c r="D2" s="14">
        <v>9042407399982</v>
      </c>
      <c r="E2" t="s">
        <v>17</v>
      </c>
      <c r="F2" t="s">
        <v>17</v>
      </c>
      <c r="G2" s="2" t="s">
        <v>1637</v>
      </c>
    </row>
    <row r="3" spans="1:7" x14ac:dyDescent="0.25">
      <c r="A3" s="63" t="s">
        <v>115</v>
      </c>
      <c r="B3" s="63" t="s">
        <v>116</v>
      </c>
      <c r="C3" s="63" t="s">
        <v>1637</v>
      </c>
      <c r="D3" s="14">
        <v>9042408249079</v>
      </c>
      <c r="E3" t="s">
        <v>17</v>
      </c>
      <c r="F3" t="s">
        <v>17</v>
      </c>
      <c r="G3" s="2" t="s">
        <v>1637</v>
      </c>
    </row>
    <row r="4" spans="1:7" x14ac:dyDescent="0.25">
      <c r="A4" s="63" t="s">
        <v>354</v>
      </c>
      <c r="B4" s="63" t="s">
        <v>355</v>
      </c>
      <c r="C4" s="63" t="s">
        <v>1637</v>
      </c>
      <c r="D4" s="14">
        <v>9042407080491</v>
      </c>
      <c r="E4" t="s">
        <v>17</v>
      </c>
      <c r="F4" t="s">
        <v>17</v>
      </c>
      <c r="G4" s="2" t="s">
        <v>1637</v>
      </c>
    </row>
    <row r="5" spans="1:7" x14ac:dyDescent="0.25">
      <c r="A5" s="63" t="s">
        <v>1641</v>
      </c>
      <c r="B5" s="63" t="s">
        <v>1642</v>
      </c>
      <c r="C5" s="63" t="s">
        <v>1637</v>
      </c>
      <c r="D5" s="14">
        <v>9042406782287</v>
      </c>
      <c r="E5" t="s">
        <v>17</v>
      </c>
      <c r="F5" t="e">
        <v>#N/A</v>
      </c>
      <c r="G5" s="2" t="s">
        <v>1637</v>
      </c>
    </row>
    <row r="6" spans="1:7" x14ac:dyDescent="0.25">
      <c r="A6" s="63" t="s">
        <v>466</v>
      </c>
      <c r="B6" s="63" t="s">
        <v>467</v>
      </c>
      <c r="C6" s="63" t="s">
        <v>1637</v>
      </c>
      <c r="D6" s="14">
        <v>9042408803396</v>
      </c>
      <c r="E6" t="s">
        <v>17</v>
      </c>
      <c r="F6" t="s">
        <v>17</v>
      </c>
      <c r="G6" s="2" t="s">
        <v>1637</v>
      </c>
    </row>
    <row r="7" spans="1:7" s="16" customFormat="1" x14ac:dyDescent="0.25">
      <c r="A7" s="71" t="s">
        <v>604</v>
      </c>
      <c r="B7" s="71" t="s">
        <v>605</v>
      </c>
      <c r="C7" s="71" t="s">
        <v>1637</v>
      </c>
      <c r="D7" s="15" t="s">
        <v>1643</v>
      </c>
      <c r="E7" s="16" t="s">
        <v>17</v>
      </c>
      <c r="F7" s="16" t="s">
        <v>1644</v>
      </c>
      <c r="G7" s="17" t="s">
        <v>1637</v>
      </c>
    </row>
    <row r="8" spans="1:7" x14ac:dyDescent="0.25">
      <c r="A8" s="63" t="s">
        <v>617</v>
      </c>
      <c r="B8" s="63" t="s">
        <v>618</v>
      </c>
      <c r="C8" s="63" t="s">
        <v>1637</v>
      </c>
      <c r="D8" s="14">
        <v>9042407986861</v>
      </c>
      <c r="E8" t="s">
        <v>17</v>
      </c>
      <c r="F8" t="s">
        <v>17</v>
      </c>
      <c r="G8" s="2" t="s">
        <v>1637</v>
      </c>
    </row>
    <row r="9" spans="1:7" x14ac:dyDescent="0.25">
      <c r="A9" s="63" t="s">
        <v>271</v>
      </c>
      <c r="B9" s="63" t="s">
        <v>272</v>
      </c>
      <c r="C9" s="63" t="s">
        <v>1637</v>
      </c>
      <c r="D9" s="14">
        <v>9042406782022</v>
      </c>
      <c r="E9" t="s">
        <v>17</v>
      </c>
      <c r="F9" t="s">
        <v>17</v>
      </c>
      <c r="G9" s="2" t="s">
        <v>1637</v>
      </c>
    </row>
    <row r="10" spans="1:7" x14ac:dyDescent="0.25">
      <c r="A10" s="63" t="s">
        <v>157</v>
      </c>
      <c r="B10" s="63" t="s">
        <v>158</v>
      </c>
      <c r="C10" s="63" t="s">
        <v>1637</v>
      </c>
      <c r="D10" s="14">
        <v>9042407400145</v>
      </c>
      <c r="E10" t="s">
        <v>17</v>
      </c>
      <c r="F10" t="s">
        <v>17</v>
      </c>
      <c r="G10" s="2" t="s">
        <v>1637</v>
      </c>
    </row>
    <row r="11" spans="1:7" x14ac:dyDescent="0.25">
      <c r="A11" s="63" t="s">
        <v>477</v>
      </c>
      <c r="B11" s="63" t="s">
        <v>478</v>
      </c>
      <c r="C11" s="63" t="s">
        <v>1637</v>
      </c>
      <c r="D11" s="14">
        <v>9042408803750</v>
      </c>
      <c r="E11" t="s">
        <v>17</v>
      </c>
      <c r="F11" t="s">
        <v>17</v>
      </c>
      <c r="G11" s="2" t="s">
        <v>1637</v>
      </c>
    </row>
    <row r="12" spans="1:7" x14ac:dyDescent="0.25">
      <c r="A12" s="63" t="s">
        <v>198</v>
      </c>
      <c r="B12" s="63" t="s">
        <v>199</v>
      </c>
      <c r="C12" s="63" t="s">
        <v>1637</v>
      </c>
      <c r="D12" s="14">
        <v>9076505613050</v>
      </c>
      <c r="E12" t="s">
        <v>17</v>
      </c>
      <c r="F12" t="s">
        <v>17</v>
      </c>
      <c r="G12" s="2" t="s">
        <v>1637</v>
      </c>
    </row>
    <row r="13" spans="1:7" x14ac:dyDescent="0.25">
      <c r="A13" s="63" t="s">
        <v>1243</v>
      </c>
      <c r="B13" s="63" t="s">
        <v>1645</v>
      </c>
      <c r="C13" s="63" t="s">
        <v>1637</v>
      </c>
      <c r="D13" s="14">
        <v>9042408803859</v>
      </c>
      <c r="E13" t="s">
        <v>17</v>
      </c>
      <c r="F13" t="s">
        <v>17</v>
      </c>
      <c r="G13" s="2" t="s">
        <v>1637</v>
      </c>
    </row>
    <row r="14" spans="1:7" x14ac:dyDescent="0.25">
      <c r="A14" s="63" t="s">
        <v>1646</v>
      </c>
      <c r="B14" s="63" t="s">
        <v>1647</v>
      </c>
      <c r="C14" s="63" t="s">
        <v>1637</v>
      </c>
      <c r="D14" s="14" t="e">
        <v>#N/A</v>
      </c>
      <c r="E14" t="e">
        <v>#N/A</v>
      </c>
      <c r="F14" t="e">
        <v>#N/A</v>
      </c>
      <c r="G14" s="2" t="e">
        <v>#N/A</v>
      </c>
    </row>
    <row r="15" spans="1:7" s="19" customFormat="1" x14ac:dyDescent="0.25">
      <c r="A15" s="72" t="s">
        <v>351</v>
      </c>
      <c r="B15" s="72" t="s">
        <v>352</v>
      </c>
      <c r="C15" s="72" t="s">
        <v>1637</v>
      </c>
      <c r="D15" s="18">
        <v>9042408970526</v>
      </c>
      <c r="E15" s="19" t="s">
        <v>17</v>
      </c>
      <c r="F15" s="19" t="s">
        <v>17</v>
      </c>
      <c r="G15" s="20" t="s">
        <v>1637</v>
      </c>
    </row>
    <row r="16" spans="1:7" x14ac:dyDescent="0.25">
      <c r="A16" s="63" t="s">
        <v>131</v>
      </c>
      <c r="B16" s="63" t="s">
        <v>132</v>
      </c>
      <c r="C16" s="63" t="s">
        <v>1637</v>
      </c>
      <c r="D16" s="14">
        <v>9042408599341</v>
      </c>
      <c r="E16" t="s">
        <v>17</v>
      </c>
      <c r="F16" t="s">
        <v>17</v>
      </c>
      <c r="G16" s="2" t="s">
        <v>1637</v>
      </c>
    </row>
    <row r="17" spans="1:7" x14ac:dyDescent="0.25">
      <c r="A17" s="63" t="s">
        <v>52</v>
      </c>
      <c r="B17" s="63" t="s">
        <v>53</v>
      </c>
      <c r="C17" s="63" t="s">
        <v>1637</v>
      </c>
      <c r="D17" s="14">
        <v>9042408803735</v>
      </c>
      <c r="E17" t="s">
        <v>17</v>
      </c>
      <c r="F17" t="e">
        <v>#N/A</v>
      </c>
      <c r="G17" s="2" t="s">
        <v>1637</v>
      </c>
    </row>
    <row r="18" spans="1:7" x14ac:dyDescent="0.25">
      <c r="A18" s="63" t="s">
        <v>294</v>
      </c>
      <c r="B18" s="63" t="s">
        <v>295</v>
      </c>
      <c r="C18" s="63" t="s">
        <v>1637</v>
      </c>
      <c r="D18" s="14">
        <v>9042408249145</v>
      </c>
      <c r="E18" t="s">
        <v>17</v>
      </c>
      <c r="F18" t="s">
        <v>17</v>
      </c>
      <c r="G18" s="2" t="s">
        <v>1637</v>
      </c>
    </row>
    <row r="19" spans="1:7" x14ac:dyDescent="0.25">
      <c r="A19" s="63" t="s">
        <v>57</v>
      </c>
      <c r="B19" s="63" t="s">
        <v>58</v>
      </c>
      <c r="C19" s="63" t="s">
        <v>1637</v>
      </c>
      <c r="D19" s="14">
        <v>9042406781958</v>
      </c>
      <c r="E19" t="s">
        <v>17</v>
      </c>
      <c r="F19" t="s">
        <v>17</v>
      </c>
      <c r="G19" s="2" t="s">
        <v>1637</v>
      </c>
    </row>
    <row r="20" spans="1:7" x14ac:dyDescent="0.25">
      <c r="A20" s="63" t="s">
        <v>1164</v>
      </c>
      <c r="B20" s="63" t="s">
        <v>1648</v>
      </c>
      <c r="C20" s="63" t="s">
        <v>1637</v>
      </c>
      <c r="D20" s="14">
        <v>9076509301751</v>
      </c>
      <c r="E20" t="s">
        <v>17</v>
      </c>
      <c r="F20" t="s">
        <v>17</v>
      </c>
      <c r="G20" s="2" t="s">
        <v>1637</v>
      </c>
    </row>
    <row r="21" spans="1:7" x14ac:dyDescent="0.25">
      <c r="A21" s="63" t="s">
        <v>152</v>
      </c>
      <c r="B21" s="63" t="s">
        <v>153</v>
      </c>
      <c r="C21" s="63" t="s">
        <v>1637</v>
      </c>
      <c r="D21" s="14">
        <v>9042408970203</v>
      </c>
      <c r="E21" t="s">
        <v>17</v>
      </c>
      <c r="F21" t="s">
        <v>17</v>
      </c>
      <c r="G21" s="2" t="s">
        <v>1637</v>
      </c>
    </row>
    <row r="22" spans="1:7" x14ac:dyDescent="0.25">
      <c r="A22" s="72" t="s">
        <v>1049</v>
      </c>
      <c r="B22" s="72" t="s">
        <v>1649</v>
      </c>
      <c r="C22" s="72" t="s">
        <v>1637</v>
      </c>
      <c r="D22" s="18">
        <v>9042408803305</v>
      </c>
      <c r="E22" s="19" t="s">
        <v>17</v>
      </c>
      <c r="F22" s="19" t="s">
        <v>17</v>
      </c>
      <c r="G22" s="20" t="s">
        <v>1637</v>
      </c>
    </row>
    <row r="23" spans="1:7" x14ac:dyDescent="0.25">
      <c r="A23" s="72" t="s">
        <v>164</v>
      </c>
      <c r="B23" s="72" t="s">
        <v>165</v>
      </c>
      <c r="C23" s="72" t="s">
        <v>1637</v>
      </c>
      <c r="D23" s="18">
        <v>9042407080285</v>
      </c>
      <c r="E23" s="19" t="s">
        <v>17</v>
      </c>
      <c r="F23" s="19" t="s">
        <v>17</v>
      </c>
      <c r="G23" s="20" t="s">
        <v>1637</v>
      </c>
    </row>
    <row r="24" spans="1:7" x14ac:dyDescent="0.25">
      <c r="A24" s="72" t="s">
        <v>369</v>
      </c>
      <c r="B24" s="72" t="s">
        <v>370</v>
      </c>
      <c r="C24" s="72" t="s">
        <v>1637</v>
      </c>
      <c r="D24" s="18">
        <v>9042406782311</v>
      </c>
      <c r="E24" s="19" t="s">
        <v>17</v>
      </c>
      <c r="F24" s="19" t="s">
        <v>17</v>
      </c>
      <c r="G24" s="20" t="s">
        <v>1637</v>
      </c>
    </row>
    <row r="25" spans="1:7" x14ac:dyDescent="0.25">
      <c r="A25" s="63" t="s">
        <v>121</v>
      </c>
      <c r="B25" s="63" t="s">
        <v>122</v>
      </c>
      <c r="C25" s="63" t="s">
        <v>1637</v>
      </c>
      <c r="D25" s="14">
        <v>9042406781990</v>
      </c>
      <c r="E25" t="s">
        <v>17</v>
      </c>
      <c r="F25" t="e">
        <v>#N/A</v>
      </c>
      <c r="G25" s="2" t="s">
        <v>1637</v>
      </c>
    </row>
    <row r="26" spans="1:7" x14ac:dyDescent="0.25">
      <c r="A26" s="63" t="s">
        <v>1650</v>
      </c>
      <c r="B26" s="63" t="s">
        <v>1651</v>
      </c>
      <c r="C26" s="63" t="s">
        <v>1637</v>
      </c>
      <c r="D26" s="14" t="e">
        <v>#N/A</v>
      </c>
      <c r="E26" t="e">
        <v>#N/A</v>
      </c>
      <c r="F26" t="e">
        <v>#N/A</v>
      </c>
      <c r="G26" s="2" t="e">
        <v>#N/A</v>
      </c>
    </row>
    <row r="27" spans="1:7" x14ac:dyDescent="0.25">
      <c r="A27" s="63" t="s">
        <v>1652</v>
      </c>
      <c r="B27" s="63" t="s">
        <v>1653</v>
      </c>
      <c r="C27" s="63" t="s">
        <v>1637</v>
      </c>
      <c r="D27" s="14" t="e">
        <v>#N/A</v>
      </c>
      <c r="E27" t="e">
        <v>#N/A</v>
      </c>
      <c r="F27" t="e">
        <v>#N/A</v>
      </c>
      <c r="G27" s="2" t="e">
        <v>#N/A</v>
      </c>
    </row>
    <row r="28" spans="1:7" s="19" customFormat="1" x14ac:dyDescent="0.25">
      <c r="A28" s="72" t="s">
        <v>570</v>
      </c>
      <c r="B28" s="72" t="s">
        <v>571</v>
      </c>
      <c r="C28" s="72" t="s">
        <v>1637</v>
      </c>
      <c r="D28" s="18">
        <v>9042407752073</v>
      </c>
      <c r="E28" s="19" t="s">
        <v>17</v>
      </c>
      <c r="F28" s="19" t="s">
        <v>17</v>
      </c>
      <c r="G28" s="20" t="s">
        <v>1637</v>
      </c>
    </row>
    <row r="29" spans="1:7" s="19" customFormat="1" x14ac:dyDescent="0.25">
      <c r="A29" s="72" t="s">
        <v>182</v>
      </c>
      <c r="B29" s="72" t="s">
        <v>183</v>
      </c>
      <c r="C29" s="72" t="s">
        <v>1637</v>
      </c>
      <c r="D29" s="18">
        <v>9042407552176</v>
      </c>
      <c r="E29" s="19" t="s">
        <v>17</v>
      </c>
      <c r="F29" s="19" t="s">
        <v>17</v>
      </c>
      <c r="G29" s="20" t="s">
        <v>1637</v>
      </c>
    </row>
    <row r="30" spans="1:7" x14ac:dyDescent="0.25">
      <c r="A30" s="63" t="s">
        <v>916</v>
      </c>
      <c r="B30" s="63" t="s">
        <v>1654</v>
      </c>
      <c r="C30" s="63" t="s">
        <v>1637</v>
      </c>
      <c r="D30" s="14">
        <v>9042408803891</v>
      </c>
      <c r="E30" t="s">
        <v>17</v>
      </c>
      <c r="F30" t="s">
        <v>17</v>
      </c>
      <c r="G30" s="2" t="s">
        <v>1637</v>
      </c>
    </row>
    <row r="31" spans="1:7" s="23" customFormat="1" x14ac:dyDescent="0.25">
      <c r="A31" s="21" t="s">
        <v>383</v>
      </c>
      <c r="B31" s="73" t="s">
        <v>384</v>
      </c>
      <c r="C31" s="21" t="s">
        <v>1637</v>
      </c>
      <c r="D31" s="22">
        <v>9042407552085</v>
      </c>
      <c r="E31" s="23" t="s">
        <v>17</v>
      </c>
      <c r="F31" s="23" t="s">
        <v>17</v>
      </c>
      <c r="G31" s="24" t="s">
        <v>1655</v>
      </c>
    </row>
    <row r="32" spans="1:7" s="26" customFormat="1" x14ac:dyDescent="0.25">
      <c r="A32" s="74" t="s">
        <v>1656</v>
      </c>
      <c r="B32" s="75" t="s">
        <v>1657</v>
      </c>
      <c r="C32" s="75" t="s">
        <v>1637</v>
      </c>
      <c r="D32" s="25" t="e">
        <v>#N/A</v>
      </c>
      <c r="E32" s="26" t="e">
        <v>#N/A</v>
      </c>
      <c r="F32" s="26" t="e">
        <v>#N/A</v>
      </c>
      <c r="G32" s="27" t="e">
        <v>#N/A</v>
      </c>
    </row>
    <row r="33" spans="1:7" s="26" customFormat="1" x14ac:dyDescent="0.25">
      <c r="A33" s="75" t="s">
        <v>1658</v>
      </c>
      <c r="B33" s="75" t="s">
        <v>1657</v>
      </c>
      <c r="C33" s="75" t="s">
        <v>1637</v>
      </c>
      <c r="D33" s="25" t="e">
        <v>#N/A</v>
      </c>
      <c r="E33" s="26" t="e">
        <v>#N/A</v>
      </c>
      <c r="F33" s="26" t="e">
        <v>#N/A</v>
      </c>
      <c r="G33" s="27" t="e">
        <v>#N/A</v>
      </c>
    </row>
    <row r="34" spans="1:7" s="26" customFormat="1" x14ac:dyDescent="0.25">
      <c r="A34" s="75" t="s">
        <v>302</v>
      </c>
      <c r="B34" s="75" t="s">
        <v>1657</v>
      </c>
      <c r="C34" s="75" t="s">
        <v>1637</v>
      </c>
      <c r="D34" s="25" t="e">
        <v>#N/A</v>
      </c>
      <c r="E34" s="26" t="e">
        <v>#N/A</v>
      </c>
      <c r="F34" s="26" t="e">
        <v>#N/A</v>
      </c>
      <c r="G34" s="27" t="e">
        <v>#N/A</v>
      </c>
    </row>
    <row r="35" spans="1:7" x14ac:dyDescent="0.25">
      <c r="A35" s="63" t="s">
        <v>722</v>
      </c>
      <c r="B35" s="63" t="s">
        <v>723</v>
      </c>
      <c r="C35" s="63" t="s">
        <v>1637</v>
      </c>
      <c r="D35" s="14">
        <v>9042408599291</v>
      </c>
      <c r="E35" t="s">
        <v>17</v>
      </c>
      <c r="F35" t="s">
        <v>17</v>
      </c>
      <c r="G35" s="2" t="s">
        <v>1637</v>
      </c>
    </row>
    <row r="36" spans="1:7" x14ac:dyDescent="0.25">
      <c r="A36" s="63" t="s">
        <v>85</v>
      </c>
      <c r="B36" s="63" t="s">
        <v>86</v>
      </c>
      <c r="C36" s="63" t="s">
        <v>1637</v>
      </c>
      <c r="D36" s="14">
        <v>9042408340399</v>
      </c>
      <c r="E36" t="s">
        <v>17</v>
      </c>
      <c r="F36" t="s">
        <v>17</v>
      </c>
      <c r="G36" s="2" t="s">
        <v>1637</v>
      </c>
    </row>
    <row r="37" spans="1:7" x14ac:dyDescent="0.25">
      <c r="A37" s="63" t="s">
        <v>40</v>
      </c>
      <c r="B37" s="63" t="s">
        <v>41</v>
      </c>
      <c r="C37" s="63" t="s">
        <v>1637</v>
      </c>
      <c r="D37" s="14">
        <v>9042408481813</v>
      </c>
      <c r="E37" t="s">
        <v>17</v>
      </c>
      <c r="F37" t="s">
        <v>17</v>
      </c>
      <c r="G37" s="2" t="s">
        <v>1637</v>
      </c>
    </row>
    <row r="38" spans="1:7" x14ac:dyDescent="0.25">
      <c r="A38" s="63" t="s">
        <v>184</v>
      </c>
      <c r="B38" s="63" t="s">
        <v>185</v>
      </c>
      <c r="C38" s="63" t="s">
        <v>1637</v>
      </c>
      <c r="D38" s="14">
        <v>9076505613068</v>
      </c>
      <c r="E38" t="s">
        <v>17</v>
      </c>
      <c r="F38" t="s">
        <v>17</v>
      </c>
      <c r="G38" s="2" t="s">
        <v>1637</v>
      </c>
    </row>
    <row r="39" spans="1:7" x14ac:dyDescent="0.25">
      <c r="A39" s="63" t="s">
        <v>1659</v>
      </c>
      <c r="B39" s="63" t="s">
        <v>1660</v>
      </c>
      <c r="C39" s="63" t="s">
        <v>1637</v>
      </c>
      <c r="D39" s="14">
        <v>9042408804113</v>
      </c>
      <c r="E39" t="s">
        <v>17</v>
      </c>
      <c r="F39" t="s">
        <v>17</v>
      </c>
      <c r="G39" s="2" t="s">
        <v>1637</v>
      </c>
    </row>
    <row r="40" spans="1:7" x14ac:dyDescent="0.25">
      <c r="A40" s="63" t="s">
        <v>348</v>
      </c>
      <c r="B40" s="63" t="s">
        <v>349</v>
      </c>
      <c r="C40" s="63" t="s">
        <v>1637</v>
      </c>
      <c r="D40" s="14">
        <v>9042408970278</v>
      </c>
      <c r="E40" t="s">
        <v>17</v>
      </c>
      <c r="F40" t="s">
        <v>17</v>
      </c>
      <c r="G40" s="2" t="s">
        <v>1637</v>
      </c>
    </row>
    <row r="41" spans="1:7" x14ac:dyDescent="0.25">
      <c r="A41" s="63" t="s">
        <v>160</v>
      </c>
      <c r="B41" s="63" t="s">
        <v>161</v>
      </c>
      <c r="C41" s="63" t="s">
        <v>1637</v>
      </c>
      <c r="D41" s="14">
        <v>9042407080483</v>
      </c>
      <c r="E41" t="s">
        <v>17</v>
      </c>
      <c r="F41" t="s">
        <v>17</v>
      </c>
      <c r="G41" s="2" t="s">
        <v>1637</v>
      </c>
    </row>
    <row r="42" spans="1:7" x14ac:dyDescent="0.25">
      <c r="A42" s="63" t="s">
        <v>220</v>
      </c>
      <c r="B42" s="63" t="s">
        <v>221</v>
      </c>
      <c r="C42" s="63" t="s">
        <v>1637</v>
      </c>
      <c r="D42" s="14">
        <v>9042407266645</v>
      </c>
      <c r="E42" t="s">
        <v>17</v>
      </c>
      <c r="F42" t="s">
        <v>17</v>
      </c>
      <c r="G42" s="2" t="s">
        <v>1637</v>
      </c>
    </row>
    <row r="43" spans="1:7" x14ac:dyDescent="0.25">
      <c r="A43" s="63" t="s">
        <v>96</v>
      </c>
      <c r="B43" s="63" t="s">
        <v>97</v>
      </c>
      <c r="C43" s="63" t="s">
        <v>1637</v>
      </c>
      <c r="D43" s="14">
        <v>9042408601386</v>
      </c>
      <c r="E43" t="s">
        <v>17</v>
      </c>
      <c r="F43" t="s">
        <v>17</v>
      </c>
      <c r="G43" s="2" t="s">
        <v>1655</v>
      </c>
    </row>
    <row r="44" spans="1:7" x14ac:dyDescent="0.25">
      <c r="A44" s="63" t="s">
        <v>193</v>
      </c>
      <c r="B44" s="63" t="s">
        <v>194</v>
      </c>
      <c r="C44" s="63" t="s">
        <v>1637</v>
      </c>
      <c r="D44" s="14">
        <v>9042408970195</v>
      </c>
      <c r="E44" t="s">
        <v>17</v>
      </c>
      <c r="F44" t="s">
        <v>17</v>
      </c>
      <c r="G44" s="2" t="s">
        <v>1637</v>
      </c>
    </row>
    <row r="45" spans="1:7" x14ac:dyDescent="0.25">
      <c r="A45" s="63" t="s">
        <v>326</v>
      </c>
      <c r="B45" s="63" t="s">
        <v>327</v>
      </c>
      <c r="C45" s="63" t="s">
        <v>1637</v>
      </c>
      <c r="D45" s="14">
        <v>9076509186467</v>
      </c>
      <c r="E45" t="s">
        <v>17</v>
      </c>
      <c r="F45" t="s">
        <v>17</v>
      </c>
      <c r="G45" s="2" t="s">
        <v>1637</v>
      </c>
    </row>
    <row r="46" spans="1:7" x14ac:dyDescent="0.25">
      <c r="A46" s="63" t="s">
        <v>47</v>
      </c>
      <c r="B46" s="63" t="s">
        <v>48</v>
      </c>
      <c r="C46" s="63" t="s">
        <v>1637</v>
      </c>
      <c r="D46" s="14">
        <v>9076505447152</v>
      </c>
      <c r="E46" t="s">
        <v>17</v>
      </c>
      <c r="F46" t="s">
        <v>17</v>
      </c>
      <c r="G46" s="2" t="s">
        <v>1637</v>
      </c>
    </row>
    <row r="47" spans="1:7" x14ac:dyDescent="0.25">
      <c r="A47" s="63" t="s">
        <v>626</v>
      </c>
      <c r="B47" s="63" t="s">
        <v>627</v>
      </c>
      <c r="C47" s="63" t="s">
        <v>1637</v>
      </c>
      <c r="D47" s="14">
        <v>9042408340415</v>
      </c>
      <c r="E47" t="s">
        <v>17</v>
      </c>
      <c r="F47" t="s">
        <v>17</v>
      </c>
      <c r="G47" s="2" t="s">
        <v>1637</v>
      </c>
    </row>
    <row r="48" spans="1:7" x14ac:dyDescent="0.25">
      <c r="A48" s="63" t="s">
        <v>885</v>
      </c>
      <c r="B48" s="63" t="s">
        <v>1661</v>
      </c>
      <c r="C48" s="63" t="s">
        <v>1637</v>
      </c>
      <c r="D48" s="14">
        <v>9042408970450</v>
      </c>
      <c r="E48" t="s">
        <v>17</v>
      </c>
      <c r="F48" t="s">
        <v>17</v>
      </c>
      <c r="G48" s="2" t="s">
        <v>1637</v>
      </c>
    </row>
    <row r="49" spans="1:7" s="29" customFormat="1" x14ac:dyDescent="0.25">
      <c r="A49" s="76" t="s">
        <v>109</v>
      </c>
      <c r="B49" s="76" t="s">
        <v>110</v>
      </c>
      <c r="C49" s="76" t="s">
        <v>1637</v>
      </c>
      <c r="D49" s="28" t="s">
        <v>1662</v>
      </c>
      <c r="E49" s="29" t="e">
        <v>#N/A</v>
      </c>
      <c r="F49" s="29" t="e">
        <v>#N/A</v>
      </c>
      <c r="G49" s="30" t="e">
        <v>#N/A</v>
      </c>
    </row>
    <row r="50" spans="1:7" s="29" customFormat="1" x14ac:dyDescent="0.25">
      <c r="A50" s="76" t="s">
        <v>1371</v>
      </c>
      <c r="B50" s="76" t="s">
        <v>1663</v>
      </c>
      <c r="C50" s="76" t="s">
        <v>1637</v>
      </c>
      <c r="D50" s="28" t="s">
        <v>1662</v>
      </c>
      <c r="E50" s="29" t="e">
        <v>#N/A</v>
      </c>
      <c r="F50" s="29" t="e">
        <v>#N/A</v>
      </c>
      <c r="G50" s="30" t="e">
        <v>#N/A</v>
      </c>
    </row>
    <row r="51" spans="1:7" x14ac:dyDescent="0.25">
      <c r="A51" s="63" t="s">
        <v>447</v>
      </c>
      <c r="B51" s="63" t="s">
        <v>448</v>
      </c>
      <c r="C51" s="63" t="s">
        <v>1637</v>
      </c>
      <c r="D51" s="14">
        <v>9076509186558</v>
      </c>
      <c r="E51" t="s">
        <v>17</v>
      </c>
      <c r="F51" t="s">
        <v>17</v>
      </c>
      <c r="G51" s="2" t="s">
        <v>1637</v>
      </c>
    </row>
    <row r="52" spans="1:7" x14ac:dyDescent="0.25">
      <c r="A52" s="63" t="s">
        <v>497</v>
      </c>
      <c r="B52" s="63" t="s">
        <v>498</v>
      </c>
      <c r="C52" s="63" t="s">
        <v>1637</v>
      </c>
      <c r="D52" s="14">
        <v>9042407552150</v>
      </c>
      <c r="E52" t="s">
        <v>17</v>
      </c>
      <c r="F52" t="s">
        <v>17</v>
      </c>
      <c r="G52" s="2" t="s">
        <v>1637</v>
      </c>
    </row>
    <row r="53" spans="1:7" x14ac:dyDescent="0.25">
      <c r="A53" s="63" t="s">
        <v>798</v>
      </c>
      <c r="B53" s="63" t="s">
        <v>799</v>
      </c>
      <c r="C53" s="63" t="s">
        <v>1637</v>
      </c>
      <c r="D53" s="14">
        <v>9042408340506</v>
      </c>
      <c r="E53" t="s">
        <v>17</v>
      </c>
      <c r="F53" t="s">
        <v>17</v>
      </c>
      <c r="G53" s="2" t="s">
        <v>1637</v>
      </c>
    </row>
    <row r="54" spans="1:7" x14ac:dyDescent="0.25">
      <c r="A54" s="63" t="s">
        <v>705</v>
      </c>
      <c r="B54" s="63" t="s">
        <v>706</v>
      </c>
      <c r="C54" s="63" t="s">
        <v>1637</v>
      </c>
      <c r="D54" s="14">
        <v>9042407351504</v>
      </c>
      <c r="E54" t="s">
        <v>17</v>
      </c>
      <c r="F54" t="s">
        <v>17</v>
      </c>
      <c r="G54" s="2" t="s">
        <v>1637</v>
      </c>
    </row>
    <row r="55" spans="1:7" x14ac:dyDescent="0.25">
      <c r="A55" s="63" t="s">
        <v>703</v>
      </c>
      <c r="B55" s="63" t="s">
        <v>704</v>
      </c>
      <c r="C55" s="63" t="s">
        <v>1637</v>
      </c>
      <c r="D55" s="14">
        <v>9042408803529</v>
      </c>
      <c r="E55" t="s">
        <v>17</v>
      </c>
      <c r="F55" t="s">
        <v>17</v>
      </c>
      <c r="G55" s="2" t="s">
        <v>1637</v>
      </c>
    </row>
    <row r="56" spans="1:7" x14ac:dyDescent="0.25">
      <c r="A56" s="63" t="s">
        <v>697</v>
      </c>
      <c r="B56" s="63" t="s">
        <v>698</v>
      </c>
      <c r="C56" s="63" t="s">
        <v>1637</v>
      </c>
      <c r="D56" s="14">
        <v>9042407351496</v>
      </c>
      <c r="E56" t="s">
        <v>17</v>
      </c>
      <c r="F56" t="s">
        <v>17</v>
      </c>
      <c r="G56" s="2" t="s">
        <v>1637</v>
      </c>
    </row>
    <row r="57" spans="1:7" x14ac:dyDescent="0.25">
      <c r="A57" s="63" t="s">
        <v>792</v>
      </c>
      <c r="B57" s="63" t="s">
        <v>793</v>
      </c>
      <c r="C57" s="63" t="s">
        <v>1637</v>
      </c>
      <c r="D57" s="14">
        <v>9076505875451</v>
      </c>
      <c r="E57" t="s">
        <v>17</v>
      </c>
      <c r="F57" t="s">
        <v>17</v>
      </c>
      <c r="G57" s="2" t="s">
        <v>1655</v>
      </c>
    </row>
    <row r="58" spans="1:7" x14ac:dyDescent="0.25">
      <c r="A58" s="63" t="s">
        <v>1398</v>
      </c>
      <c r="B58" s="63" t="s">
        <v>1664</v>
      </c>
      <c r="C58" s="63" t="s">
        <v>1637</v>
      </c>
      <c r="D58" s="14">
        <v>9042408249095</v>
      </c>
      <c r="E58" t="s">
        <v>17</v>
      </c>
      <c r="F58" t="s">
        <v>17</v>
      </c>
      <c r="G58" s="2" t="s">
        <v>1637</v>
      </c>
    </row>
    <row r="59" spans="1:7" x14ac:dyDescent="0.25">
      <c r="A59" s="63" t="s">
        <v>308</v>
      </c>
      <c r="B59" s="63" t="s">
        <v>309</v>
      </c>
      <c r="C59" s="63" t="s">
        <v>1637</v>
      </c>
      <c r="D59" s="14">
        <v>9042407400087</v>
      </c>
      <c r="E59" t="s">
        <v>17</v>
      </c>
      <c r="F59" t="e">
        <v>#N/A</v>
      </c>
      <c r="G59" s="2" t="s">
        <v>1637</v>
      </c>
    </row>
    <row r="60" spans="1:7" x14ac:dyDescent="0.25">
      <c r="A60" s="63" t="s">
        <v>15</v>
      </c>
      <c r="B60" s="63" t="s">
        <v>16</v>
      </c>
      <c r="C60" s="63" t="s">
        <v>1637</v>
      </c>
      <c r="D60" s="14">
        <v>9042408803966</v>
      </c>
      <c r="E60" t="s">
        <v>17</v>
      </c>
      <c r="F60" t="s">
        <v>17</v>
      </c>
      <c r="G60" s="2" t="s">
        <v>1655</v>
      </c>
    </row>
    <row r="61" spans="1:7" x14ac:dyDescent="0.25">
      <c r="A61" s="63" t="s">
        <v>69</v>
      </c>
      <c r="B61" s="63" t="s">
        <v>70</v>
      </c>
      <c r="C61" s="63" t="s">
        <v>1637</v>
      </c>
      <c r="D61" s="14">
        <v>9042408970211</v>
      </c>
      <c r="E61" t="s">
        <v>17</v>
      </c>
      <c r="F61" t="s">
        <v>17</v>
      </c>
      <c r="G61" s="2" t="s">
        <v>1637</v>
      </c>
    </row>
    <row r="62" spans="1:7" s="26" customFormat="1" x14ac:dyDescent="0.25">
      <c r="A62" s="75" t="s">
        <v>1665</v>
      </c>
      <c r="B62" s="75" t="s">
        <v>1657</v>
      </c>
      <c r="C62" s="75" t="s">
        <v>1637</v>
      </c>
      <c r="D62" s="25" t="e">
        <v>#N/A</v>
      </c>
      <c r="E62" s="26" t="e">
        <v>#N/A</v>
      </c>
      <c r="F62" s="26" t="e">
        <v>#N/A</v>
      </c>
      <c r="G62" s="27" t="e">
        <v>#N/A</v>
      </c>
    </row>
    <row r="63" spans="1:7" x14ac:dyDescent="0.25">
      <c r="A63" s="63" t="s">
        <v>305</v>
      </c>
      <c r="B63" s="63" t="s">
        <v>306</v>
      </c>
      <c r="C63" s="63" t="s">
        <v>1637</v>
      </c>
      <c r="D63" s="14">
        <v>9042408803685</v>
      </c>
      <c r="E63" t="s">
        <v>17</v>
      </c>
      <c r="F63" t="e">
        <v>#N/A</v>
      </c>
      <c r="G63" s="2" t="s">
        <v>1637</v>
      </c>
    </row>
    <row r="64" spans="1:7" x14ac:dyDescent="0.25">
      <c r="A64" s="63" t="s">
        <v>409</v>
      </c>
      <c r="B64" s="63" t="s">
        <v>410</v>
      </c>
      <c r="C64" s="63" t="s">
        <v>1637</v>
      </c>
      <c r="D64" s="14">
        <v>9042408599317</v>
      </c>
      <c r="E64" t="s">
        <v>17</v>
      </c>
      <c r="F64" t="s">
        <v>17</v>
      </c>
      <c r="G64" s="2" t="s">
        <v>1637</v>
      </c>
    </row>
    <row r="65" spans="1:7" x14ac:dyDescent="0.25">
      <c r="A65" s="63" t="s">
        <v>670</v>
      </c>
      <c r="B65" s="63" t="s">
        <v>671</v>
      </c>
      <c r="C65" s="63" t="s">
        <v>1637</v>
      </c>
      <c r="D65" s="14">
        <v>9042408803537</v>
      </c>
      <c r="E65" t="s">
        <v>17</v>
      </c>
      <c r="F65" t="s">
        <v>17</v>
      </c>
      <c r="G65" s="2" t="s">
        <v>1637</v>
      </c>
    </row>
    <row r="66" spans="1:7" x14ac:dyDescent="0.25">
      <c r="A66" s="63" t="s">
        <v>534</v>
      </c>
      <c r="B66" s="63" t="s">
        <v>535</v>
      </c>
      <c r="C66" s="63" t="s">
        <v>1637</v>
      </c>
      <c r="D66" s="14">
        <v>9076509186731</v>
      </c>
      <c r="E66" t="s">
        <v>17</v>
      </c>
      <c r="F66" t="s">
        <v>17</v>
      </c>
      <c r="G66" s="2" t="s">
        <v>1637</v>
      </c>
    </row>
    <row r="67" spans="1:7" x14ac:dyDescent="0.25">
      <c r="A67" s="63" t="s">
        <v>1014</v>
      </c>
      <c r="B67" s="63" t="s">
        <v>1666</v>
      </c>
      <c r="C67" s="63" t="s">
        <v>1637</v>
      </c>
      <c r="D67" s="14">
        <v>9042408599283</v>
      </c>
      <c r="E67" t="s">
        <v>17</v>
      </c>
      <c r="F67" t="e">
        <v>#N/A</v>
      </c>
      <c r="G67" s="2" t="s">
        <v>1637</v>
      </c>
    </row>
    <row r="68" spans="1:7" x14ac:dyDescent="0.25">
      <c r="A68" s="63" t="s">
        <v>63</v>
      </c>
      <c r="B68" s="63" t="s">
        <v>64</v>
      </c>
      <c r="C68" s="63" t="s">
        <v>1637</v>
      </c>
      <c r="D68" s="14">
        <v>9042408601295</v>
      </c>
      <c r="E68" t="s">
        <v>17</v>
      </c>
      <c r="F68" t="s">
        <v>17</v>
      </c>
      <c r="G68" s="2" t="s">
        <v>1637</v>
      </c>
    </row>
    <row r="69" spans="1:7" x14ac:dyDescent="0.25">
      <c r="A69" s="63" t="s">
        <v>1540</v>
      </c>
      <c r="B69" s="63" t="s">
        <v>1667</v>
      </c>
      <c r="C69" s="63" t="s">
        <v>1637</v>
      </c>
      <c r="D69" s="14">
        <v>9042408481649</v>
      </c>
      <c r="E69" t="s">
        <v>17</v>
      </c>
      <c r="F69" t="e">
        <v>#N/A</v>
      </c>
      <c r="G69" s="2" t="s">
        <v>1637</v>
      </c>
    </row>
    <row r="70" spans="1:7" x14ac:dyDescent="0.25">
      <c r="A70" s="63" t="s">
        <v>66</v>
      </c>
      <c r="B70" s="63" t="s">
        <v>67</v>
      </c>
      <c r="C70" s="63" t="s">
        <v>1637</v>
      </c>
      <c r="D70" s="14">
        <v>9042408340530</v>
      </c>
      <c r="E70" t="s">
        <v>17</v>
      </c>
      <c r="F70" t="s">
        <v>17</v>
      </c>
      <c r="G70" s="2" t="s">
        <v>1637</v>
      </c>
    </row>
    <row r="71" spans="1:7" s="16" customFormat="1" x14ac:dyDescent="0.25">
      <c r="A71" s="71" t="s">
        <v>784</v>
      </c>
      <c r="B71" s="71" t="s">
        <v>785</v>
      </c>
      <c r="C71" s="71" t="s">
        <v>1637</v>
      </c>
      <c r="D71" s="15" t="s">
        <v>1668</v>
      </c>
      <c r="E71" s="16" t="s">
        <v>17</v>
      </c>
      <c r="F71" s="16" t="s">
        <v>1669</v>
      </c>
      <c r="G71" s="17" t="s">
        <v>1637</v>
      </c>
    </row>
    <row r="72" spans="1:7" x14ac:dyDescent="0.25">
      <c r="A72" s="63" t="s">
        <v>804</v>
      </c>
      <c r="B72" s="63" t="s">
        <v>805</v>
      </c>
      <c r="C72" s="63" t="s">
        <v>1637</v>
      </c>
      <c r="D72" s="14">
        <v>9042408970336</v>
      </c>
      <c r="E72" t="s">
        <v>17</v>
      </c>
      <c r="F72" t="s">
        <v>17</v>
      </c>
      <c r="G72" s="2" t="s">
        <v>1637</v>
      </c>
    </row>
    <row r="73" spans="1:7" x14ac:dyDescent="0.25">
      <c r="A73" s="63" t="s">
        <v>699</v>
      </c>
      <c r="B73" s="63" t="s">
        <v>700</v>
      </c>
      <c r="C73" s="63" t="s">
        <v>1637</v>
      </c>
      <c r="D73" s="14">
        <v>9042406782352</v>
      </c>
      <c r="E73" t="s">
        <v>17</v>
      </c>
      <c r="F73" t="s">
        <v>17</v>
      </c>
      <c r="G73" s="2" t="s">
        <v>1637</v>
      </c>
    </row>
    <row r="74" spans="1:7" x14ac:dyDescent="0.25">
      <c r="A74" s="63" t="s">
        <v>640</v>
      </c>
      <c r="B74" s="63" t="s">
        <v>641</v>
      </c>
      <c r="C74" s="63" t="s">
        <v>1637</v>
      </c>
      <c r="D74" s="14">
        <v>9042406781933</v>
      </c>
      <c r="E74" t="s">
        <v>17</v>
      </c>
      <c r="F74" t="s">
        <v>17</v>
      </c>
      <c r="G74" s="2" t="s">
        <v>1637</v>
      </c>
    </row>
    <row r="75" spans="1:7" x14ac:dyDescent="0.25">
      <c r="A75" s="63" t="s">
        <v>396</v>
      </c>
      <c r="B75" s="63" t="s">
        <v>397</v>
      </c>
      <c r="C75" s="63" t="s">
        <v>1637</v>
      </c>
      <c r="D75" s="14">
        <v>9042407080335</v>
      </c>
      <c r="E75" t="s">
        <v>17</v>
      </c>
      <c r="F75" t="s">
        <v>17</v>
      </c>
      <c r="G75" s="2" t="s">
        <v>1637</v>
      </c>
    </row>
    <row r="76" spans="1:7" x14ac:dyDescent="0.25">
      <c r="A76" s="71" t="s">
        <v>1670</v>
      </c>
      <c r="B76" s="63" t="e">
        <v>#N/A</v>
      </c>
      <c r="C76" s="71" t="s">
        <v>1637</v>
      </c>
      <c r="D76" s="14" t="e">
        <v>#N/A</v>
      </c>
      <c r="E76" t="e">
        <v>#N/A</v>
      </c>
      <c r="F76" t="e">
        <v>#N/A</v>
      </c>
      <c r="G76" s="2" t="e">
        <v>#N/A</v>
      </c>
    </row>
    <row r="77" spans="1:7" x14ac:dyDescent="0.25">
      <c r="A77" s="63" t="s">
        <v>1232</v>
      </c>
      <c r="B77" s="63" t="s">
        <v>1671</v>
      </c>
      <c r="C77" s="63" t="s">
        <v>1637</v>
      </c>
      <c r="D77" s="14">
        <v>9042407080210</v>
      </c>
      <c r="E77" t="s">
        <v>17</v>
      </c>
      <c r="F77" t="s">
        <v>17</v>
      </c>
      <c r="G77" s="2" t="s">
        <v>1637</v>
      </c>
    </row>
    <row r="78" spans="1:7" x14ac:dyDescent="0.25">
      <c r="A78" s="63" t="s">
        <v>1278</v>
      </c>
      <c r="B78" s="63" t="s">
        <v>1672</v>
      </c>
      <c r="C78" s="63" t="s">
        <v>1637</v>
      </c>
      <c r="D78" s="14">
        <v>9076505447400</v>
      </c>
      <c r="E78" t="s">
        <v>17</v>
      </c>
      <c r="F78" t="e">
        <v>#N/A</v>
      </c>
      <c r="G78" s="2" t="s">
        <v>1637</v>
      </c>
    </row>
    <row r="79" spans="1:7" x14ac:dyDescent="0.25">
      <c r="A79" s="63" t="s">
        <v>628</v>
      </c>
      <c r="B79" s="63" t="s">
        <v>629</v>
      </c>
      <c r="C79" s="63" t="s">
        <v>1637</v>
      </c>
      <c r="D79" s="14">
        <v>9042407023905</v>
      </c>
      <c r="E79" t="s">
        <v>17</v>
      </c>
      <c r="F79" t="s">
        <v>17</v>
      </c>
      <c r="G79" s="2" t="s">
        <v>1637</v>
      </c>
    </row>
    <row r="80" spans="1:7" x14ac:dyDescent="0.25">
      <c r="A80" s="63" t="s">
        <v>1221</v>
      </c>
      <c r="B80" s="63" t="s">
        <v>1673</v>
      </c>
      <c r="C80" s="63" t="s">
        <v>1637</v>
      </c>
      <c r="D80" s="14">
        <v>9042407351512</v>
      </c>
      <c r="E80" t="s">
        <v>17</v>
      </c>
      <c r="F80" t="s">
        <v>17</v>
      </c>
      <c r="G80" s="2" t="s">
        <v>1637</v>
      </c>
    </row>
    <row r="81" spans="1:7" x14ac:dyDescent="0.25">
      <c r="A81" s="63" t="s">
        <v>796</v>
      </c>
      <c r="B81" s="63" t="s">
        <v>797</v>
      </c>
      <c r="C81" s="63" t="s">
        <v>1637</v>
      </c>
      <c r="D81" s="14">
        <v>9042408803503</v>
      </c>
      <c r="E81" t="s">
        <v>17</v>
      </c>
      <c r="F81" t="s">
        <v>17</v>
      </c>
      <c r="G81" s="2" t="s">
        <v>1637</v>
      </c>
    </row>
    <row r="82" spans="1:7" x14ac:dyDescent="0.25">
      <c r="A82" s="63" t="s">
        <v>147</v>
      </c>
      <c r="B82" s="63" t="s">
        <v>148</v>
      </c>
      <c r="C82" s="63" t="s">
        <v>1637</v>
      </c>
      <c r="D82" s="14">
        <v>9042408803834</v>
      </c>
      <c r="E82" t="s">
        <v>17</v>
      </c>
      <c r="F82" t="s">
        <v>17</v>
      </c>
      <c r="G82" s="2" t="s">
        <v>1637</v>
      </c>
    </row>
    <row r="83" spans="1:7" s="26" customFormat="1" x14ac:dyDescent="0.25">
      <c r="A83" s="75" t="s">
        <v>1674</v>
      </c>
      <c r="B83" s="75" t="s">
        <v>1657</v>
      </c>
      <c r="C83" s="75" t="s">
        <v>1637</v>
      </c>
      <c r="D83" s="25" t="e">
        <v>#N/A</v>
      </c>
      <c r="E83" s="26" t="e">
        <v>#N/A</v>
      </c>
      <c r="F83" s="26" t="e">
        <v>#N/A</v>
      </c>
      <c r="G83" s="27" t="e">
        <v>#N/A</v>
      </c>
    </row>
    <row r="84" spans="1:7" x14ac:dyDescent="0.25">
      <c r="A84" s="63" t="s">
        <v>684</v>
      </c>
      <c r="B84" s="63" t="s">
        <v>685</v>
      </c>
      <c r="C84" s="63" t="s">
        <v>1637</v>
      </c>
      <c r="D84" s="14">
        <v>9042407983678</v>
      </c>
      <c r="E84" t="s">
        <v>17</v>
      </c>
      <c r="F84" t="s">
        <v>17</v>
      </c>
      <c r="G84" s="2" t="s">
        <v>1637</v>
      </c>
    </row>
    <row r="85" spans="1:7" x14ac:dyDescent="0.25">
      <c r="A85" s="63" t="s">
        <v>155</v>
      </c>
      <c r="B85" s="63" t="s">
        <v>156</v>
      </c>
      <c r="C85" s="63" t="s">
        <v>1637</v>
      </c>
      <c r="D85" s="14">
        <v>9042408340456</v>
      </c>
      <c r="E85" t="s">
        <v>17</v>
      </c>
      <c r="F85" t="s">
        <v>17</v>
      </c>
      <c r="G85" s="2" t="s">
        <v>1637</v>
      </c>
    </row>
    <row r="86" spans="1:7" x14ac:dyDescent="0.25">
      <c r="A86" s="63" t="s">
        <v>757</v>
      </c>
      <c r="B86" s="63" t="s">
        <v>758</v>
      </c>
      <c r="C86" s="63" t="s">
        <v>1637</v>
      </c>
      <c r="D86" s="14">
        <v>9042408803438</v>
      </c>
      <c r="E86" t="s">
        <v>17</v>
      </c>
      <c r="F86" t="s">
        <v>17</v>
      </c>
      <c r="G86" s="2" t="s">
        <v>1637</v>
      </c>
    </row>
    <row r="87" spans="1:7" x14ac:dyDescent="0.25">
      <c r="A87" s="63" t="s">
        <v>440</v>
      </c>
      <c r="B87" s="63" t="s">
        <v>441</v>
      </c>
      <c r="C87" s="63" t="s">
        <v>1637</v>
      </c>
      <c r="D87" s="14">
        <v>9042408249046</v>
      </c>
      <c r="E87" t="s">
        <v>17</v>
      </c>
      <c r="F87" t="s">
        <v>17</v>
      </c>
      <c r="G87" s="2" t="s">
        <v>1637</v>
      </c>
    </row>
    <row r="88" spans="1:7" x14ac:dyDescent="0.25">
      <c r="A88" s="63" t="s">
        <v>140</v>
      </c>
      <c r="B88" s="63" t="s">
        <v>141</v>
      </c>
      <c r="C88" s="63" t="s">
        <v>1637</v>
      </c>
      <c r="D88" s="14">
        <v>9076505447459</v>
      </c>
      <c r="E88" t="s">
        <v>17</v>
      </c>
      <c r="F88" t="s">
        <v>17</v>
      </c>
      <c r="G88" s="2" t="s">
        <v>1637</v>
      </c>
    </row>
    <row r="89" spans="1:7" x14ac:dyDescent="0.25">
      <c r="A89" s="63" t="s">
        <v>857</v>
      </c>
      <c r="B89" s="63" t="s">
        <v>1675</v>
      </c>
      <c r="C89" s="63" t="s">
        <v>1637</v>
      </c>
      <c r="D89" s="14">
        <v>9042407266694</v>
      </c>
      <c r="E89" t="s">
        <v>17</v>
      </c>
      <c r="F89" t="s">
        <v>17</v>
      </c>
      <c r="G89" s="2" t="s">
        <v>1637</v>
      </c>
    </row>
    <row r="90" spans="1:7" x14ac:dyDescent="0.25">
      <c r="A90" s="63" t="s">
        <v>643</v>
      </c>
      <c r="B90" s="63" t="s">
        <v>644</v>
      </c>
      <c r="C90" s="63" t="s">
        <v>1637</v>
      </c>
      <c r="D90" s="14">
        <v>9042408481680</v>
      </c>
      <c r="E90" t="s">
        <v>17</v>
      </c>
      <c r="F90" t="s">
        <v>17</v>
      </c>
      <c r="G90" s="2" t="s">
        <v>1637</v>
      </c>
    </row>
    <row r="91" spans="1:7" x14ac:dyDescent="0.25">
      <c r="A91" s="63" t="s">
        <v>892</v>
      </c>
      <c r="B91" s="63" t="s">
        <v>1676</v>
      </c>
      <c r="C91" s="63" t="s">
        <v>1637</v>
      </c>
      <c r="D91" s="14">
        <v>9042407986804</v>
      </c>
      <c r="E91" t="s">
        <v>17</v>
      </c>
      <c r="F91" t="s">
        <v>17</v>
      </c>
      <c r="G91" s="2" t="s">
        <v>1637</v>
      </c>
    </row>
    <row r="92" spans="1:7" x14ac:dyDescent="0.25">
      <c r="A92" s="63" t="s">
        <v>621</v>
      </c>
      <c r="B92" s="63" t="s">
        <v>622</v>
      </c>
      <c r="C92" s="63" t="s">
        <v>1637</v>
      </c>
      <c r="D92" s="14">
        <v>9042407400137</v>
      </c>
      <c r="E92" t="s">
        <v>17</v>
      </c>
      <c r="F92" t="s">
        <v>17</v>
      </c>
      <c r="G92" s="2" t="s">
        <v>1637</v>
      </c>
    </row>
    <row r="93" spans="1:7" x14ac:dyDescent="0.25">
      <c r="A93" s="63" t="s">
        <v>587</v>
      </c>
      <c r="B93" s="63" t="s">
        <v>588</v>
      </c>
      <c r="C93" s="63" t="s">
        <v>1637</v>
      </c>
      <c r="D93" s="14">
        <v>9042408483132</v>
      </c>
      <c r="E93" t="s">
        <v>17</v>
      </c>
      <c r="F93" t="e">
        <v>#N/A</v>
      </c>
      <c r="G93" s="2" t="s">
        <v>1637</v>
      </c>
    </row>
    <row r="94" spans="1:7" x14ac:dyDescent="0.25">
      <c r="A94" s="63" t="s">
        <v>751</v>
      </c>
      <c r="B94" s="63" t="s">
        <v>752</v>
      </c>
      <c r="C94" s="63" t="s">
        <v>1637</v>
      </c>
      <c r="D94" s="14">
        <v>9042408803875</v>
      </c>
      <c r="E94" t="s">
        <v>17</v>
      </c>
      <c r="F94" t="e">
        <v>#N/A</v>
      </c>
      <c r="G94" s="2" t="s">
        <v>1637</v>
      </c>
    </row>
    <row r="95" spans="1:7" x14ac:dyDescent="0.25">
      <c r="A95" s="63" t="s">
        <v>730</v>
      </c>
      <c r="B95" s="63" t="s">
        <v>731</v>
      </c>
      <c r="C95" s="63" t="s">
        <v>1637</v>
      </c>
      <c r="D95" s="14">
        <v>9042408601337</v>
      </c>
      <c r="E95" t="s">
        <v>17</v>
      </c>
      <c r="F95" t="s">
        <v>17</v>
      </c>
      <c r="G95" s="2" t="s">
        <v>1637</v>
      </c>
    </row>
    <row r="96" spans="1:7" x14ac:dyDescent="0.25">
      <c r="A96" s="63" t="s">
        <v>591</v>
      </c>
      <c r="B96" s="63" t="s">
        <v>592</v>
      </c>
      <c r="C96" s="63" t="s">
        <v>1637</v>
      </c>
      <c r="D96" s="14">
        <v>9042408340431</v>
      </c>
      <c r="E96" t="s">
        <v>17</v>
      </c>
      <c r="F96" t="s">
        <v>17</v>
      </c>
      <c r="G96" s="2" t="s">
        <v>1637</v>
      </c>
    </row>
    <row r="97" spans="1:7" x14ac:dyDescent="0.25">
      <c r="A97" s="63" t="s">
        <v>1677</v>
      </c>
      <c r="B97" s="63" t="s">
        <v>1678</v>
      </c>
      <c r="C97" s="63" t="s">
        <v>1637</v>
      </c>
      <c r="D97" s="14">
        <v>9042408599390</v>
      </c>
      <c r="E97" t="s">
        <v>17</v>
      </c>
      <c r="F97" t="s">
        <v>17</v>
      </c>
      <c r="G97" s="2" t="s">
        <v>1637</v>
      </c>
    </row>
    <row r="98" spans="1:7" x14ac:dyDescent="0.25">
      <c r="A98" s="63" t="s">
        <v>142</v>
      </c>
      <c r="B98" s="63" t="s">
        <v>143</v>
      </c>
      <c r="C98" s="63" t="s">
        <v>1637</v>
      </c>
      <c r="D98" s="14">
        <v>9076509186582</v>
      </c>
      <c r="E98" t="s">
        <v>17</v>
      </c>
      <c r="F98" t="s">
        <v>17</v>
      </c>
      <c r="G98" s="2" t="s">
        <v>1637</v>
      </c>
    </row>
    <row r="99" spans="1:7" x14ac:dyDescent="0.25">
      <c r="A99" s="63" t="s">
        <v>602</v>
      </c>
      <c r="B99" s="63" t="s">
        <v>603</v>
      </c>
      <c r="C99" s="63" t="s">
        <v>1637</v>
      </c>
      <c r="D99" s="14">
        <v>9042408804014</v>
      </c>
      <c r="E99" t="s">
        <v>17</v>
      </c>
      <c r="F99" t="s">
        <v>17</v>
      </c>
      <c r="G99" s="2" t="s">
        <v>1637</v>
      </c>
    </row>
    <row r="100" spans="1:7" x14ac:dyDescent="0.25">
      <c r="A100" s="63" t="s">
        <v>695</v>
      </c>
      <c r="B100" s="63" t="s">
        <v>696</v>
      </c>
      <c r="C100" s="63" t="s">
        <v>1637</v>
      </c>
      <c r="D100" s="14">
        <v>9042408970310</v>
      </c>
      <c r="E100" t="s">
        <v>17</v>
      </c>
      <c r="F100" t="s">
        <v>17</v>
      </c>
      <c r="G100" s="2" t="s">
        <v>1637</v>
      </c>
    </row>
    <row r="101" spans="1:7" x14ac:dyDescent="0.25">
      <c r="A101" s="63" t="s">
        <v>782</v>
      </c>
      <c r="B101" s="63" t="s">
        <v>783</v>
      </c>
      <c r="C101" s="63" t="s">
        <v>1637</v>
      </c>
      <c r="D101" s="14">
        <v>9076509186590</v>
      </c>
      <c r="E101" t="s">
        <v>17</v>
      </c>
      <c r="F101" t="s">
        <v>17</v>
      </c>
      <c r="G101" s="2" t="s">
        <v>1637</v>
      </c>
    </row>
    <row r="102" spans="1:7" x14ac:dyDescent="0.25">
      <c r="A102" s="63" t="s">
        <v>543</v>
      </c>
      <c r="B102" s="63" t="s">
        <v>544</v>
      </c>
      <c r="C102" s="63" t="s">
        <v>1637</v>
      </c>
      <c r="D102" s="14">
        <v>9042408803511</v>
      </c>
      <c r="E102" t="s">
        <v>17</v>
      </c>
      <c r="F102" t="s">
        <v>17</v>
      </c>
      <c r="G102" s="2" t="s">
        <v>1637</v>
      </c>
    </row>
    <row r="103" spans="1:7" x14ac:dyDescent="0.25">
      <c r="A103" s="63" t="s">
        <v>689</v>
      </c>
      <c r="B103" s="63" t="s">
        <v>690</v>
      </c>
      <c r="C103" s="63" t="s">
        <v>1637</v>
      </c>
      <c r="D103" s="14">
        <v>9042408970153</v>
      </c>
      <c r="E103" t="s">
        <v>17</v>
      </c>
      <c r="F103" t="e">
        <v>#N/A</v>
      </c>
      <c r="G103" s="2" t="s">
        <v>1637</v>
      </c>
    </row>
    <row r="104" spans="1:7" x14ac:dyDescent="0.25">
      <c r="A104" s="63" t="s">
        <v>162</v>
      </c>
      <c r="B104" s="63" t="s">
        <v>163</v>
      </c>
      <c r="C104" s="63" t="s">
        <v>1637</v>
      </c>
      <c r="D104" s="14">
        <v>9042408340449</v>
      </c>
      <c r="E104" t="s">
        <v>17</v>
      </c>
      <c r="F104" t="s">
        <v>17</v>
      </c>
      <c r="G104" s="2" t="s">
        <v>1637</v>
      </c>
    </row>
    <row r="105" spans="1:7" x14ac:dyDescent="0.25">
      <c r="A105" s="63" t="s">
        <v>300</v>
      </c>
      <c r="B105" s="63" t="s">
        <v>301</v>
      </c>
      <c r="C105" s="63" t="s">
        <v>1637</v>
      </c>
      <c r="D105" s="14">
        <v>9042407752164</v>
      </c>
      <c r="E105" t="s">
        <v>17</v>
      </c>
      <c r="F105" t="s">
        <v>17</v>
      </c>
      <c r="G105" s="2" t="s">
        <v>1637</v>
      </c>
    </row>
    <row r="106" spans="1:7" x14ac:dyDescent="0.25">
      <c r="A106" s="63" t="s">
        <v>419</v>
      </c>
      <c r="B106" s="63" t="s">
        <v>420</v>
      </c>
      <c r="C106" s="63" t="s">
        <v>1637</v>
      </c>
      <c r="D106" s="14">
        <v>9042407752081</v>
      </c>
      <c r="E106" t="s">
        <v>17</v>
      </c>
      <c r="F106" t="s">
        <v>17</v>
      </c>
      <c r="G106" s="2" t="s">
        <v>1637</v>
      </c>
    </row>
    <row r="107" spans="1:7" x14ac:dyDescent="0.25">
      <c r="A107" s="63" t="s">
        <v>1533</v>
      </c>
      <c r="B107" s="63" t="s">
        <v>1679</v>
      </c>
      <c r="C107" s="63" t="s">
        <v>1637</v>
      </c>
      <c r="D107" s="14">
        <v>9042408970294</v>
      </c>
      <c r="E107" t="s">
        <v>17</v>
      </c>
      <c r="F107" t="s">
        <v>17</v>
      </c>
      <c r="G107" s="2" t="s">
        <v>1637</v>
      </c>
    </row>
    <row r="108" spans="1:7" x14ac:dyDescent="0.25">
      <c r="A108" s="63" t="s">
        <v>551</v>
      </c>
      <c r="B108" s="63" t="s">
        <v>552</v>
      </c>
      <c r="C108" s="63" t="s">
        <v>1637</v>
      </c>
      <c r="D108" s="14">
        <v>9042407024028</v>
      </c>
      <c r="E108" t="s">
        <v>17</v>
      </c>
      <c r="F108" t="s">
        <v>17</v>
      </c>
      <c r="G108" s="2" t="s">
        <v>1637</v>
      </c>
    </row>
    <row r="109" spans="1:7" x14ac:dyDescent="0.25">
      <c r="A109" s="77" t="s">
        <v>709</v>
      </c>
      <c r="B109" s="63" t="s">
        <v>710</v>
      </c>
      <c r="C109" s="63" t="s">
        <v>1637</v>
      </c>
      <c r="D109" s="14">
        <v>9042408481839</v>
      </c>
      <c r="E109" t="s">
        <v>17</v>
      </c>
      <c r="F109" t="s">
        <v>17</v>
      </c>
      <c r="G109" s="2" t="s">
        <v>1637</v>
      </c>
    </row>
    <row r="110" spans="1:7" x14ac:dyDescent="0.25">
      <c r="A110" s="63" t="s">
        <v>672</v>
      </c>
      <c r="B110" s="63" t="s">
        <v>673</v>
      </c>
      <c r="C110" s="63" t="s">
        <v>1637</v>
      </c>
      <c r="D110" s="14">
        <v>9042408970369</v>
      </c>
      <c r="E110" t="s">
        <v>17</v>
      </c>
      <c r="F110" t="s">
        <v>17</v>
      </c>
      <c r="G110" s="2" t="s">
        <v>1637</v>
      </c>
    </row>
    <row r="111" spans="1:7" x14ac:dyDescent="0.25">
      <c r="A111" s="63" t="s">
        <v>728</v>
      </c>
      <c r="B111" s="63" t="s">
        <v>729</v>
      </c>
      <c r="C111" s="63" t="s">
        <v>1637</v>
      </c>
      <c r="D111" s="14">
        <v>9042408970518</v>
      </c>
      <c r="E111" t="s">
        <v>17</v>
      </c>
      <c r="F111" t="s">
        <v>17</v>
      </c>
      <c r="G111" s="2" t="s">
        <v>1637</v>
      </c>
    </row>
    <row r="112" spans="1:7" x14ac:dyDescent="0.25">
      <c r="A112" s="63" t="s">
        <v>606</v>
      </c>
      <c r="B112" s="63" t="s">
        <v>607</v>
      </c>
      <c r="C112" s="63" t="s">
        <v>1637</v>
      </c>
      <c r="D112" s="14">
        <v>9076505447210</v>
      </c>
      <c r="E112" t="s">
        <v>17</v>
      </c>
      <c r="F112" t="s">
        <v>17</v>
      </c>
      <c r="G112" s="2" t="s">
        <v>1637</v>
      </c>
    </row>
    <row r="113" spans="1:7" x14ac:dyDescent="0.25">
      <c r="A113" s="63" t="s">
        <v>484</v>
      </c>
      <c r="B113" s="63" t="s">
        <v>485</v>
      </c>
      <c r="C113" s="63" t="s">
        <v>1637</v>
      </c>
      <c r="D113" s="14">
        <v>9076505447269</v>
      </c>
      <c r="E113" t="s">
        <v>17</v>
      </c>
      <c r="F113" t="s">
        <v>17</v>
      </c>
      <c r="G113" s="2" t="s">
        <v>1637</v>
      </c>
    </row>
    <row r="114" spans="1:7" x14ac:dyDescent="0.25">
      <c r="A114" s="63" t="s">
        <v>365</v>
      </c>
      <c r="B114" s="63" t="s">
        <v>366</v>
      </c>
      <c r="C114" s="63" t="s">
        <v>1637</v>
      </c>
      <c r="D114" s="14">
        <v>9042408804006</v>
      </c>
      <c r="E114" t="s">
        <v>17</v>
      </c>
      <c r="F114" t="s">
        <v>17</v>
      </c>
      <c r="G114" s="2" t="s">
        <v>1637</v>
      </c>
    </row>
    <row r="115" spans="1:7" x14ac:dyDescent="0.25">
      <c r="A115" s="71" t="s">
        <v>1680</v>
      </c>
      <c r="B115" s="63" t="e">
        <v>#N/A</v>
      </c>
      <c r="C115" s="71" t="s">
        <v>1637</v>
      </c>
      <c r="D115" s="14" t="e">
        <v>#N/A</v>
      </c>
      <c r="E115" t="e">
        <v>#N/A</v>
      </c>
      <c r="F115" t="e">
        <v>#N/A</v>
      </c>
      <c r="G115" s="2" t="e">
        <v>#N/A</v>
      </c>
    </row>
    <row r="116" spans="1:7" x14ac:dyDescent="0.25">
      <c r="A116" s="63" t="s">
        <v>22</v>
      </c>
      <c r="B116" s="63" t="s">
        <v>23</v>
      </c>
      <c r="C116" s="63" t="s">
        <v>1637</v>
      </c>
      <c r="D116" s="14">
        <v>9042408340548</v>
      </c>
      <c r="E116" t="s">
        <v>17</v>
      </c>
      <c r="F116" t="s">
        <v>17</v>
      </c>
      <c r="G116" s="2" t="s">
        <v>1637</v>
      </c>
    </row>
    <row r="117" spans="1:7" x14ac:dyDescent="0.25">
      <c r="A117" s="71" t="s">
        <v>1681</v>
      </c>
      <c r="B117" s="63" t="e">
        <v>#N/A</v>
      </c>
      <c r="C117" s="71" t="s">
        <v>1637</v>
      </c>
      <c r="D117" s="14" t="e">
        <v>#N/A</v>
      </c>
      <c r="E117" t="e">
        <v>#N/A</v>
      </c>
      <c r="F117" t="e">
        <v>#N/A</v>
      </c>
      <c r="G117" s="2" t="e">
        <v>#N/A</v>
      </c>
    </row>
    <row r="118" spans="1:7" x14ac:dyDescent="0.25">
      <c r="A118" s="63" t="s">
        <v>374</v>
      </c>
      <c r="B118" s="63" t="s">
        <v>375</v>
      </c>
      <c r="C118" s="63" t="s">
        <v>1637</v>
      </c>
      <c r="D118" s="14">
        <v>9042407024010</v>
      </c>
      <c r="E118" t="s">
        <v>17</v>
      </c>
      <c r="F118" t="s">
        <v>17</v>
      </c>
      <c r="G118" s="2" t="s">
        <v>1637</v>
      </c>
    </row>
    <row r="119" spans="1:7" x14ac:dyDescent="0.25">
      <c r="A119" s="63" t="s">
        <v>342</v>
      </c>
      <c r="B119" s="63" t="s">
        <v>343</v>
      </c>
      <c r="C119" s="63" t="s">
        <v>1637</v>
      </c>
      <c r="D119" s="14">
        <v>9042408970476</v>
      </c>
      <c r="E119" t="s">
        <v>17</v>
      </c>
      <c r="F119" t="e">
        <v>#N/A</v>
      </c>
      <c r="G119" s="2" t="s">
        <v>1637</v>
      </c>
    </row>
    <row r="120" spans="1:7" x14ac:dyDescent="0.25">
      <c r="A120" s="63" t="s">
        <v>741</v>
      </c>
      <c r="B120" s="63" t="s">
        <v>742</v>
      </c>
      <c r="C120" s="63" t="s">
        <v>1637</v>
      </c>
      <c r="D120" s="14">
        <v>9042408970179</v>
      </c>
      <c r="E120" t="s">
        <v>17</v>
      </c>
      <c r="F120" t="e">
        <v>#N/A</v>
      </c>
      <c r="G120" s="2" t="s">
        <v>1637</v>
      </c>
    </row>
    <row r="121" spans="1:7" x14ac:dyDescent="0.25">
      <c r="A121" s="63" t="s">
        <v>426</v>
      </c>
      <c r="B121" s="63" t="s">
        <v>427</v>
      </c>
      <c r="C121" s="63" t="s">
        <v>1637</v>
      </c>
      <c r="D121" s="14">
        <v>9042407024119</v>
      </c>
      <c r="E121" t="s">
        <v>17</v>
      </c>
      <c r="F121" t="s">
        <v>17</v>
      </c>
      <c r="G121" s="2" t="s">
        <v>1637</v>
      </c>
    </row>
    <row r="122" spans="1:7" x14ac:dyDescent="0.25">
      <c r="A122" s="63" t="s">
        <v>619</v>
      </c>
      <c r="B122" s="63" t="s">
        <v>620</v>
      </c>
      <c r="C122" s="63" t="s">
        <v>1637</v>
      </c>
      <c r="D122" s="14">
        <v>9042408340472</v>
      </c>
      <c r="E122" t="s">
        <v>17</v>
      </c>
      <c r="F122" t="s">
        <v>17</v>
      </c>
      <c r="G122" s="2" t="s">
        <v>1637</v>
      </c>
    </row>
    <row r="123" spans="1:7" x14ac:dyDescent="0.25">
      <c r="A123" s="63" t="s">
        <v>668</v>
      </c>
      <c r="B123" s="63" t="s">
        <v>669</v>
      </c>
      <c r="C123" s="63" t="s">
        <v>1637</v>
      </c>
      <c r="D123" s="14">
        <v>9042407024036</v>
      </c>
      <c r="E123" t="s">
        <v>17</v>
      </c>
      <c r="F123" t="s">
        <v>17</v>
      </c>
      <c r="G123" s="2" t="s">
        <v>1637</v>
      </c>
    </row>
    <row r="124" spans="1:7" x14ac:dyDescent="0.25">
      <c r="A124" s="63" t="s">
        <v>553</v>
      </c>
      <c r="B124" s="63" t="s">
        <v>554</v>
      </c>
      <c r="C124" s="63" t="s">
        <v>1637</v>
      </c>
      <c r="D124" s="14">
        <v>9042407552028</v>
      </c>
      <c r="E124" t="s">
        <v>17</v>
      </c>
      <c r="F124" t="s">
        <v>17</v>
      </c>
      <c r="G124" s="2" t="s">
        <v>1637</v>
      </c>
    </row>
    <row r="125" spans="1:7" x14ac:dyDescent="0.25">
      <c r="A125" s="63" t="s">
        <v>1111</v>
      </c>
      <c r="B125" s="63" t="s">
        <v>1682</v>
      </c>
      <c r="C125" s="63" t="s">
        <v>1637</v>
      </c>
      <c r="D125" s="14">
        <v>9076505447145</v>
      </c>
      <c r="E125" t="s">
        <v>17</v>
      </c>
      <c r="F125" t="s">
        <v>17</v>
      </c>
      <c r="G125" s="2" t="s">
        <v>1637</v>
      </c>
    </row>
    <row r="126" spans="1:7" x14ac:dyDescent="0.25">
      <c r="A126" s="63" t="s">
        <v>631</v>
      </c>
      <c r="B126" s="63" t="s">
        <v>632</v>
      </c>
      <c r="C126" s="63" t="s">
        <v>1637</v>
      </c>
      <c r="D126" s="14">
        <v>9042407983603</v>
      </c>
      <c r="E126" t="s">
        <v>17</v>
      </c>
      <c r="F126" t="s">
        <v>17</v>
      </c>
      <c r="G126" s="2" t="s">
        <v>1637</v>
      </c>
    </row>
    <row r="127" spans="1:7" x14ac:dyDescent="0.25">
      <c r="A127" s="63" t="s">
        <v>504</v>
      </c>
      <c r="B127" s="63" t="s">
        <v>505</v>
      </c>
      <c r="C127" s="63" t="s">
        <v>1637</v>
      </c>
      <c r="D127" s="14">
        <v>9042407080517</v>
      </c>
      <c r="E127" t="s">
        <v>17</v>
      </c>
      <c r="F127" t="s">
        <v>17</v>
      </c>
      <c r="G127" s="2" t="s">
        <v>1637</v>
      </c>
    </row>
    <row r="128" spans="1:7" x14ac:dyDescent="0.25">
      <c r="A128" s="63" t="s">
        <v>633</v>
      </c>
      <c r="B128" s="63" t="s">
        <v>634</v>
      </c>
      <c r="C128" s="63" t="s">
        <v>1637</v>
      </c>
      <c r="D128" s="14">
        <v>9042408249251</v>
      </c>
      <c r="E128" t="s">
        <v>17</v>
      </c>
      <c r="F128" t="s">
        <v>17</v>
      </c>
      <c r="G128" s="2" t="s">
        <v>1637</v>
      </c>
    </row>
    <row r="129" spans="1:7" x14ac:dyDescent="0.25">
      <c r="A129" s="63" t="s">
        <v>1683</v>
      </c>
      <c r="B129" s="63" t="s">
        <v>1684</v>
      </c>
      <c r="C129" s="63" t="s">
        <v>1637</v>
      </c>
      <c r="D129" s="14">
        <v>9042407986853</v>
      </c>
      <c r="E129" t="s">
        <v>17</v>
      </c>
      <c r="F129" t="s">
        <v>17</v>
      </c>
      <c r="G129" s="2" t="s">
        <v>1637</v>
      </c>
    </row>
    <row r="130" spans="1:7" x14ac:dyDescent="0.25">
      <c r="A130" s="63" t="s">
        <v>608</v>
      </c>
      <c r="B130" s="63" t="s">
        <v>609</v>
      </c>
      <c r="C130" s="63" t="s">
        <v>1637</v>
      </c>
      <c r="D130" s="14">
        <v>9042408482993</v>
      </c>
      <c r="E130" t="s">
        <v>17</v>
      </c>
      <c r="F130" t="e">
        <v>#N/A</v>
      </c>
      <c r="G130" s="2" t="s">
        <v>1637</v>
      </c>
    </row>
    <row r="131" spans="1:7" x14ac:dyDescent="0.25">
      <c r="A131" s="63" t="s">
        <v>1351</v>
      </c>
      <c r="B131" s="63" t="s">
        <v>1685</v>
      </c>
      <c r="C131" s="63" t="s">
        <v>1637</v>
      </c>
      <c r="D131" s="14">
        <v>9042408249269</v>
      </c>
      <c r="E131" t="s">
        <v>17</v>
      </c>
      <c r="F131" t="s">
        <v>17</v>
      </c>
      <c r="G131" s="2" t="s">
        <v>1637</v>
      </c>
    </row>
    <row r="132" spans="1:7" x14ac:dyDescent="0.25">
      <c r="A132" s="63" t="s">
        <v>559</v>
      </c>
      <c r="B132" s="63" t="s">
        <v>560</v>
      </c>
      <c r="C132" s="63" t="s">
        <v>1637</v>
      </c>
      <c r="D132" s="14">
        <v>9042408803487</v>
      </c>
      <c r="E132" t="s">
        <v>17</v>
      </c>
      <c r="F132" t="s">
        <v>17</v>
      </c>
      <c r="G132" s="2" t="s">
        <v>1637</v>
      </c>
    </row>
    <row r="133" spans="1:7" x14ac:dyDescent="0.25">
      <c r="A133" s="63" t="s">
        <v>654</v>
      </c>
      <c r="B133" s="63" t="s">
        <v>655</v>
      </c>
      <c r="C133" s="63" t="s">
        <v>1637</v>
      </c>
      <c r="D133" s="14">
        <v>9076505447251</v>
      </c>
      <c r="E133" t="s">
        <v>17</v>
      </c>
      <c r="F133" t="s">
        <v>17</v>
      </c>
      <c r="G133" s="2" t="s">
        <v>1637</v>
      </c>
    </row>
    <row r="134" spans="1:7" x14ac:dyDescent="0.25">
      <c r="A134" s="63" t="s">
        <v>127</v>
      </c>
      <c r="B134" s="63" t="s">
        <v>128</v>
      </c>
      <c r="C134" s="63" t="s">
        <v>1637</v>
      </c>
      <c r="D134" s="14">
        <v>9042408340407</v>
      </c>
      <c r="E134" t="s">
        <v>17</v>
      </c>
      <c r="F134" t="e">
        <v>#N/A</v>
      </c>
      <c r="G134" s="2" t="s">
        <v>1637</v>
      </c>
    </row>
    <row r="135" spans="1:7" x14ac:dyDescent="0.25">
      <c r="A135" s="78" t="s">
        <v>279</v>
      </c>
      <c r="B135" s="63" t="s">
        <v>280</v>
      </c>
      <c r="C135" s="78" t="s">
        <v>1637</v>
      </c>
      <c r="D135" s="14">
        <v>9076509301694</v>
      </c>
      <c r="E135" t="s">
        <v>17</v>
      </c>
      <c r="F135" t="e">
        <v>#N/A</v>
      </c>
      <c r="G135" s="2" t="s">
        <v>1637</v>
      </c>
    </row>
    <row r="136" spans="1:7" x14ac:dyDescent="0.25">
      <c r="A136" s="63" t="s">
        <v>786</v>
      </c>
      <c r="B136" s="63" t="s">
        <v>787</v>
      </c>
      <c r="C136" s="63" t="s">
        <v>1637</v>
      </c>
      <c r="D136" s="14">
        <v>9042407080558</v>
      </c>
      <c r="E136" t="s">
        <v>17</v>
      </c>
      <c r="F136" t="e">
        <v>#N/A</v>
      </c>
      <c r="G136" s="2" t="s">
        <v>1637</v>
      </c>
    </row>
    <row r="137" spans="1:7" x14ac:dyDescent="0.25">
      <c r="A137" s="63" t="s">
        <v>1686</v>
      </c>
      <c r="B137" s="63" t="s">
        <v>1687</v>
      </c>
      <c r="C137" s="63" t="s">
        <v>1637</v>
      </c>
      <c r="D137" s="14">
        <v>9042407986838</v>
      </c>
      <c r="E137" t="s">
        <v>17</v>
      </c>
      <c r="F137" t="e">
        <v>#N/A</v>
      </c>
      <c r="G137" s="2" t="s">
        <v>1637</v>
      </c>
    </row>
    <row r="138" spans="1:7" x14ac:dyDescent="0.25">
      <c r="A138" s="63" t="s">
        <v>60</v>
      </c>
      <c r="B138" s="63" t="s">
        <v>61</v>
      </c>
      <c r="C138" s="63" t="s">
        <v>1637</v>
      </c>
      <c r="D138" s="14">
        <v>9042407552119</v>
      </c>
      <c r="E138" t="s">
        <v>17</v>
      </c>
      <c r="F138" t="e">
        <v>#N/A</v>
      </c>
      <c r="G138" s="2" t="s">
        <v>1637</v>
      </c>
    </row>
    <row r="139" spans="1:7" x14ac:dyDescent="0.25">
      <c r="A139" s="63" t="s">
        <v>430</v>
      </c>
      <c r="B139" s="63" t="s">
        <v>431</v>
      </c>
      <c r="C139" s="63" t="s">
        <v>1637</v>
      </c>
      <c r="D139" s="14">
        <v>9042407399966</v>
      </c>
      <c r="E139" t="s">
        <v>17</v>
      </c>
      <c r="F139" t="s">
        <v>17</v>
      </c>
      <c r="G139" s="2" t="s">
        <v>1637</v>
      </c>
    </row>
    <row r="140" spans="1:7" x14ac:dyDescent="0.25">
      <c r="A140" s="63" t="s">
        <v>331</v>
      </c>
      <c r="B140" s="63" t="s">
        <v>332</v>
      </c>
      <c r="C140" s="63" t="s">
        <v>1637</v>
      </c>
      <c r="D140" s="14">
        <v>9042408340522</v>
      </c>
      <c r="E140" t="s">
        <v>17</v>
      </c>
      <c r="F140" t="e">
        <v>#N/A</v>
      </c>
      <c r="G140" s="2" t="s">
        <v>1637</v>
      </c>
    </row>
    <row r="141" spans="1:7" x14ac:dyDescent="0.25">
      <c r="A141" s="63" t="s">
        <v>328</v>
      </c>
      <c r="B141" s="63" t="s">
        <v>329</v>
      </c>
      <c r="C141" s="63" t="s">
        <v>1637</v>
      </c>
      <c r="D141" s="14">
        <v>9076509186632</v>
      </c>
      <c r="E141" t="s">
        <v>17</v>
      </c>
      <c r="F141" t="e">
        <v>#N/A</v>
      </c>
      <c r="G141" s="2" t="s">
        <v>1637</v>
      </c>
    </row>
    <row r="142" spans="1:7" x14ac:dyDescent="0.25">
      <c r="A142" s="63" t="s">
        <v>647</v>
      </c>
      <c r="B142" s="63" t="s">
        <v>648</v>
      </c>
      <c r="C142" s="63" t="s">
        <v>1637</v>
      </c>
      <c r="D142" s="14">
        <v>9042407351702</v>
      </c>
      <c r="E142" t="s">
        <v>17</v>
      </c>
      <c r="F142" t="e">
        <v>#N/A</v>
      </c>
      <c r="G142" s="2" t="s">
        <v>1637</v>
      </c>
    </row>
    <row r="143" spans="1:7" x14ac:dyDescent="0.25">
      <c r="A143" s="63" t="s">
        <v>780</v>
      </c>
      <c r="B143" s="63" t="s">
        <v>781</v>
      </c>
      <c r="C143" s="63" t="s">
        <v>1637</v>
      </c>
      <c r="D143" s="14">
        <v>9042408803743</v>
      </c>
      <c r="E143" t="s">
        <v>17</v>
      </c>
      <c r="F143" t="e">
        <v>#N/A</v>
      </c>
      <c r="G143" s="2" t="s">
        <v>1637</v>
      </c>
    </row>
    <row r="144" spans="1:7" x14ac:dyDescent="0.25">
      <c r="A144" s="63" t="s">
        <v>179</v>
      </c>
      <c r="B144" s="63" t="s">
        <v>180</v>
      </c>
      <c r="C144" s="63" t="s">
        <v>1637</v>
      </c>
      <c r="D144" s="14">
        <v>9076509186707</v>
      </c>
      <c r="E144" t="s">
        <v>17</v>
      </c>
      <c r="F144" t="e">
        <v>#N/A</v>
      </c>
      <c r="G144" s="2" t="s">
        <v>1637</v>
      </c>
    </row>
    <row r="145" spans="1:7" x14ac:dyDescent="0.25">
      <c r="A145" s="63" t="s">
        <v>472</v>
      </c>
      <c r="B145" s="63" t="s">
        <v>473</v>
      </c>
      <c r="C145" s="63" t="s">
        <v>1637</v>
      </c>
      <c r="D145" s="14">
        <v>9042407552077</v>
      </c>
      <c r="E145" t="s">
        <v>17</v>
      </c>
      <c r="F145" t="e">
        <v>#N/A</v>
      </c>
      <c r="G145" s="2" t="s">
        <v>1637</v>
      </c>
    </row>
    <row r="146" spans="1:7" s="26" customFormat="1" x14ac:dyDescent="0.25">
      <c r="A146" s="75" t="s">
        <v>658</v>
      </c>
      <c r="B146" s="75" t="s">
        <v>1688</v>
      </c>
      <c r="C146" s="75" t="s">
        <v>1637</v>
      </c>
      <c r="D146" s="25" t="e">
        <v>#N/A</v>
      </c>
      <c r="E146" s="26" t="e">
        <v>#N/A</v>
      </c>
      <c r="F146" s="26" t="e">
        <v>#N/A</v>
      </c>
      <c r="G146" s="27" t="e">
        <v>#N/A</v>
      </c>
    </row>
    <row r="147" spans="1:7" x14ac:dyDescent="0.25">
      <c r="A147" s="63" t="s">
        <v>217</v>
      </c>
      <c r="B147" s="63" t="s">
        <v>218</v>
      </c>
      <c r="C147" s="63" t="s">
        <v>1637</v>
      </c>
      <c r="D147" s="14">
        <v>9076509301777</v>
      </c>
      <c r="E147" t="s">
        <v>17</v>
      </c>
      <c r="F147" t="e">
        <v>#N/A</v>
      </c>
      <c r="G147" s="2" t="s">
        <v>1637</v>
      </c>
    </row>
    <row r="148" spans="1:7" x14ac:dyDescent="0.25">
      <c r="A148" s="63" t="s">
        <v>1689</v>
      </c>
      <c r="B148" s="63" t="s">
        <v>1690</v>
      </c>
      <c r="C148" s="63" t="s">
        <v>1637</v>
      </c>
      <c r="D148" s="14">
        <v>9042407986739</v>
      </c>
      <c r="E148" t="s">
        <v>17</v>
      </c>
      <c r="F148" t="e">
        <v>#N/A</v>
      </c>
      <c r="G148" s="2" t="s">
        <v>1637</v>
      </c>
    </row>
    <row r="149" spans="1:7" x14ac:dyDescent="0.25">
      <c r="A149" s="63" t="s">
        <v>1691</v>
      </c>
      <c r="B149" s="63" t="s">
        <v>1688</v>
      </c>
      <c r="C149" s="63" t="s">
        <v>1637</v>
      </c>
      <c r="D149" s="14" t="e">
        <v>#N/A</v>
      </c>
      <c r="E149" t="e">
        <v>#N/A</v>
      </c>
      <c r="F149" t="e">
        <v>#N/A</v>
      </c>
      <c r="G149" s="2" t="e">
        <v>#N/A</v>
      </c>
    </row>
    <row r="150" spans="1:7" x14ac:dyDescent="0.25">
      <c r="A150" s="63" t="s">
        <v>969</v>
      </c>
      <c r="B150" s="63" t="s">
        <v>1692</v>
      </c>
      <c r="C150" s="63" t="s">
        <v>1637</v>
      </c>
      <c r="D150" s="14">
        <v>9042408970377</v>
      </c>
      <c r="E150" t="s">
        <v>17</v>
      </c>
      <c r="F150" t="e">
        <v>#N/A</v>
      </c>
      <c r="G150" s="2" t="s">
        <v>1637</v>
      </c>
    </row>
    <row r="151" spans="1:7" x14ac:dyDescent="0.25">
      <c r="A151" s="63" t="s">
        <v>806</v>
      </c>
      <c r="B151" s="63" t="s">
        <v>807</v>
      </c>
      <c r="C151" s="63" t="s">
        <v>1637</v>
      </c>
      <c r="D151" s="14">
        <v>9042408483074</v>
      </c>
      <c r="E151" t="s">
        <v>17</v>
      </c>
      <c r="F151" t="e">
        <v>#N/A</v>
      </c>
      <c r="G151" s="2" t="s">
        <v>1637</v>
      </c>
    </row>
    <row r="152" spans="1:7" x14ac:dyDescent="0.25">
      <c r="A152" s="63" t="s">
        <v>474</v>
      </c>
      <c r="B152" s="63" t="s">
        <v>475</v>
      </c>
      <c r="C152" s="63" t="s">
        <v>1637</v>
      </c>
      <c r="D152" s="14">
        <v>9042408599408</v>
      </c>
      <c r="E152" t="s">
        <v>17</v>
      </c>
      <c r="F152" t="e">
        <v>#N/A</v>
      </c>
      <c r="G152" s="2" t="s">
        <v>1637</v>
      </c>
    </row>
    <row r="153" spans="1:7" x14ac:dyDescent="0.25">
      <c r="A153" s="63" t="s">
        <v>453</v>
      </c>
      <c r="B153" s="63" t="s">
        <v>454</v>
      </c>
      <c r="C153" s="63" t="s">
        <v>1637</v>
      </c>
      <c r="D153" s="14">
        <v>9042408599416</v>
      </c>
      <c r="E153" t="s">
        <v>17</v>
      </c>
      <c r="F153" t="e">
        <v>#N/A</v>
      </c>
      <c r="G153" s="2" t="s">
        <v>1637</v>
      </c>
    </row>
    <row r="154" spans="1:7" s="32" customFormat="1" x14ac:dyDescent="0.25">
      <c r="A154" s="79" t="s">
        <v>1693</v>
      </c>
      <c r="B154" s="79" t="s">
        <v>1662</v>
      </c>
      <c r="C154" s="79" t="s">
        <v>1637</v>
      </c>
      <c r="D154" s="31" t="e">
        <v>#N/A</v>
      </c>
      <c r="E154" s="32" t="e">
        <v>#N/A</v>
      </c>
      <c r="F154" s="32" t="e">
        <v>#N/A</v>
      </c>
      <c r="G154" s="33" t="e">
        <v>#N/A</v>
      </c>
    </row>
    <row r="155" spans="1:7" x14ac:dyDescent="0.25">
      <c r="A155" s="63" t="s">
        <v>113</v>
      </c>
      <c r="B155" s="63" t="s">
        <v>114</v>
      </c>
      <c r="C155" s="63" t="s">
        <v>1637</v>
      </c>
      <c r="D155" s="14">
        <v>9076509301660</v>
      </c>
      <c r="E155" t="s">
        <v>17</v>
      </c>
      <c r="F155" t="e">
        <v>#N/A</v>
      </c>
      <c r="G155" s="2" t="s">
        <v>1637</v>
      </c>
    </row>
    <row r="156" spans="1:7" x14ac:dyDescent="0.25">
      <c r="A156" s="63" t="s">
        <v>563</v>
      </c>
      <c r="B156" s="63" t="s">
        <v>564</v>
      </c>
      <c r="C156" s="63" t="s">
        <v>1637</v>
      </c>
      <c r="D156" s="14">
        <v>9042407266629</v>
      </c>
      <c r="E156" t="s">
        <v>17</v>
      </c>
      <c r="F156" t="e">
        <v>#N/A</v>
      </c>
      <c r="G156" s="2" t="s">
        <v>1637</v>
      </c>
    </row>
    <row r="157" spans="1:7" x14ac:dyDescent="0.25">
      <c r="A157" s="63" t="s">
        <v>1007</v>
      </c>
      <c r="B157" s="63" t="s">
        <v>1694</v>
      </c>
      <c r="C157" s="63" t="s">
        <v>1637</v>
      </c>
      <c r="D157" s="14">
        <v>9042408970500</v>
      </c>
      <c r="E157" t="s">
        <v>17</v>
      </c>
      <c r="F157" t="e">
        <v>#N/A</v>
      </c>
      <c r="G157" s="2" t="s">
        <v>1637</v>
      </c>
    </row>
    <row r="158" spans="1:7" x14ac:dyDescent="0.25">
      <c r="A158" s="63" t="s">
        <v>482</v>
      </c>
      <c r="B158" s="63" t="s">
        <v>483</v>
      </c>
      <c r="C158" s="63" t="s">
        <v>1637</v>
      </c>
      <c r="D158" s="14">
        <v>9042407552242</v>
      </c>
      <c r="E158" t="s">
        <v>17</v>
      </c>
      <c r="F158" t="e">
        <v>#N/A</v>
      </c>
      <c r="G158" s="2" t="s">
        <v>1637</v>
      </c>
    </row>
    <row r="159" spans="1:7" x14ac:dyDescent="0.25">
      <c r="A159" s="63" t="s">
        <v>759</v>
      </c>
      <c r="B159" s="63" t="s">
        <v>760</v>
      </c>
      <c r="C159" s="63" t="s">
        <v>1637</v>
      </c>
      <c r="D159" s="14">
        <v>9076505447285</v>
      </c>
      <c r="E159" t="s">
        <v>17</v>
      </c>
      <c r="F159" t="s">
        <v>17</v>
      </c>
      <c r="G159" s="2" t="s">
        <v>1637</v>
      </c>
    </row>
    <row r="160" spans="1:7" x14ac:dyDescent="0.25">
      <c r="A160" s="63" t="s">
        <v>502</v>
      </c>
      <c r="B160" s="63" t="s">
        <v>503</v>
      </c>
      <c r="C160" s="63" t="s">
        <v>1637</v>
      </c>
      <c r="D160" s="14">
        <v>9042408970302</v>
      </c>
      <c r="E160" t="s">
        <v>17</v>
      </c>
      <c r="F160" t="e">
        <v>#N/A</v>
      </c>
      <c r="G160" s="2" t="s">
        <v>1637</v>
      </c>
    </row>
    <row r="161" spans="1:7" x14ac:dyDescent="0.25">
      <c r="A161" s="63" t="s">
        <v>320</v>
      </c>
      <c r="B161" s="63" t="s">
        <v>321</v>
      </c>
      <c r="C161" s="63" t="s">
        <v>1637</v>
      </c>
      <c r="D161" s="14">
        <v>9042408803883</v>
      </c>
      <c r="E161" t="s">
        <v>17</v>
      </c>
      <c r="F161" t="e">
        <v>#N/A</v>
      </c>
      <c r="G161" s="2" t="s">
        <v>1637</v>
      </c>
    </row>
    <row r="162" spans="1:7" x14ac:dyDescent="0.25">
      <c r="A162" s="63" t="s">
        <v>77</v>
      </c>
      <c r="B162" s="63" t="s">
        <v>78</v>
      </c>
      <c r="C162" s="63" t="s">
        <v>1637</v>
      </c>
      <c r="D162" s="14">
        <v>9042406781941</v>
      </c>
      <c r="E162" t="s">
        <v>17</v>
      </c>
      <c r="F162" t="e">
        <v>#N/A</v>
      </c>
      <c r="G162" s="2" t="s">
        <v>1637</v>
      </c>
    </row>
    <row r="163" spans="1:7" x14ac:dyDescent="0.25">
      <c r="A163" s="63" t="s">
        <v>433</v>
      </c>
      <c r="B163" s="63" t="s">
        <v>434</v>
      </c>
      <c r="C163" s="63" t="s">
        <v>1637</v>
      </c>
      <c r="D163" s="14">
        <v>9076505613233</v>
      </c>
      <c r="E163" t="s">
        <v>17</v>
      </c>
      <c r="F163" t="e">
        <v>#N/A</v>
      </c>
      <c r="G163" s="2" t="s">
        <v>1637</v>
      </c>
    </row>
    <row r="164" spans="1:7" x14ac:dyDescent="0.25">
      <c r="A164" s="63" t="s">
        <v>378</v>
      </c>
      <c r="B164" s="63" t="s">
        <v>379</v>
      </c>
      <c r="C164" s="63" t="s">
        <v>1637</v>
      </c>
      <c r="D164" s="14">
        <v>9042408482985</v>
      </c>
      <c r="E164" t="s">
        <v>17</v>
      </c>
      <c r="F164" t="e">
        <v>#N/A</v>
      </c>
      <c r="G164" s="2" t="s">
        <v>1637</v>
      </c>
    </row>
    <row r="165" spans="1:7" x14ac:dyDescent="0.25">
      <c r="A165" s="63" t="s">
        <v>257</v>
      </c>
      <c r="B165" s="63" t="s">
        <v>258</v>
      </c>
      <c r="C165" s="63" t="s">
        <v>1637</v>
      </c>
      <c r="D165" s="14">
        <v>9042408970286</v>
      </c>
      <c r="E165" t="s">
        <v>17</v>
      </c>
      <c r="F165" t="s">
        <v>17</v>
      </c>
      <c r="G165" s="2" t="s">
        <v>1637</v>
      </c>
    </row>
    <row r="166" spans="1:7" x14ac:dyDescent="0.25">
      <c r="A166" s="63" t="s">
        <v>88</v>
      </c>
      <c r="B166" s="63" t="s">
        <v>89</v>
      </c>
      <c r="C166" s="63" t="s">
        <v>1637</v>
      </c>
      <c r="D166" s="14">
        <v>9042407986697</v>
      </c>
      <c r="E166" t="s">
        <v>17</v>
      </c>
      <c r="F166" t="e">
        <v>#N/A</v>
      </c>
      <c r="G166" s="2" t="s">
        <v>1637</v>
      </c>
    </row>
    <row r="167" spans="1:7" x14ac:dyDescent="0.25">
      <c r="A167" s="63" t="s">
        <v>1695</v>
      </c>
      <c r="B167" s="63" t="s">
        <v>1696</v>
      </c>
      <c r="C167" s="63" t="s">
        <v>1637</v>
      </c>
      <c r="D167" s="14">
        <v>9076505447533</v>
      </c>
      <c r="E167" t="s">
        <v>17</v>
      </c>
      <c r="F167" t="e">
        <v>#N/A</v>
      </c>
      <c r="G167" s="2" t="s">
        <v>1637</v>
      </c>
    </row>
    <row r="168" spans="1:7" x14ac:dyDescent="0.25">
      <c r="A168" s="63" t="s">
        <v>726</v>
      </c>
      <c r="B168" s="63" t="s">
        <v>727</v>
      </c>
      <c r="C168" s="63" t="s">
        <v>1637</v>
      </c>
      <c r="D168" s="14">
        <v>9042407024184</v>
      </c>
      <c r="E168" t="s">
        <v>17</v>
      </c>
      <c r="F168" t="e">
        <v>#N/A</v>
      </c>
      <c r="G168" s="2" t="s">
        <v>1637</v>
      </c>
    </row>
    <row r="169" spans="1:7" s="32" customFormat="1" x14ac:dyDescent="0.25">
      <c r="A169" s="79" t="s">
        <v>1273</v>
      </c>
      <c r="B169" s="79" t="s">
        <v>1662</v>
      </c>
      <c r="C169" s="79" t="s">
        <v>1637</v>
      </c>
      <c r="D169" s="31" t="e">
        <v>#N/A</v>
      </c>
      <c r="E169" s="32" t="e">
        <v>#N/A</v>
      </c>
      <c r="F169" s="32" t="e">
        <v>#N/A</v>
      </c>
      <c r="G169" s="33" t="e">
        <v>#N/A</v>
      </c>
    </row>
    <row r="170" spans="1:7" x14ac:dyDescent="0.25">
      <c r="A170" s="63" t="s">
        <v>1258</v>
      </c>
      <c r="B170" s="63" t="s">
        <v>1697</v>
      </c>
      <c r="C170" s="63" t="s">
        <v>1637</v>
      </c>
      <c r="D170" s="14">
        <v>9042408803826</v>
      </c>
      <c r="E170" t="s">
        <v>17</v>
      </c>
      <c r="F170" t="e">
        <v>#N/A</v>
      </c>
      <c r="G170" s="2" t="s">
        <v>1637</v>
      </c>
    </row>
    <row r="171" spans="1:7" x14ac:dyDescent="0.25">
      <c r="A171" s="63" t="s">
        <v>324</v>
      </c>
      <c r="B171" s="63" t="s">
        <v>325</v>
      </c>
      <c r="C171" s="63" t="s">
        <v>1637</v>
      </c>
      <c r="D171" s="14">
        <v>9076505613191</v>
      </c>
      <c r="E171" t="s">
        <v>17</v>
      </c>
      <c r="F171" t="s">
        <v>17</v>
      </c>
      <c r="G171" s="2" t="s">
        <v>1637</v>
      </c>
    </row>
    <row r="172" spans="1:7" x14ac:dyDescent="0.25">
      <c r="A172" s="80" t="s">
        <v>1698</v>
      </c>
      <c r="B172" s="63" t="e">
        <v>#N/A</v>
      </c>
      <c r="C172" s="71" t="s">
        <v>1637</v>
      </c>
      <c r="D172" s="14" t="e">
        <v>#N/A</v>
      </c>
      <c r="E172" t="e">
        <v>#N/A</v>
      </c>
      <c r="F172" t="e">
        <v>#N/A</v>
      </c>
      <c r="G172" s="2" t="e">
        <v>#N/A</v>
      </c>
    </row>
    <row r="173" spans="1:7" ht="18" customHeight="1" x14ac:dyDescent="0.25">
      <c r="A173" s="63" t="s">
        <v>43</v>
      </c>
      <c r="B173" s="63" t="s">
        <v>44</v>
      </c>
      <c r="C173" s="63" t="s">
        <v>1637</v>
      </c>
      <c r="D173" s="14">
        <v>9076505875360</v>
      </c>
      <c r="E173" t="s">
        <v>17</v>
      </c>
      <c r="F173" t="e">
        <v>#N/A</v>
      </c>
      <c r="G173" s="2" t="s">
        <v>1637</v>
      </c>
    </row>
    <row r="174" spans="1:7" s="26" customFormat="1" x14ac:dyDescent="0.25">
      <c r="A174" s="75" t="s">
        <v>1699</v>
      </c>
      <c r="B174" s="75" t="s">
        <v>1688</v>
      </c>
      <c r="C174" s="75" t="s">
        <v>1637</v>
      </c>
      <c r="D174" s="25" t="e">
        <v>#N/A</v>
      </c>
      <c r="E174" s="26" t="e">
        <v>#N/A</v>
      </c>
      <c r="F174" s="26" t="e">
        <v>#N/A</v>
      </c>
      <c r="G174" s="27" t="e">
        <v>#N/A</v>
      </c>
    </row>
    <row r="175" spans="1:7" x14ac:dyDescent="0.25">
      <c r="A175" s="63" t="s">
        <v>291</v>
      </c>
      <c r="B175" s="63" t="s">
        <v>292</v>
      </c>
      <c r="C175" s="63" t="s">
        <v>1637</v>
      </c>
      <c r="D175" s="14">
        <v>9076509186574</v>
      </c>
      <c r="E175" t="s">
        <v>17</v>
      </c>
      <c r="F175" t="e">
        <v>#N/A</v>
      </c>
      <c r="G175" s="2" t="s">
        <v>1637</v>
      </c>
    </row>
    <row r="176" spans="1:7" x14ac:dyDescent="0.25">
      <c r="A176" s="63" t="s">
        <v>675</v>
      </c>
      <c r="B176" s="63" t="s">
        <v>676</v>
      </c>
      <c r="C176" s="63" t="s">
        <v>1637</v>
      </c>
      <c r="D176" s="14">
        <v>9042408803453</v>
      </c>
      <c r="E176" t="s">
        <v>17</v>
      </c>
      <c r="F176" t="e">
        <v>#N/A</v>
      </c>
      <c r="G176" s="2" t="s">
        <v>1637</v>
      </c>
    </row>
    <row r="177" spans="1:7" x14ac:dyDescent="0.25">
      <c r="A177" s="63" t="s">
        <v>150</v>
      </c>
      <c r="B177" s="63" t="s">
        <v>151</v>
      </c>
      <c r="C177" s="63" t="s">
        <v>1637</v>
      </c>
      <c r="D177" s="14">
        <v>9042407080509</v>
      </c>
      <c r="E177" t="s">
        <v>17</v>
      </c>
      <c r="F177" t="e">
        <v>#N/A</v>
      </c>
      <c r="G177" s="2" t="s">
        <v>1637</v>
      </c>
    </row>
    <row r="178" spans="1:7" x14ac:dyDescent="0.25">
      <c r="A178" s="63" t="s">
        <v>458</v>
      </c>
      <c r="B178" s="63" t="s">
        <v>459</v>
      </c>
      <c r="C178" s="63" t="s">
        <v>1637</v>
      </c>
      <c r="D178" s="14">
        <v>9042407351520</v>
      </c>
      <c r="E178" t="s">
        <v>17</v>
      </c>
      <c r="F178" t="e">
        <v>#N/A</v>
      </c>
      <c r="G178" s="2" t="s">
        <v>1637</v>
      </c>
    </row>
    <row r="179" spans="1:7" x14ac:dyDescent="0.25">
      <c r="A179" s="63" t="s">
        <v>144</v>
      </c>
      <c r="B179" s="63" t="s">
        <v>145</v>
      </c>
      <c r="C179" s="63" t="s">
        <v>1637</v>
      </c>
      <c r="D179" s="14">
        <v>9076509186673</v>
      </c>
      <c r="E179" t="s">
        <v>17</v>
      </c>
      <c r="F179" t="e">
        <v>#N/A</v>
      </c>
      <c r="G179" s="2" t="s">
        <v>1637</v>
      </c>
    </row>
    <row r="180" spans="1:7" x14ac:dyDescent="0.25">
      <c r="A180" s="63" t="s">
        <v>233</v>
      </c>
      <c r="B180" s="63" t="s">
        <v>234</v>
      </c>
      <c r="C180" s="63" t="s">
        <v>1637</v>
      </c>
      <c r="D180" s="14">
        <v>9042406782212</v>
      </c>
      <c r="E180" t="s">
        <v>17</v>
      </c>
      <c r="F180" t="e">
        <v>#N/A</v>
      </c>
      <c r="G180" s="2" t="s">
        <v>1637</v>
      </c>
    </row>
    <row r="181" spans="1:7" x14ac:dyDescent="0.25">
      <c r="A181" s="63" t="s">
        <v>1400</v>
      </c>
      <c r="B181" s="63" t="s">
        <v>1700</v>
      </c>
      <c r="C181" s="63" t="s">
        <v>1637</v>
      </c>
      <c r="D181" s="14">
        <v>9076505873183</v>
      </c>
      <c r="E181" t="s">
        <v>17</v>
      </c>
      <c r="F181" t="e">
        <v>#N/A</v>
      </c>
      <c r="G181" s="2" t="s">
        <v>1637</v>
      </c>
    </row>
    <row r="182" spans="1:7" x14ac:dyDescent="0.25">
      <c r="A182" s="63" t="s">
        <v>545</v>
      </c>
      <c r="B182" s="63" t="s">
        <v>546</v>
      </c>
      <c r="C182" s="63" t="s">
        <v>1637</v>
      </c>
      <c r="D182" s="14">
        <v>9042408803701</v>
      </c>
      <c r="E182" t="s">
        <v>17</v>
      </c>
      <c r="F182" t="e">
        <v>#N/A</v>
      </c>
      <c r="G182" s="2" t="s">
        <v>1637</v>
      </c>
    </row>
    <row r="183" spans="1:7" x14ac:dyDescent="0.25">
      <c r="A183" s="63" t="s">
        <v>565</v>
      </c>
      <c r="B183" s="63" t="s">
        <v>566</v>
      </c>
      <c r="C183" s="63" t="s">
        <v>1637</v>
      </c>
      <c r="D183" s="14">
        <v>9076509301652</v>
      </c>
      <c r="E183" t="s">
        <v>17</v>
      </c>
      <c r="F183" t="e">
        <v>#N/A</v>
      </c>
      <c r="G183" s="2" t="s">
        <v>1637</v>
      </c>
    </row>
    <row r="184" spans="1:7" x14ac:dyDescent="0.25">
      <c r="A184" s="63" t="s">
        <v>136</v>
      </c>
      <c r="B184" s="63" t="s">
        <v>137</v>
      </c>
      <c r="C184" s="63" t="s">
        <v>1637</v>
      </c>
      <c r="D184" s="14">
        <v>9076505447046</v>
      </c>
      <c r="E184" t="s">
        <v>17</v>
      </c>
      <c r="F184" t="e">
        <v>#N/A</v>
      </c>
      <c r="G184" s="2" t="s">
        <v>1637</v>
      </c>
    </row>
    <row r="185" spans="1:7" x14ac:dyDescent="0.25">
      <c r="A185" s="63" t="s">
        <v>615</v>
      </c>
      <c r="B185" s="63" t="s">
        <v>616</v>
      </c>
      <c r="C185" s="63" t="s">
        <v>1637</v>
      </c>
      <c r="D185" s="14">
        <v>9042408599424</v>
      </c>
      <c r="E185" t="s">
        <v>17</v>
      </c>
      <c r="F185" t="e">
        <v>#N/A</v>
      </c>
      <c r="G185" s="2" t="s">
        <v>1637</v>
      </c>
    </row>
    <row r="186" spans="1:7" x14ac:dyDescent="0.25">
      <c r="A186" s="63" t="s">
        <v>624</v>
      </c>
      <c r="B186" s="63" t="s">
        <v>625</v>
      </c>
      <c r="C186" s="63" t="s">
        <v>1637</v>
      </c>
      <c r="D186" s="14">
        <v>9042408803784</v>
      </c>
      <c r="E186" t="s">
        <v>17</v>
      </c>
      <c r="F186" t="e">
        <v>#N/A</v>
      </c>
      <c r="G186" s="2" t="s">
        <v>1637</v>
      </c>
    </row>
    <row r="187" spans="1:7" x14ac:dyDescent="0.25">
      <c r="A187" s="63" t="s">
        <v>491</v>
      </c>
      <c r="B187" s="63" t="s">
        <v>492</v>
      </c>
      <c r="C187" s="63" t="s">
        <v>1637</v>
      </c>
      <c r="D187" s="14">
        <v>9042408803321</v>
      </c>
      <c r="E187" t="s">
        <v>17</v>
      </c>
      <c r="F187" t="e">
        <v>#N/A</v>
      </c>
      <c r="G187" s="2" t="s">
        <v>1637</v>
      </c>
    </row>
    <row r="188" spans="1:7" x14ac:dyDescent="0.25">
      <c r="A188" s="63" t="s">
        <v>1183</v>
      </c>
      <c r="B188" s="63" t="s">
        <v>1701</v>
      </c>
      <c r="C188" s="63" t="s">
        <v>1637</v>
      </c>
      <c r="D188" s="14">
        <v>9042407023913</v>
      </c>
      <c r="E188" t="s">
        <v>17</v>
      </c>
      <c r="F188" t="s">
        <v>17</v>
      </c>
      <c r="G188" s="2" t="s">
        <v>1637</v>
      </c>
    </row>
    <row r="189" spans="1:7" x14ac:dyDescent="0.25">
      <c r="A189" s="63" t="s">
        <v>34</v>
      </c>
      <c r="B189" s="63" t="s">
        <v>35</v>
      </c>
      <c r="C189" s="63" t="s">
        <v>1637</v>
      </c>
      <c r="D189" s="14">
        <v>9042408601246</v>
      </c>
      <c r="E189" t="s">
        <v>17</v>
      </c>
      <c r="F189" t="e">
        <v>#N/A</v>
      </c>
      <c r="G189" s="2" t="s">
        <v>1637</v>
      </c>
    </row>
    <row r="190" spans="1:7" s="26" customFormat="1" x14ac:dyDescent="0.25">
      <c r="A190" s="75" t="s">
        <v>1702</v>
      </c>
      <c r="B190" s="75" t="s">
        <v>1688</v>
      </c>
      <c r="C190" s="75" t="s">
        <v>1637</v>
      </c>
      <c r="D190" s="25" t="e">
        <v>#N/A</v>
      </c>
      <c r="E190" s="26" t="e">
        <v>#N/A</v>
      </c>
      <c r="F190" s="26" t="e">
        <v>#N/A</v>
      </c>
      <c r="G190" s="27" t="e">
        <v>#N/A</v>
      </c>
    </row>
    <row r="191" spans="1:7" x14ac:dyDescent="0.25">
      <c r="A191" s="63" t="s">
        <v>231</v>
      </c>
      <c r="B191" s="63" t="s">
        <v>232</v>
      </c>
      <c r="C191" s="63" t="s">
        <v>1637</v>
      </c>
      <c r="D191" s="14">
        <v>9042408601428</v>
      </c>
      <c r="E191" t="s">
        <v>17</v>
      </c>
      <c r="F191" t="e">
        <v>#N/A</v>
      </c>
      <c r="G191" s="2" t="s">
        <v>1637</v>
      </c>
    </row>
    <row r="192" spans="1:7" x14ac:dyDescent="0.25">
      <c r="A192" s="63" t="s">
        <v>745</v>
      </c>
      <c r="B192" s="63" t="s">
        <v>746</v>
      </c>
      <c r="C192" s="63" t="s">
        <v>1637</v>
      </c>
      <c r="D192" s="14">
        <v>9042407400178</v>
      </c>
      <c r="E192" t="s">
        <v>17</v>
      </c>
      <c r="F192" t="e">
        <v>#N/A</v>
      </c>
      <c r="G192" s="2" t="s">
        <v>1637</v>
      </c>
    </row>
    <row r="193" spans="1:7" x14ac:dyDescent="0.25">
      <c r="A193" s="63" t="s">
        <v>486</v>
      </c>
      <c r="B193" s="63" t="s">
        <v>487</v>
      </c>
      <c r="C193" s="63" t="s">
        <v>1637</v>
      </c>
      <c r="D193" s="14">
        <v>9076505447186</v>
      </c>
      <c r="E193" t="s">
        <v>17</v>
      </c>
      <c r="F193" t="s">
        <v>17</v>
      </c>
      <c r="G193" s="2" t="s">
        <v>1637</v>
      </c>
    </row>
    <row r="194" spans="1:7" x14ac:dyDescent="0.25">
      <c r="A194" s="63" t="s">
        <v>1083</v>
      </c>
      <c r="B194" s="63" t="s">
        <v>1703</v>
      </c>
      <c r="C194" s="63" t="s">
        <v>1637</v>
      </c>
      <c r="D194" s="14">
        <v>9076505447491</v>
      </c>
      <c r="E194" t="s">
        <v>17</v>
      </c>
      <c r="F194" t="s">
        <v>17</v>
      </c>
      <c r="G194" s="2" t="s">
        <v>1637</v>
      </c>
    </row>
    <row r="195" spans="1:7" x14ac:dyDescent="0.25">
      <c r="A195" s="63" t="s">
        <v>412</v>
      </c>
      <c r="B195" s="63" t="s">
        <v>413</v>
      </c>
      <c r="C195" s="63" t="s">
        <v>1637</v>
      </c>
      <c r="D195" s="14">
        <v>9042408601287</v>
      </c>
      <c r="E195" t="s">
        <v>17</v>
      </c>
      <c r="F195" t="e">
        <v>#N/A</v>
      </c>
      <c r="G195" s="2" t="s">
        <v>1637</v>
      </c>
    </row>
    <row r="196" spans="1:7" x14ac:dyDescent="0.25">
      <c r="A196" s="63" t="s">
        <v>1625</v>
      </c>
      <c r="B196" s="63" t="s">
        <v>1704</v>
      </c>
      <c r="C196" s="63" t="s">
        <v>1637</v>
      </c>
      <c r="D196" s="14">
        <v>9042408601378</v>
      </c>
      <c r="E196" t="s">
        <v>17</v>
      </c>
      <c r="F196" t="e">
        <v>#N/A</v>
      </c>
      <c r="G196" s="2" t="s">
        <v>1637</v>
      </c>
    </row>
    <row r="197" spans="1:7" x14ac:dyDescent="0.25">
      <c r="A197" s="63" t="s">
        <v>1705</v>
      </c>
      <c r="B197" s="63" t="s">
        <v>1706</v>
      </c>
      <c r="C197" s="63" t="s">
        <v>1637</v>
      </c>
      <c r="D197" s="14">
        <v>9042406782329</v>
      </c>
      <c r="E197" t="s">
        <v>17</v>
      </c>
      <c r="F197" t="s">
        <v>17</v>
      </c>
      <c r="G197" s="2" t="s">
        <v>1637</v>
      </c>
    </row>
    <row r="198" spans="1:7" x14ac:dyDescent="0.25">
      <c r="A198" s="63" t="s">
        <v>520</v>
      </c>
      <c r="B198" s="63" t="s">
        <v>521</v>
      </c>
      <c r="C198" s="63" t="s">
        <v>1637</v>
      </c>
      <c r="D198" s="14">
        <v>9042406782014</v>
      </c>
      <c r="E198" t="s">
        <v>17</v>
      </c>
      <c r="F198" t="e">
        <v>#N/A</v>
      </c>
      <c r="G198" s="2" t="s">
        <v>1637</v>
      </c>
    </row>
    <row r="199" spans="1:7" x14ac:dyDescent="0.25">
      <c r="A199" s="71" t="s">
        <v>1707</v>
      </c>
      <c r="B199" s="63" t="e">
        <v>#N/A</v>
      </c>
      <c r="C199" s="71" t="s">
        <v>1637</v>
      </c>
      <c r="D199" s="14" t="e">
        <v>#N/A</v>
      </c>
      <c r="E199" t="e">
        <v>#N/A</v>
      </c>
      <c r="F199" t="e">
        <v>#N/A</v>
      </c>
      <c r="G199" s="2" t="e">
        <v>#N/A</v>
      </c>
    </row>
    <row r="200" spans="1:7" x14ac:dyDescent="0.25">
      <c r="A200" s="63" t="s">
        <v>189</v>
      </c>
      <c r="B200" s="63" t="s">
        <v>190</v>
      </c>
      <c r="C200" s="63" t="s">
        <v>1637</v>
      </c>
      <c r="D200" s="14">
        <v>9076505875469</v>
      </c>
      <c r="E200" t="s">
        <v>17</v>
      </c>
      <c r="F200" t="s">
        <v>17</v>
      </c>
      <c r="G200" s="2" t="s">
        <v>1637</v>
      </c>
    </row>
    <row r="201" spans="1:7" x14ac:dyDescent="0.25">
      <c r="A201" s="68" t="s">
        <v>480</v>
      </c>
      <c r="B201" s="63" t="s">
        <v>481</v>
      </c>
      <c r="C201" s="63" t="s">
        <v>1637</v>
      </c>
      <c r="D201" s="14">
        <v>9076505447483</v>
      </c>
      <c r="E201" t="s">
        <v>17</v>
      </c>
      <c r="F201" t="s">
        <v>17</v>
      </c>
      <c r="G201" s="2" t="s">
        <v>1637</v>
      </c>
    </row>
    <row r="202" spans="1:7" x14ac:dyDescent="0.25">
      <c r="A202" s="63" t="s">
        <v>1708</v>
      </c>
      <c r="B202" s="63" t="s">
        <v>1709</v>
      </c>
      <c r="C202" s="63" t="s">
        <v>1637</v>
      </c>
      <c r="D202" s="14">
        <v>9042408970229</v>
      </c>
      <c r="E202" t="s">
        <v>17</v>
      </c>
      <c r="F202" t="s">
        <v>17</v>
      </c>
      <c r="G202" s="2" t="s">
        <v>1637</v>
      </c>
    </row>
    <row r="203" spans="1:7" x14ac:dyDescent="0.25">
      <c r="A203" s="63" t="s">
        <v>363</v>
      </c>
      <c r="B203" s="63" t="s">
        <v>364</v>
      </c>
      <c r="C203" s="63" t="s">
        <v>1637</v>
      </c>
      <c r="D203" s="14">
        <v>9042407986689</v>
      </c>
      <c r="E203" t="s">
        <v>17</v>
      </c>
      <c r="F203" t="s">
        <v>17</v>
      </c>
      <c r="G203" s="2" t="s">
        <v>1637</v>
      </c>
    </row>
    <row r="204" spans="1:7" x14ac:dyDescent="0.25">
      <c r="A204" s="63" t="s">
        <v>1478</v>
      </c>
      <c r="B204" s="63" t="s">
        <v>1710</v>
      </c>
      <c r="C204" s="63" t="s">
        <v>1637</v>
      </c>
      <c r="D204" s="14">
        <v>9042408599267</v>
      </c>
      <c r="E204" t="s">
        <v>17</v>
      </c>
      <c r="F204" t="s">
        <v>17</v>
      </c>
      <c r="G204" s="2" t="s">
        <v>1637</v>
      </c>
    </row>
    <row r="205" spans="1:7" x14ac:dyDescent="0.25">
      <c r="A205" s="63" t="s">
        <v>547</v>
      </c>
      <c r="B205" s="63" t="s">
        <v>548</v>
      </c>
      <c r="C205" s="63" t="s">
        <v>1637</v>
      </c>
      <c r="D205" s="14">
        <v>9042407266611</v>
      </c>
      <c r="E205" t="s">
        <v>17</v>
      </c>
      <c r="F205" t="s">
        <v>17</v>
      </c>
      <c r="G205" s="2" t="s">
        <v>1637</v>
      </c>
    </row>
    <row r="206" spans="1:7" x14ac:dyDescent="0.25">
      <c r="A206" s="63" t="s">
        <v>527</v>
      </c>
      <c r="B206" s="63" t="s">
        <v>528</v>
      </c>
      <c r="C206" s="63" t="s">
        <v>1637</v>
      </c>
      <c r="D206" s="14">
        <v>9042408970351</v>
      </c>
      <c r="E206" t="s">
        <v>17</v>
      </c>
      <c r="F206" t="e">
        <v>#N/A</v>
      </c>
      <c r="G206" s="2" t="s">
        <v>1637</v>
      </c>
    </row>
    <row r="207" spans="1:7" x14ac:dyDescent="0.25">
      <c r="A207" s="63" t="s">
        <v>1459</v>
      </c>
      <c r="B207" s="63" t="s">
        <v>1711</v>
      </c>
      <c r="C207" s="63" t="s">
        <v>1637</v>
      </c>
      <c r="D207" s="14">
        <v>9042408970260</v>
      </c>
      <c r="E207" t="s">
        <v>17</v>
      </c>
      <c r="F207" t="e">
        <v>#N/A</v>
      </c>
      <c r="G207" s="2" t="s">
        <v>1637</v>
      </c>
    </row>
    <row r="208" spans="1:7" x14ac:dyDescent="0.25">
      <c r="A208" s="63" t="s">
        <v>1630</v>
      </c>
      <c r="B208" s="63" t="s">
        <v>1712</v>
      </c>
      <c r="C208" s="63" t="s">
        <v>1637</v>
      </c>
      <c r="D208" s="14">
        <v>9042407024135</v>
      </c>
      <c r="E208" t="s">
        <v>17</v>
      </c>
      <c r="F208" t="s">
        <v>17</v>
      </c>
      <c r="G208" s="2" t="s">
        <v>1637</v>
      </c>
    </row>
    <row r="209" spans="1:7" x14ac:dyDescent="0.25">
      <c r="A209" s="63" t="s">
        <v>493</v>
      </c>
      <c r="B209" s="63" t="s">
        <v>494</v>
      </c>
      <c r="C209" s="63" t="s">
        <v>1637</v>
      </c>
      <c r="D209" s="14">
        <v>9042408804022</v>
      </c>
      <c r="E209" t="s">
        <v>17</v>
      </c>
      <c r="F209" t="e">
        <v>#N/A</v>
      </c>
      <c r="G209" s="2" t="s">
        <v>1637</v>
      </c>
    </row>
    <row r="210" spans="1:7" x14ac:dyDescent="0.25">
      <c r="A210" s="63" t="s">
        <v>1117</v>
      </c>
      <c r="B210" s="63" t="s">
        <v>1713</v>
      </c>
      <c r="C210" s="63" t="s">
        <v>1637</v>
      </c>
      <c r="D210" s="14">
        <v>9042408803495</v>
      </c>
      <c r="E210" t="s">
        <v>17</v>
      </c>
      <c r="F210" t="s">
        <v>17</v>
      </c>
      <c r="G210" s="2" t="s">
        <v>1637</v>
      </c>
    </row>
    <row r="211" spans="1:7" x14ac:dyDescent="0.25">
      <c r="A211" s="63" t="s">
        <v>1714</v>
      </c>
      <c r="B211" s="63" t="s">
        <v>1715</v>
      </c>
      <c r="C211" s="63" t="s">
        <v>1637</v>
      </c>
      <c r="D211" s="14">
        <v>9042408601253</v>
      </c>
      <c r="E211" t="e">
        <v>#N/A</v>
      </c>
      <c r="F211" t="e">
        <v>#N/A</v>
      </c>
      <c r="G211" s="2" t="s">
        <v>1637</v>
      </c>
    </row>
    <row r="212" spans="1:7" x14ac:dyDescent="0.25">
      <c r="A212" s="63" t="s">
        <v>500</v>
      </c>
      <c r="B212" s="63" t="s">
        <v>501</v>
      </c>
      <c r="C212" s="63" t="s">
        <v>1637</v>
      </c>
      <c r="D212" s="14">
        <v>9076509186483</v>
      </c>
      <c r="E212" t="s">
        <v>17</v>
      </c>
      <c r="F212" t="e">
        <v>#N/A</v>
      </c>
      <c r="G212" s="2" t="s">
        <v>1637</v>
      </c>
    </row>
    <row r="213" spans="1:7" x14ac:dyDescent="0.25">
      <c r="A213" s="63" t="s">
        <v>421</v>
      </c>
      <c r="B213" s="63" t="s">
        <v>422</v>
      </c>
      <c r="C213" s="63" t="s">
        <v>1637</v>
      </c>
      <c r="D213" s="14">
        <v>9042408970245</v>
      </c>
      <c r="E213" t="s">
        <v>17</v>
      </c>
      <c r="F213" t="s">
        <v>17</v>
      </c>
      <c r="G213" s="2" t="s">
        <v>1637</v>
      </c>
    </row>
    <row r="214" spans="1:7" x14ac:dyDescent="0.25">
      <c r="A214" s="63" t="s">
        <v>37</v>
      </c>
      <c r="B214" s="63" t="s">
        <v>38</v>
      </c>
      <c r="C214" s="63" t="s">
        <v>1637</v>
      </c>
      <c r="D214" s="14">
        <v>9042407024085</v>
      </c>
      <c r="E214" t="s">
        <v>17</v>
      </c>
      <c r="F214" t="s">
        <v>17</v>
      </c>
      <c r="G214" s="2" t="s">
        <v>1637</v>
      </c>
    </row>
    <row r="215" spans="1:7" x14ac:dyDescent="0.25">
      <c r="A215" s="63" t="s">
        <v>245</v>
      </c>
      <c r="B215" s="63" t="s">
        <v>246</v>
      </c>
      <c r="C215" s="63" t="s">
        <v>1637</v>
      </c>
      <c r="D215" s="14">
        <v>9042407752149</v>
      </c>
      <c r="E215" t="s">
        <v>17</v>
      </c>
      <c r="F215" t="e">
        <v>#N/A</v>
      </c>
      <c r="G215" s="2" t="s">
        <v>1637</v>
      </c>
    </row>
    <row r="216" spans="1:7" x14ac:dyDescent="0.25">
      <c r="A216" s="63" t="s">
        <v>583</v>
      </c>
      <c r="B216" s="63" t="s">
        <v>584</v>
      </c>
      <c r="C216" s="63" t="s">
        <v>1637</v>
      </c>
      <c r="D216" s="14">
        <v>9042407024143</v>
      </c>
      <c r="E216" t="s">
        <v>17</v>
      </c>
      <c r="F216" t="s">
        <v>17</v>
      </c>
      <c r="G216" s="2" t="s">
        <v>1637</v>
      </c>
    </row>
    <row r="217" spans="1:7" x14ac:dyDescent="0.25">
      <c r="A217" s="63" t="s">
        <v>138</v>
      </c>
      <c r="B217" s="63" t="s">
        <v>139</v>
      </c>
      <c r="C217" s="63" t="s">
        <v>1637</v>
      </c>
      <c r="D217" s="14">
        <v>9042408601436</v>
      </c>
      <c r="E217" t="s">
        <v>17</v>
      </c>
      <c r="F217" t="e">
        <v>#N/A</v>
      </c>
      <c r="G217" s="2" t="s">
        <v>1637</v>
      </c>
    </row>
    <row r="218" spans="1:7" x14ac:dyDescent="0.25">
      <c r="A218" s="68" t="s">
        <v>407</v>
      </c>
      <c r="B218" s="63" t="s">
        <v>408</v>
      </c>
      <c r="C218" s="63" t="s">
        <v>1637</v>
      </c>
      <c r="D218" s="14">
        <v>9076505873258</v>
      </c>
      <c r="E218" t="s">
        <v>17</v>
      </c>
      <c r="F218" t="s">
        <v>17</v>
      </c>
      <c r="G218" s="2" t="s">
        <v>1637</v>
      </c>
    </row>
    <row r="219" spans="1:7" x14ac:dyDescent="0.25">
      <c r="A219" s="68" t="s">
        <v>638</v>
      </c>
      <c r="B219" s="63" t="s">
        <v>639</v>
      </c>
      <c r="C219" s="63" t="s">
        <v>1637</v>
      </c>
      <c r="D219" s="14">
        <v>9042407080111</v>
      </c>
      <c r="E219" t="s">
        <v>17</v>
      </c>
      <c r="F219" t="s">
        <v>17</v>
      </c>
      <c r="G219" s="2" t="s">
        <v>1637</v>
      </c>
    </row>
    <row r="220" spans="1:7" s="26" customFormat="1" x14ac:dyDescent="0.25">
      <c r="A220" s="75" t="s">
        <v>1716</v>
      </c>
      <c r="B220" s="75" t="s">
        <v>1688</v>
      </c>
      <c r="C220" s="75" t="s">
        <v>1637</v>
      </c>
      <c r="D220" s="25" t="e">
        <v>#N/A</v>
      </c>
      <c r="E220" s="26" t="e">
        <v>#N/A</v>
      </c>
      <c r="F220" s="26" t="e">
        <v>#N/A</v>
      </c>
      <c r="G220" s="27" t="e">
        <v>#N/A</v>
      </c>
    </row>
    <row r="221" spans="1:7" x14ac:dyDescent="0.25">
      <c r="A221" s="63" t="s">
        <v>134</v>
      </c>
      <c r="B221" s="63" t="s">
        <v>135</v>
      </c>
      <c r="C221" s="63" t="s">
        <v>1637</v>
      </c>
      <c r="D221" s="14">
        <v>9042406782337</v>
      </c>
      <c r="E221" t="s">
        <v>17</v>
      </c>
      <c r="F221" t="e">
        <v>#N/A</v>
      </c>
      <c r="G221" s="2" t="s">
        <v>1637</v>
      </c>
    </row>
    <row r="222" spans="1:7" x14ac:dyDescent="0.25">
      <c r="A222" s="63" t="s">
        <v>247</v>
      </c>
      <c r="B222" s="63" t="s">
        <v>248</v>
      </c>
      <c r="C222" s="63" t="s">
        <v>1637</v>
      </c>
      <c r="D222" s="14">
        <v>9042408970237</v>
      </c>
      <c r="E222" t="s">
        <v>17</v>
      </c>
      <c r="F222" t="e">
        <v>#N/A</v>
      </c>
      <c r="G222" s="2" t="s">
        <v>1637</v>
      </c>
    </row>
    <row r="223" spans="1:7" x14ac:dyDescent="0.25">
      <c r="A223" s="63" t="s">
        <v>285</v>
      </c>
      <c r="B223" s="63" t="s">
        <v>286</v>
      </c>
      <c r="C223" s="63" t="s">
        <v>1637</v>
      </c>
      <c r="D223" s="14">
        <v>9042406782154</v>
      </c>
      <c r="E223" t="s">
        <v>17</v>
      </c>
      <c r="F223" t="e">
        <v>#N/A</v>
      </c>
      <c r="G223" s="2" t="s">
        <v>1637</v>
      </c>
    </row>
    <row r="224" spans="1:7" x14ac:dyDescent="0.25">
      <c r="A224" s="63" t="s">
        <v>339</v>
      </c>
      <c r="B224" s="63" t="s">
        <v>340</v>
      </c>
      <c r="C224" s="63" t="s">
        <v>1637</v>
      </c>
      <c r="D224" s="14">
        <v>9076505447434</v>
      </c>
      <c r="E224" t="s">
        <v>17</v>
      </c>
      <c r="F224" t="e">
        <v>#N/A</v>
      </c>
      <c r="G224" s="2" t="s">
        <v>1637</v>
      </c>
    </row>
    <row r="225" spans="1:7" x14ac:dyDescent="0.25">
      <c r="A225" s="63" t="s">
        <v>1481</v>
      </c>
      <c r="B225" s="63" t="s">
        <v>1717</v>
      </c>
      <c r="C225" s="63" t="s">
        <v>1637</v>
      </c>
      <c r="D225" s="14">
        <v>9076509301769</v>
      </c>
      <c r="E225" t="s">
        <v>17</v>
      </c>
      <c r="F225" t="s">
        <v>17</v>
      </c>
      <c r="G225" s="2" t="s">
        <v>1637</v>
      </c>
    </row>
    <row r="226" spans="1:7" x14ac:dyDescent="0.25">
      <c r="A226" s="68" t="s">
        <v>567</v>
      </c>
      <c r="B226" s="63" t="s">
        <v>568</v>
      </c>
      <c r="C226" s="63" t="s">
        <v>1637</v>
      </c>
      <c r="D226" s="14">
        <v>9042408970401</v>
      </c>
      <c r="E226" t="s">
        <v>17</v>
      </c>
      <c r="F226" t="e">
        <v>#N/A</v>
      </c>
      <c r="G226" s="2" t="s">
        <v>1637</v>
      </c>
    </row>
    <row r="227" spans="1:7" x14ac:dyDescent="0.25">
      <c r="A227" s="63" t="s">
        <v>561</v>
      </c>
      <c r="B227" s="63" t="s">
        <v>562</v>
      </c>
      <c r="C227" s="63" t="s">
        <v>1637</v>
      </c>
      <c r="D227" s="14">
        <v>9076505447301</v>
      </c>
      <c r="E227" t="s">
        <v>17</v>
      </c>
      <c r="F227" t="s">
        <v>17</v>
      </c>
      <c r="G227" s="2" t="s">
        <v>1637</v>
      </c>
    </row>
    <row r="228" spans="1:7" x14ac:dyDescent="0.25">
      <c r="A228" s="63" t="s">
        <v>514</v>
      </c>
      <c r="B228" s="63" t="s">
        <v>515</v>
      </c>
      <c r="C228" s="63" t="s">
        <v>1637</v>
      </c>
      <c r="D228" s="14">
        <v>9042408249053</v>
      </c>
      <c r="E228" t="s">
        <v>17</v>
      </c>
      <c r="F228" t="e">
        <v>#N/A</v>
      </c>
      <c r="G228" s="2" t="s">
        <v>1637</v>
      </c>
    </row>
    <row r="229" spans="1:7" x14ac:dyDescent="0.25">
      <c r="A229" s="63" t="s">
        <v>263</v>
      </c>
      <c r="B229" s="63" t="s">
        <v>264</v>
      </c>
      <c r="C229" s="63" t="s">
        <v>1637</v>
      </c>
      <c r="D229" s="14">
        <v>9076509186681</v>
      </c>
      <c r="E229" t="s">
        <v>17</v>
      </c>
      <c r="F229" t="e">
        <v>#N/A</v>
      </c>
      <c r="G229" s="2" t="s">
        <v>1637</v>
      </c>
    </row>
    <row r="230" spans="1:7" x14ac:dyDescent="0.25">
      <c r="A230" s="63" t="s">
        <v>237</v>
      </c>
      <c r="B230" s="63" t="s">
        <v>238</v>
      </c>
      <c r="C230" s="63" t="s">
        <v>1655</v>
      </c>
      <c r="D230" s="14">
        <v>0</v>
      </c>
      <c r="E230" t="s">
        <v>17</v>
      </c>
      <c r="F230" t="s">
        <v>17</v>
      </c>
      <c r="G230" s="2" t="s">
        <v>1655</v>
      </c>
    </row>
    <row r="231" spans="1:7" x14ac:dyDescent="0.25">
      <c r="A231" s="63" t="s">
        <v>241</v>
      </c>
      <c r="B231" s="63" t="s">
        <v>242</v>
      </c>
      <c r="C231" s="63" t="s">
        <v>1655</v>
      </c>
      <c r="D231" s="14">
        <v>9076509186517</v>
      </c>
      <c r="E231" t="s">
        <v>17</v>
      </c>
      <c r="F231" t="e">
        <v>#N/A</v>
      </c>
      <c r="G231" s="2" t="s">
        <v>1655</v>
      </c>
    </row>
    <row r="232" spans="1:7" x14ac:dyDescent="0.25">
      <c r="A232" s="63" t="s">
        <v>254</v>
      </c>
      <c r="B232" s="63" t="s">
        <v>255</v>
      </c>
      <c r="C232" s="63" t="s">
        <v>1655</v>
      </c>
      <c r="D232" s="14">
        <v>0</v>
      </c>
      <c r="E232" t="s">
        <v>17</v>
      </c>
      <c r="F232" t="e">
        <v>#N/A</v>
      </c>
      <c r="G232" s="2" t="s">
        <v>1655</v>
      </c>
    </row>
    <row r="233" spans="1:7" x14ac:dyDescent="0.25">
      <c r="A233" s="63" t="s">
        <v>26</v>
      </c>
      <c r="B233" s="63" t="s">
        <v>27</v>
      </c>
      <c r="C233" s="63" t="s">
        <v>1655</v>
      </c>
      <c r="D233" s="14">
        <v>0</v>
      </c>
      <c r="E233" t="s">
        <v>17</v>
      </c>
      <c r="F233" t="e">
        <v>#N/A</v>
      </c>
      <c r="G233" s="2" t="s">
        <v>1655</v>
      </c>
    </row>
    <row r="234" spans="1:7" x14ac:dyDescent="0.25">
      <c r="A234" s="63" t="s">
        <v>29</v>
      </c>
      <c r="B234" s="63" t="s">
        <v>30</v>
      </c>
      <c r="C234" s="63" t="s">
        <v>1655</v>
      </c>
      <c r="D234" s="14" t="s">
        <v>1643</v>
      </c>
      <c r="E234" t="s">
        <v>17</v>
      </c>
      <c r="F234" t="e">
        <v>#N/A</v>
      </c>
      <c r="G234" s="2" t="s">
        <v>1655</v>
      </c>
    </row>
    <row r="235" spans="1:7" x14ac:dyDescent="0.25">
      <c r="A235" s="63" t="s">
        <v>266</v>
      </c>
      <c r="B235" s="63" t="s">
        <v>267</v>
      </c>
      <c r="C235" s="63" t="s">
        <v>1655</v>
      </c>
      <c r="D235" s="14">
        <v>0</v>
      </c>
      <c r="E235" t="s">
        <v>17</v>
      </c>
      <c r="F235" t="s">
        <v>17</v>
      </c>
      <c r="G235" s="2" t="s">
        <v>1655</v>
      </c>
    </row>
    <row r="236" spans="1:7" x14ac:dyDescent="0.25">
      <c r="A236" s="63" t="s">
        <v>273</v>
      </c>
      <c r="B236" s="63" t="s">
        <v>274</v>
      </c>
      <c r="C236" s="63" t="s">
        <v>1655</v>
      </c>
      <c r="D236" s="14">
        <v>0</v>
      </c>
      <c r="E236" t="s">
        <v>17</v>
      </c>
      <c r="F236" t="e">
        <v>#N/A</v>
      </c>
      <c r="G236" s="2" t="s">
        <v>1655</v>
      </c>
    </row>
    <row r="237" spans="1:7" x14ac:dyDescent="0.25">
      <c r="A237" s="63" t="s">
        <v>297</v>
      </c>
      <c r="B237" s="63" t="s">
        <v>298</v>
      </c>
      <c r="C237" s="63" t="s">
        <v>1655</v>
      </c>
      <c r="D237" s="14">
        <v>9042408601220</v>
      </c>
      <c r="E237" t="s">
        <v>17</v>
      </c>
      <c r="F237" t="e">
        <v>#N/A</v>
      </c>
      <c r="G237" s="2" t="s">
        <v>1655</v>
      </c>
    </row>
    <row r="238" spans="1:7" x14ac:dyDescent="0.25">
      <c r="A238" s="63" t="s">
        <v>1618</v>
      </c>
      <c r="B238" s="63" t="s">
        <v>1718</v>
      </c>
      <c r="C238" s="63" t="s">
        <v>1655</v>
      </c>
      <c r="D238" s="14">
        <v>0</v>
      </c>
      <c r="E238" t="s">
        <v>17</v>
      </c>
      <c r="F238" t="e">
        <v>#N/A</v>
      </c>
      <c r="G238" s="2" t="s">
        <v>1655</v>
      </c>
    </row>
    <row r="239" spans="1:7" x14ac:dyDescent="0.25">
      <c r="A239" s="63" t="s">
        <v>316</v>
      </c>
      <c r="B239" s="63" t="s">
        <v>317</v>
      </c>
      <c r="C239" s="63" t="s">
        <v>1655</v>
      </c>
      <c r="D239" s="14">
        <v>0</v>
      </c>
      <c r="E239" t="s">
        <v>17</v>
      </c>
      <c r="F239" t="s">
        <v>17</v>
      </c>
      <c r="G239" s="2" t="s">
        <v>1655</v>
      </c>
    </row>
    <row r="240" spans="1:7" x14ac:dyDescent="0.25">
      <c r="A240" s="63" t="s">
        <v>322</v>
      </c>
      <c r="B240" s="63" t="s">
        <v>323</v>
      </c>
      <c r="C240" s="63" t="s">
        <v>1655</v>
      </c>
      <c r="D240" s="14">
        <v>0</v>
      </c>
      <c r="E240" t="s">
        <v>17</v>
      </c>
      <c r="F240" t="s">
        <v>17</v>
      </c>
      <c r="G240" s="2" t="s">
        <v>1655</v>
      </c>
    </row>
    <row r="241" spans="1:7" x14ac:dyDescent="0.25">
      <c r="A241" s="13" t="s">
        <v>1719</v>
      </c>
      <c r="B241" s="63" t="e">
        <v>#N/A</v>
      </c>
      <c r="C241" s="13" t="s">
        <v>1655</v>
      </c>
      <c r="D241" s="14" t="e">
        <v>#N/A</v>
      </c>
      <c r="E241" t="e">
        <v>#N/A</v>
      </c>
      <c r="F241" t="e">
        <v>#N/A</v>
      </c>
      <c r="G241" s="2" t="e">
        <v>#N/A</v>
      </c>
    </row>
    <row r="242" spans="1:7" x14ac:dyDescent="0.25">
      <c r="A242" s="13" t="s">
        <v>1720</v>
      </c>
      <c r="B242" s="63" t="e">
        <v>#N/A</v>
      </c>
      <c r="C242" s="13" t="s">
        <v>1655</v>
      </c>
      <c r="D242" s="14" t="e">
        <v>#N/A</v>
      </c>
      <c r="E242" t="e">
        <v>#N/A</v>
      </c>
      <c r="F242" t="e">
        <v>#N/A</v>
      </c>
      <c r="G242" s="2" t="e">
        <v>#N/A</v>
      </c>
    </row>
    <row r="243" spans="1:7" x14ac:dyDescent="0.25">
      <c r="A243" s="63" t="s">
        <v>661</v>
      </c>
      <c r="B243" s="63" t="s">
        <v>1721</v>
      </c>
      <c r="C243" s="63" t="s">
        <v>1655</v>
      </c>
      <c r="D243" s="14" t="e">
        <v>#N/A</v>
      </c>
      <c r="E243" t="e">
        <v>#N/A</v>
      </c>
      <c r="F243" t="e">
        <v>#N/A</v>
      </c>
      <c r="G243" s="2" t="e">
        <v>#N/A</v>
      </c>
    </row>
    <row r="244" spans="1:7" x14ac:dyDescent="0.25">
      <c r="A244" s="63" t="s">
        <v>334</v>
      </c>
      <c r="B244" s="63" t="s">
        <v>335</v>
      </c>
      <c r="C244" s="63" t="s">
        <v>1655</v>
      </c>
      <c r="D244" s="14">
        <v>9042406781966</v>
      </c>
      <c r="E244" t="s">
        <v>17</v>
      </c>
      <c r="F244" t="e">
        <v>#N/A</v>
      </c>
      <c r="G244" s="2" t="s">
        <v>1655</v>
      </c>
    </row>
    <row r="245" spans="1:7" x14ac:dyDescent="0.25">
      <c r="A245" s="63" t="s">
        <v>636</v>
      </c>
      <c r="B245" s="63" t="s">
        <v>637</v>
      </c>
      <c r="C245" s="63" t="s">
        <v>1655</v>
      </c>
      <c r="D245" s="14">
        <v>0</v>
      </c>
      <c r="E245" t="s">
        <v>17</v>
      </c>
      <c r="F245" t="e">
        <v>#N/A</v>
      </c>
      <c r="G245" s="2" t="s">
        <v>1655</v>
      </c>
    </row>
    <row r="246" spans="1:7" x14ac:dyDescent="0.25">
      <c r="A246" s="63" t="s">
        <v>358</v>
      </c>
      <c r="B246" s="63" t="s">
        <v>359</v>
      </c>
      <c r="C246" s="63" t="s">
        <v>1655</v>
      </c>
      <c r="D246" s="14" t="s">
        <v>1643</v>
      </c>
      <c r="E246" t="s">
        <v>17</v>
      </c>
      <c r="F246" t="e">
        <v>#N/A</v>
      </c>
      <c r="G246" s="2" t="s">
        <v>1655</v>
      </c>
    </row>
    <row r="247" spans="1:7" x14ac:dyDescent="0.25">
      <c r="A247" s="63" t="s">
        <v>361</v>
      </c>
      <c r="B247" s="63" t="s">
        <v>362</v>
      </c>
      <c r="C247" s="63" t="s">
        <v>1655</v>
      </c>
      <c r="D247" s="14" t="s">
        <v>1643</v>
      </c>
      <c r="E247" t="s">
        <v>17</v>
      </c>
      <c r="F247" t="e">
        <v>#N/A</v>
      </c>
      <c r="G247" s="2" t="s">
        <v>1655</v>
      </c>
    </row>
    <row r="248" spans="1:7" x14ac:dyDescent="0.25">
      <c r="A248" s="63" t="s">
        <v>205</v>
      </c>
      <c r="B248" s="63" t="s">
        <v>206</v>
      </c>
      <c r="C248" s="63" t="s">
        <v>1655</v>
      </c>
      <c r="D248" s="14" t="s">
        <v>1643</v>
      </c>
      <c r="E248" t="s">
        <v>17</v>
      </c>
      <c r="F248" t="e">
        <v>#N/A</v>
      </c>
      <c r="G248" s="2" t="s">
        <v>1655</v>
      </c>
    </row>
    <row r="249" spans="1:7" x14ac:dyDescent="0.25">
      <c r="A249" s="63" t="s">
        <v>802</v>
      </c>
      <c r="B249" s="63" t="s">
        <v>803</v>
      </c>
      <c r="C249" s="63" t="s">
        <v>1655</v>
      </c>
      <c r="D249" s="14">
        <v>0</v>
      </c>
      <c r="E249" t="s">
        <v>17</v>
      </c>
      <c r="F249" t="s">
        <v>17</v>
      </c>
      <c r="G249" s="2" t="s">
        <v>1655</v>
      </c>
    </row>
    <row r="250" spans="1:7" x14ac:dyDescent="0.25">
      <c r="A250" s="63" t="s">
        <v>356</v>
      </c>
      <c r="B250" s="63" t="s">
        <v>357</v>
      </c>
      <c r="C250" s="63" t="s">
        <v>1655</v>
      </c>
      <c r="D250" s="14">
        <v>9042408601188</v>
      </c>
      <c r="E250" t="s">
        <v>17</v>
      </c>
      <c r="F250" t="e">
        <v>#N/A</v>
      </c>
      <c r="G250" s="2" t="s">
        <v>1655</v>
      </c>
    </row>
    <row r="251" spans="1:7" x14ac:dyDescent="0.25">
      <c r="A251" s="63" t="s">
        <v>399</v>
      </c>
      <c r="B251" s="63" t="s">
        <v>400</v>
      </c>
      <c r="C251" s="63" t="s">
        <v>1655</v>
      </c>
      <c r="D251" s="14">
        <v>0</v>
      </c>
      <c r="E251" t="s">
        <v>17</v>
      </c>
      <c r="F251" t="e">
        <v>#N/A</v>
      </c>
      <c r="G251" s="2" t="s">
        <v>1655</v>
      </c>
    </row>
    <row r="252" spans="1:7" x14ac:dyDescent="0.25">
      <c r="A252" s="63" t="s">
        <v>404</v>
      </c>
      <c r="B252" s="63" t="s">
        <v>405</v>
      </c>
      <c r="C252" s="63" t="s">
        <v>1655</v>
      </c>
      <c r="D252" s="14">
        <v>0</v>
      </c>
      <c r="E252" t="s">
        <v>17</v>
      </c>
      <c r="F252" t="e">
        <v>#N/A</v>
      </c>
      <c r="G252" s="2" t="s">
        <v>1655</v>
      </c>
    </row>
    <row r="253" spans="1:7" x14ac:dyDescent="0.25">
      <c r="A253" s="63" t="s">
        <v>71</v>
      </c>
      <c r="B253" s="63" t="s">
        <v>1662</v>
      </c>
      <c r="C253" s="63" t="s">
        <v>1655</v>
      </c>
      <c r="D253" s="14" t="e">
        <v>#N/A</v>
      </c>
      <c r="E253" t="e">
        <v>#N/A</v>
      </c>
      <c r="F253" t="e">
        <v>#N/A</v>
      </c>
      <c r="G253" s="2" t="e">
        <v>#N/A</v>
      </c>
    </row>
    <row r="254" spans="1:7" x14ac:dyDescent="0.25">
      <c r="A254" s="63" t="s">
        <v>415</v>
      </c>
      <c r="B254" s="63" t="s">
        <v>416</v>
      </c>
      <c r="C254" s="63" t="s">
        <v>1655</v>
      </c>
      <c r="D254" s="14">
        <v>0</v>
      </c>
      <c r="E254" t="s">
        <v>17</v>
      </c>
      <c r="F254" t="s">
        <v>17</v>
      </c>
      <c r="G254" s="2" t="s">
        <v>1655</v>
      </c>
    </row>
    <row r="255" spans="1:7" x14ac:dyDescent="0.25">
      <c r="A255" s="63" t="s">
        <v>442</v>
      </c>
      <c r="B255" s="63" t="s">
        <v>443</v>
      </c>
      <c r="C255" s="63" t="s">
        <v>1655</v>
      </c>
      <c r="D255" s="14">
        <v>9042408803263</v>
      </c>
      <c r="E255" t="s">
        <v>17</v>
      </c>
      <c r="F255" t="e">
        <v>#N/A</v>
      </c>
      <c r="G255" s="2" t="s">
        <v>1655</v>
      </c>
    </row>
    <row r="256" spans="1:7" x14ac:dyDescent="0.25">
      <c r="A256" s="63" t="s">
        <v>451</v>
      </c>
      <c r="B256" s="63" t="s">
        <v>452</v>
      </c>
      <c r="C256" s="63" t="s">
        <v>1655</v>
      </c>
      <c r="D256" s="14">
        <v>0</v>
      </c>
      <c r="E256" t="s">
        <v>17</v>
      </c>
      <c r="F256" t="e">
        <v>#N/A</v>
      </c>
      <c r="G256" s="2" t="s">
        <v>1655</v>
      </c>
    </row>
    <row r="257" spans="1:7" x14ac:dyDescent="0.25">
      <c r="A257" s="63" t="s">
        <v>522</v>
      </c>
      <c r="B257" s="63" t="s">
        <v>523</v>
      </c>
      <c r="C257" s="63" t="s">
        <v>1655</v>
      </c>
      <c r="D257" s="14">
        <v>0</v>
      </c>
      <c r="E257" t="s">
        <v>17</v>
      </c>
      <c r="F257" t="e">
        <v>#N/A</v>
      </c>
      <c r="G257" s="2" t="s">
        <v>1655</v>
      </c>
    </row>
    <row r="258" spans="1:7" x14ac:dyDescent="0.25">
      <c r="A258" s="63" t="s">
        <v>98</v>
      </c>
      <c r="B258" s="63" t="s">
        <v>99</v>
      </c>
      <c r="C258" s="63" t="s">
        <v>1655</v>
      </c>
      <c r="D258" s="14" t="s">
        <v>1643</v>
      </c>
      <c r="E258" t="s">
        <v>17</v>
      </c>
      <c r="F258" t="e">
        <v>#N/A</v>
      </c>
      <c r="G258" s="2" t="s">
        <v>1655</v>
      </c>
    </row>
    <row r="259" spans="1:7" x14ac:dyDescent="0.25">
      <c r="A259" s="63" t="s">
        <v>489</v>
      </c>
      <c r="B259" s="63" t="s">
        <v>490</v>
      </c>
      <c r="C259" s="63" t="s">
        <v>1655</v>
      </c>
      <c r="D259" s="14">
        <v>0</v>
      </c>
      <c r="E259" t="s">
        <v>17</v>
      </c>
      <c r="F259" t="s">
        <v>17</v>
      </c>
      <c r="G259" s="2" t="s">
        <v>1655</v>
      </c>
    </row>
    <row r="260" spans="1:7" x14ac:dyDescent="0.25">
      <c r="A260" s="63" t="s">
        <v>1722</v>
      </c>
      <c r="B260" s="63" t="s">
        <v>1723</v>
      </c>
      <c r="C260" s="63" t="s">
        <v>1655</v>
      </c>
      <c r="D260" s="14" t="s">
        <v>1724</v>
      </c>
      <c r="E260" s="14" t="s">
        <v>1724</v>
      </c>
      <c r="F260" s="14" t="s">
        <v>1724</v>
      </c>
      <c r="G260" s="14" t="s">
        <v>1724</v>
      </c>
    </row>
    <row r="261" spans="1:7" x14ac:dyDescent="0.25">
      <c r="A261" s="63" t="s">
        <v>101</v>
      </c>
      <c r="B261" s="63" t="s">
        <v>102</v>
      </c>
      <c r="C261" s="63" t="s">
        <v>1655</v>
      </c>
      <c r="D261" s="14">
        <v>0</v>
      </c>
      <c r="E261" t="s">
        <v>17</v>
      </c>
      <c r="F261" t="e">
        <v>#N/A</v>
      </c>
      <c r="G261" s="2" t="s">
        <v>1655</v>
      </c>
    </row>
    <row r="262" spans="1:7" x14ac:dyDescent="0.25">
      <c r="A262" s="63" t="s">
        <v>211</v>
      </c>
      <c r="B262" s="63" t="s">
        <v>212</v>
      </c>
      <c r="C262" s="63" t="s">
        <v>1655</v>
      </c>
      <c r="D262" s="14">
        <v>0</v>
      </c>
      <c r="E262" t="s">
        <v>17</v>
      </c>
      <c r="F262" t="e">
        <v>#N/A</v>
      </c>
      <c r="G262" s="2" t="s">
        <v>1655</v>
      </c>
    </row>
    <row r="263" spans="1:7" x14ac:dyDescent="0.25">
      <c r="A263" s="63" t="s">
        <v>107</v>
      </c>
      <c r="B263" s="63" t="s">
        <v>108</v>
      </c>
      <c r="C263" s="63" t="s">
        <v>1655</v>
      </c>
      <c r="D263" s="14" t="s">
        <v>1643</v>
      </c>
      <c r="E263" t="s">
        <v>17</v>
      </c>
      <c r="F263" t="e">
        <v>#N/A</v>
      </c>
      <c r="G263" s="2" t="s">
        <v>1655</v>
      </c>
    </row>
    <row r="264" spans="1:7" x14ac:dyDescent="0.25">
      <c r="A264" s="63" t="s">
        <v>509</v>
      </c>
      <c r="B264" s="63" t="s">
        <v>510</v>
      </c>
      <c r="C264" s="63" t="s">
        <v>1655</v>
      </c>
      <c r="D264" s="14" t="s">
        <v>1643</v>
      </c>
      <c r="E264" t="s">
        <v>17</v>
      </c>
      <c r="F264" t="e">
        <v>#N/A</v>
      </c>
      <c r="G264" s="2" t="s">
        <v>1655</v>
      </c>
    </row>
    <row r="265" spans="1:7" x14ac:dyDescent="0.25">
      <c r="A265" s="81" t="s">
        <v>1179</v>
      </c>
      <c r="B265" s="63" t="s">
        <v>1688</v>
      </c>
      <c r="C265" s="63" t="s">
        <v>1655</v>
      </c>
      <c r="D265" s="14" t="e">
        <v>#N/A</v>
      </c>
      <c r="E265" t="e">
        <v>#N/A</v>
      </c>
      <c r="F265" t="e">
        <v>#N/A</v>
      </c>
      <c r="G265" s="2" t="e">
        <v>#N/A</v>
      </c>
    </row>
    <row r="266" spans="1:7" x14ac:dyDescent="0.25">
      <c r="A266" s="63" t="s">
        <v>1725</v>
      </c>
      <c r="B266" s="63" t="s">
        <v>1688</v>
      </c>
      <c r="C266" s="63" t="s">
        <v>1655</v>
      </c>
      <c r="D266" s="14" t="e">
        <v>#N/A</v>
      </c>
      <c r="E266" t="e">
        <v>#N/A</v>
      </c>
      <c r="F266" t="e">
        <v>#N/A</v>
      </c>
      <c r="G266" s="2" t="e">
        <v>#N/A</v>
      </c>
    </row>
    <row r="267" spans="1:7" x14ac:dyDescent="0.25">
      <c r="A267" s="63" t="s">
        <v>1726</v>
      </c>
      <c r="B267" s="63" t="s">
        <v>1727</v>
      </c>
      <c r="C267" s="63" t="s">
        <v>1655</v>
      </c>
      <c r="D267" s="14">
        <v>0</v>
      </c>
      <c r="E267" t="s">
        <v>17</v>
      </c>
      <c r="F267" t="s">
        <v>17</v>
      </c>
      <c r="G267" s="2" t="s">
        <v>1655</v>
      </c>
    </row>
    <row r="268" spans="1:7" x14ac:dyDescent="0.25">
      <c r="A268" s="63" t="s">
        <v>214</v>
      </c>
      <c r="B268" s="63" t="s">
        <v>215</v>
      </c>
      <c r="C268" s="63" t="s">
        <v>1655</v>
      </c>
      <c r="D268" s="14">
        <v>0</v>
      </c>
      <c r="E268" t="s">
        <v>17</v>
      </c>
      <c r="F268" t="e">
        <v>#N/A</v>
      </c>
      <c r="G268" s="2" t="s">
        <v>1655</v>
      </c>
    </row>
    <row r="269" spans="1:7" x14ac:dyDescent="0.25">
      <c r="A269" s="63" t="s">
        <v>539</v>
      </c>
      <c r="B269" s="63" t="s">
        <v>540</v>
      </c>
      <c r="C269" s="63" t="s">
        <v>1655</v>
      </c>
      <c r="D269" s="14">
        <v>0</v>
      </c>
      <c r="E269" t="s">
        <v>17</v>
      </c>
      <c r="F269" t="e">
        <v>#N/A</v>
      </c>
      <c r="G269" s="2" t="s">
        <v>1655</v>
      </c>
    </row>
    <row r="270" spans="1:7" x14ac:dyDescent="0.25">
      <c r="A270" s="63" t="s">
        <v>1216</v>
      </c>
      <c r="B270" s="63" t="s">
        <v>1728</v>
      </c>
      <c r="C270" s="63" t="s">
        <v>1655</v>
      </c>
      <c r="D270" s="14" t="e">
        <v>#N/A</v>
      </c>
      <c r="E270" t="e">
        <v>#N/A</v>
      </c>
      <c r="F270" t="e">
        <v>#N/A</v>
      </c>
      <c r="G270" s="2" t="e">
        <v>#N/A</v>
      </c>
    </row>
    <row r="271" spans="1:7" x14ac:dyDescent="0.25">
      <c r="A271" s="63" t="s">
        <v>118</v>
      </c>
      <c r="B271" s="63" t="s">
        <v>119</v>
      </c>
      <c r="C271" s="63" t="s">
        <v>1655</v>
      </c>
      <c r="D271" s="14" t="s">
        <v>1643</v>
      </c>
      <c r="E271" t="s">
        <v>17</v>
      </c>
      <c r="F271" t="e">
        <v>#N/A</v>
      </c>
      <c r="G271" s="2" t="s">
        <v>1655</v>
      </c>
    </row>
    <row r="272" spans="1:7" x14ac:dyDescent="0.25">
      <c r="A272" s="63" t="s">
        <v>743</v>
      </c>
      <c r="B272" s="63" t="s">
        <v>744</v>
      </c>
      <c r="C272" s="63" t="s">
        <v>1655</v>
      </c>
      <c r="D272" s="14" t="s">
        <v>1643</v>
      </c>
      <c r="E272" t="s">
        <v>17</v>
      </c>
      <c r="F272" t="e">
        <v>#N/A</v>
      </c>
      <c r="G272" s="2" t="s">
        <v>1655</v>
      </c>
    </row>
    <row r="273" spans="1:7" x14ac:dyDescent="0.25">
      <c r="A273" s="63" t="s">
        <v>1628</v>
      </c>
      <c r="B273" s="63" t="s">
        <v>1729</v>
      </c>
      <c r="C273" s="63" t="s">
        <v>1655</v>
      </c>
      <c r="D273" s="14">
        <v>0</v>
      </c>
      <c r="E273" t="s">
        <v>17</v>
      </c>
      <c r="F273" t="e">
        <v>#N/A</v>
      </c>
      <c r="G273" s="2" t="s">
        <v>1655</v>
      </c>
    </row>
    <row r="274" spans="1:7" x14ac:dyDescent="0.25">
      <c r="A274" s="77" t="s">
        <v>124</v>
      </c>
      <c r="B274" s="63" t="s">
        <v>125</v>
      </c>
      <c r="C274" s="63" t="s">
        <v>1655</v>
      </c>
      <c r="D274" s="14">
        <v>9076509301561</v>
      </c>
      <c r="E274" t="s">
        <v>17</v>
      </c>
      <c r="F274" t="e">
        <v>#N/A</v>
      </c>
      <c r="G274" s="2" t="s">
        <v>1655</v>
      </c>
    </row>
    <row r="275" spans="1:7" x14ac:dyDescent="0.25">
      <c r="A275" s="63" t="s">
        <v>456</v>
      </c>
      <c r="B275" s="63" t="s">
        <v>457</v>
      </c>
      <c r="C275" s="63" t="s">
        <v>1655</v>
      </c>
      <c r="D275" s="14">
        <v>0</v>
      </c>
      <c r="E275" t="s">
        <v>17</v>
      </c>
      <c r="F275" t="e">
        <v>#N/A</v>
      </c>
      <c r="G275" s="2" t="s">
        <v>1655</v>
      </c>
    </row>
    <row r="276" spans="1:7" x14ac:dyDescent="0.25">
      <c r="A276" s="63" t="s">
        <v>1260</v>
      </c>
      <c r="B276" s="63" t="s">
        <v>1730</v>
      </c>
      <c r="C276" s="63" t="s">
        <v>1655</v>
      </c>
      <c r="D276" s="14" t="e">
        <v>#N/A</v>
      </c>
      <c r="E276" t="e">
        <v>#N/A</v>
      </c>
      <c r="F276" t="e">
        <v>#N/A</v>
      </c>
      <c r="G276" s="2" t="e">
        <v>#N/A</v>
      </c>
    </row>
    <row r="277" spans="1:7" x14ac:dyDescent="0.25">
      <c r="A277" s="63" t="s">
        <v>581</v>
      </c>
      <c r="B277" s="63" t="s">
        <v>582</v>
      </c>
      <c r="C277" s="63" t="s">
        <v>1655</v>
      </c>
      <c r="D277" s="14" t="s">
        <v>1643</v>
      </c>
      <c r="E277" t="s">
        <v>1731</v>
      </c>
      <c r="F277" t="e">
        <v>#N/A</v>
      </c>
      <c r="G277" s="2" t="s">
        <v>1655</v>
      </c>
    </row>
    <row r="278" spans="1:7" x14ac:dyDescent="0.25">
      <c r="A278" s="63" t="s">
        <v>589</v>
      </c>
      <c r="B278" s="63" t="s">
        <v>590</v>
      </c>
      <c r="C278" s="63" t="s">
        <v>1655</v>
      </c>
      <c r="D278" s="14">
        <v>0</v>
      </c>
      <c r="E278" t="s">
        <v>17</v>
      </c>
      <c r="F278" t="e">
        <v>#N/A</v>
      </c>
      <c r="G278" s="2" t="s">
        <v>1655</v>
      </c>
    </row>
    <row r="279" spans="1:7" x14ac:dyDescent="0.25">
      <c r="A279" s="63" t="s">
        <v>596</v>
      </c>
      <c r="B279" s="63" t="s">
        <v>597</v>
      </c>
      <c r="C279" s="63" t="s">
        <v>1655</v>
      </c>
      <c r="D279" s="14">
        <v>9042406782196</v>
      </c>
      <c r="E279" t="s">
        <v>17</v>
      </c>
      <c r="F279" t="e">
        <v>#N/A</v>
      </c>
      <c r="G279" s="2" t="s">
        <v>1655</v>
      </c>
    </row>
    <row r="280" spans="1:7" x14ac:dyDescent="0.25">
      <c r="A280" s="63" t="s">
        <v>428</v>
      </c>
      <c r="B280" s="63" t="s">
        <v>429</v>
      </c>
      <c r="C280" s="63" t="s">
        <v>1655</v>
      </c>
      <c r="D280" s="14">
        <v>0</v>
      </c>
      <c r="E280" t="s">
        <v>17</v>
      </c>
      <c r="F280" t="e">
        <v>#N/A</v>
      </c>
      <c r="G280" s="2" t="s">
        <v>1655</v>
      </c>
    </row>
    <row r="281" spans="1:7" x14ac:dyDescent="0.25">
      <c r="A281" s="63" t="s">
        <v>613</v>
      </c>
      <c r="B281" s="63" t="s">
        <v>614</v>
      </c>
      <c r="C281" s="63" t="s">
        <v>1655</v>
      </c>
      <c r="D281" s="14" t="e">
        <v>#N/A</v>
      </c>
      <c r="E281" t="e">
        <v>#N/A</v>
      </c>
      <c r="F281" t="e">
        <v>#N/A</v>
      </c>
      <c r="G281" s="2" t="e">
        <v>#N/A</v>
      </c>
    </row>
    <row r="282" spans="1:7" x14ac:dyDescent="0.25">
      <c r="A282" s="63" t="s">
        <v>1329</v>
      </c>
      <c r="B282" s="63" t="s">
        <v>1732</v>
      </c>
      <c r="C282" s="63" t="s">
        <v>1655</v>
      </c>
      <c r="D282" s="14">
        <v>0</v>
      </c>
      <c r="E282" t="s">
        <v>17</v>
      </c>
      <c r="F282" t="e">
        <v>#N/A</v>
      </c>
      <c r="G282" s="2" t="s">
        <v>1655</v>
      </c>
    </row>
    <row r="283" spans="1:7" x14ac:dyDescent="0.25">
      <c r="A283" s="63" t="s">
        <v>1347</v>
      </c>
      <c r="B283" s="63" t="s">
        <v>1733</v>
      </c>
      <c r="C283" s="63" t="s">
        <v>1655</v>
      </c>
      <c r="D283" s="14">
        <v>0</v>
      </c>
      <c r="E283" t="s">
        <v>17</v>
      </c>
      <c r="F283" t="e">
        <v>#N/A</v>
      </c>
      <c r="G283" s="2" t="s">
        <v>1655</v>
      </c>
    </row>
    <row r="284" spans="1:7" x14ac:dyDescent="0.25">
      <c r="A284" s="63" t="s">
        <v>222</v>
      </c>
      <c r="B284" s="63" t="s">
        <v>223</v>
      </c>
      <c r="C284" s="63" t="s">
        <v>1655</v>
      </c>
      <c r="D284" s="14" t="s">
        <v>1643</v>
      </c>
      <c r="E284" t="s">
        <v>17</v>
      </c>
      <c r="F284" t="e">
        <v>#N/A</v>
      </c>
      <c r="G284" s="2" t="s">
        <v>1655</v>
      </c>
    </row>
    <row r="285" spans="1:7" x14ac:dyDescent="0.25">
      <c r="A285" s="63" t="s">
        <v>678</v>
      </c>
      <c r="B285" s="63" t="s">
        <v>679</v>
      </c>
      <c r="C285" s="63" t="s">
        <v>1655</v>
      </c>
      <c r="D285" s="14">
        <v>9042408803560</v>
      </c>
      <c r="E285" t="s">
        <v>17</v>
      </c>
      <c r="F285" t="e">
        <v>#N/A</v>
      </c>
      <c r="G285" s="2" t="s">
        <v>1655</v>
      </c>
    </row>
    <row r="286" spans="1:7" x14ac:dyDescent="0.25">
      <c r="A286" s="63" t="s">
        <v>1734</v>
      </c>
      <c r="B286" s="63" t="s">
        <v>1735</v>
      </c>
      <c r="C286" s="63" t="s">
        <v>1655</v>
      </c>
      <c r="D286" s="14" t="s">
        <v>1643</v>
      </c>
      <c r="E286" t="s">
        <v>17</v>
      </c>
      <c r="F286" t="e">
        <v>#N/A</v>
      </c>
      <c r="G286" s="2" t="s">
        <v>1655</v>
      </c>
    </row>
    <row r="287" spans="1:7" x14ac:dyDescent="0.25">
      <c r="A287" s="63" t="s">
        <v>656</v>
      </c>
      <c r="B287" s="63" t="s">
        <v>657</v>
      </c>
      <c r="C287" s="63" t="s">
        <v>1655</v>
      </c>
      <c r="D287" s="14">
        <v>0</v>
      </c>
      <c r="E287" t="s">
        <v>17</v>
      </c>
      <c r="F287" t="e">
        <v>#N/A</v>
      </c>
      <c r="G287" s="2" t="s">
        <v>1655</v>
      </c>
    </row>
    <row r="288" spans="1:7" x14ac:dyDescent="0.25">
      <c r="A288" s="63" t="s">
        <v>666</v>
      </c>
      <c r="B288" s="63" t="s">
        <v>667</v>
      </c>
      <c r="C288" s="63" t="s">
        <v>1655</v>
      </c>
      <c r="D288" s="14">
        <v>0</v>
      </c>
      <c r="E288" t="s">
        <v>17</v>
      </c>
      <c r="F288" t="e">
        <v>#N/A</v>
      </c>
      <c r="G288" s="2" t="s">
        <v>1655</v>
      </c>
    </row>
    <row r="289" spans="1:7" x14ac:dyDescent="0.25">
      <c r="A289" s="63" t="s">
        <v>166</v>
      </c>
      <c r="B289" s="63" t="s">
        <v>167</v>
      </c>
      <c r="C289" s="63" t="s">
        <v>1655</v>
      </c>
      <c r="D289" s="14" t="s">
        <v>1643</v>
      </c>
      <c r="E289" t="s">
        <v>17</v>
      </c>
      <c r="F289" t="e">
        <v>#N/A</v>
      </c>
      <c r="G289" s="2" t="s">
        <v>1655</v>
      </c>
    </row>
    <row r="290" spans="1:7" x14ac:dyDescent="0.25">
      <c r="A290" s="63" t="s">
        <v>681</v>
      </c>
      <c r="B290" s="63" t="s">
        <v>682</v>
      </c>
      <c r="C290" s="63" t="s">
        <v>1655</v>
      </c>
      <c r="D290" s="14" t="e">
        <v>#N/A</v>
      </c>
      <c r="E290" t="e">
        <v>#N/A</v>
      </c>
      <c r="F290" t="e">
        <v>#N/A</v>
      </c>
      <c r="G290" s="2" t="e">
        <v>#N/A</v>
      </c>
    </row>
    <row r="291" spans="1:7" x14ac:dyDescent="0.25">
      <c r="A291" s="63" t="s">
        <v>747</v>
      </c>
      <c r="B291" s="63" t="s">
        <v>748</v>
      </c>
      <c r="C291" s="63" t="s">
        <v>1655</v>
      </c>
      <c r="D291" s="14">
        <v>9076505612821</v>
      </c>
      <c r="E291" t="s">
        <v>17</v>
      </c>
      <c r="F291" t="e">
        <v>#N/A</v>
      </c>
      <c r="G291" s="2" t="s">
        <v>1655</v>
      </c>
    </row>
    <row r="292" spans="1:7" x14ac:dyDescent="0.25">
      <c r="A292" s="63" t="s">
        <v>225</v>
      </c>
      <c r="B292" s="63" t="s">
        <v>226</v>
      </c>
      <c r="C292" s="63" t="s">
        <v>1655</v>
      </c>
      <c r="D292" s="14">
        <v>9042408599309</v>
      </c>
      <c r="E292" t="s">
        <v>17</v>
      </c>
      <c r="F292" t="e">
        <v>#N/A</v>
      </c>
      <c r="G292" s="2" t="s">
        <v>1655</v>
      </c>
    </row>
    <row r="293" spans="1:7" x14ac:dyDescent="0.25">
      <c r="A293" s="63" t="s">
        <v>773</v>
      </c>
      <c r="B293" s="63" t="s">
        <v>774</v>
      </c>
      <c r="C293" s="63" t="s">
        <v>1655</v>
      </c>
      <c r="D293" s="14" t="s">
        <v>1643</v>
      </c>
      <c r="E293" t="s">
        <v>17</v>
      </c>
      <c r="F293" t="e">
        <v>#N/A</v>
      </c>
      <c r="G293" s="2" t="s">
        <v>1655</v>
      </c>
    </row>
    <row r="294" spans="1:7" x14ac:dyDescent="0.25">
      <c r="A294" s="63" t="s">
        <v>707</v>
      </c>
      <c r="B294" s="63" t="s">
        <v>708</v>
      </c>
      <c r="C294" s="63" t="s">
        <v>1655</v>
      </c>
      <c r="D294" s="14">
        <v>0</v>
      </c>
      <c r="E294" t="s">
        <v>17</v>
      </c>
      <c r="F294" t="e">
        <v>#N/A</v>
      </c>
      <c r="G294" s="2" t="s">
        <v>1655</v>
      </c>
    </row>
    <row r="295" spans="1:7" x14ac:dyDescent="0.25">
      <c r="A295" s="63" t="s">
        <v>173</v>
      </c>
      <c r="B295" s="63" t="s">
        <v>174</v>
      </c>
      <c r="C295" s="63" t="s">
        <v>1655</v>
      </c>
      <c r="D295" s="14" t="s">
        <v>1643</v>
      </c>
      <c r="E295" t="s">
        <v>17</v>
      </c>
      <c r="F295" t="e">
        <v>#N/A</v>
      </c>
      <c r="G295" s="2" t="s">
        <v>1655</v>
      </c>
    </row>
    <row r="296" spans="1:7" x14ac:dyDescent="0.25">
      <c r="A296" s="68" t="s">
        <v>713</v>
      </c>
      <c r="B296" s="63" t="s">
        <v>714</v>
      </c>
      <c r="C296" s="63" t="s">
        <v>1655</v>
      </c>
      <c r="D296" s="14">
        <v>0</v>
      </c>
      <c r="E296" t="s">
        <v>17</v>
      </c>
      <c r="F296" t="e">
        <v>#N/A</v>
      </c>
      <c r="G296" s="2" t="s">
        <v>1655</v>
      </c>
    </row>
    <row r="297" spans="1:7" x14ac:dyDescent="0.25">
      <c r="A297" s="63" t="s">
        <v>555</v>
      </c>
      <c r="B297" s="63" t="s">
        <v>556</v>
      </c>
      <c r="C297" s="63" t="s">
        <v>1655</v>
      </c>
      <c r="D297" s="14">
        <v>0</v>
      </c>
      <c r="E297" t="s">
        <v>17</v>
      </c>
      <c r="F297" t="e">
        <v>#N/A</v>
      </c>
      <c r="G297" s="2" t="s">
        <v>1655</v>
      </c>
    </row>
    <row r="298" spans="1:7" x14ac:dyDescent="0.25">
      <c r="A298" s="63" t="s">
        <v>718</v>
      </c>
      <c r="B298" s="63" t="s">
        <v>719</v>
      </c>
      <c r="C298" s="63" t="s">
        <v>1655</v>
      </c>
      <c r="D298" s="14">
        <v>0</v>
      </c>
      <c r="E298" t="s">
        <v>17</v>
      </c>
      <c r="F298" t="e">
        <v>#N/A</v>
      </c>
      <c r="G298" s="2" t="s">
        <v>1655</v>
      </c>
    </row>
    <row r="299" spans="1:7" x14ac:dyDescent="0.25">
      <c r="A299" s="63" t="s">
        <v>720</v>
      </c>
      <c r="B299" s="63" t="s">
        <v>721</v>
      </c>
      <c r="C299" s="63" t="s">
        <v>1655</v>
      </c>
      <c r="D299" s="14">
        <v>0</v>
      </c>
      <c r="E299" t="s">
        <v>17</v>
      </c>
      <c r="F299" t="e">
        <v>#N/A</v>
      </c>
      <c r="G299" s="2" t="s">
        <v>1655</v>
      </c>
    </row>
    <row r="300" spans="1:7" x14ac:dyDescent="0.25">
      <c r="A300" s="63" t="s">
        <v>1502</v>
      </c>
      <c r="B300" s="63" t="s">
        <v>1736</v>
      </c>
      <c r="C300" s="63" t="s">
        <v>1655</v>
      </c>
      <c r="D300" s="14">
        <v>0</v>
      </c>
      <c r="E300" t="s">
        <v>17</v>
      </c>
      <c r="F300" t="e">
        <v>#N/A</v>
      </c>
      <c r="G300" s="2" t="s">
        <v>1655</v>
      </c>
    </row>
    <row r="301" spans="1:7" x14ac:dyDescent="0.25">
      <c r="A301" s="63" t="s">
        <v>733</v>
      </c>
      <c r="B301" s="63" t="s">
        <v>734</v>
      </c>
      <c r="C301" s="63" t="s">
        <v>1655</v>
      </c>
      <c r="D301" s="14">
        <v>0</v>
      </c>
      <c r="E301" t="s">
        <v>17</v>
      </c>
      <c r="F301" t="e">
        <v>#N/A</v>
      </c>
      <c r="G301" s="2" t="s">
        <v>1655</v>
      </c>
    </row>
    <row r="302" spans="1:7" x14ac:dyDescent="0.25">
      <c r="A302" s="63" t="s">
        <v>715</v>
      </c>
      <c r="B302" s="63" t="s">
        <v>716</v>
      </c>
      <c r="C302" s="63" t="s">
        <v>1655</v>
      </c>
      <c r="D302" s="14">
        <v>0</v>
      </c>
      <c r="E302" t="s">
        <v>17</v>
      </c>
      <c r="F302" t="e">
        <v>#N/A</v>
      </c>
      <c r="G302" s="2" t="s">
        <v>1655</v>
      </c>
    </row>
    <row r="303" spans="1:7" x14ac:dyDescent="0.25">
      <c r="A303" s="63" t="s">
        <v>177</v>
      </c>
      <c r="B303" s="63" t="s">
        <v>178</v>
      </c>
      <c r="C303" s="63" t="s">
        <v>1655</v>
      </c>
      <c r="D303" s="14" t="s">
        <v>1643</v>
      </c>
      <c r="E303" t="s">
        <v>17</v>
      </c>
      <c r="F303" t="e">
        <v>#N/A</v>
      </c>
      <c r="G303" s="2" t="s">
        <v>1655</v>
      </c>
    </row>
    <row r="304" spans="1:7" x14ac:dyDescent="0.25">
      <c r="A304" s="63" t="s">
        <v>749</v>
      </c>
      <c r="B304" s="63" t="s">
        <v>750</v>
      </c>
      <c r="C304" s="63" t="s">
        <v>1655</v>
      </c>
      <c r="D304" s="14">
        <v>9042406782113</v>
      </c>
      <c r="E304" t="s">
        <v>17</v>
      </c>
      <c r="F304" t="e">
        <v>#N/A</v>
      </c>
      <c r="G304" s="2" t="s">
        <v>1655</v>
      </c>
    </row>
    <row r="305" spans="1:7" x14ac:dyDescent="0.25">
      <c r="A305" s="68" t="s">
        <v>751</v>
      </c>
      <c r="B305" s="63" t="s">
        <v>752</v>
      </c>
      <c r="C305" s="63" t="s">
        <v>1655</v>
      </c>
      <c r="D305" s="14">
        <v>9042408803875</v>
      </c>
      <c r="E305" t="s">
        <v>17</v>
      </c>
      <c r="F305" t="e">
        <v>#N/A</v>
      </c>
      <c r="G305" s="2" t="s">
        <v>1655</v>
      </c>
    </row>
    <row r="306" spans="1:7" x14ac:dyDescent="0.25">
      <c r="A306" s="68" t="s">
        <v>1527</v>
      </c>
      <c r="B306" s="63" t="s">
        <v>1737</v>
      </c>
      <c r="C306" s="63" t="s">
        <v>1655</v>
      </c>
      <c r="D306" s="14">
        <v>0</v>
      </c>
      <c r="E306" t="s">
        <v>17</v>
      </c>
      <c r="F306" t="e">
        <v>#N/A</v>
      </c>
      <c r="G306" s="2" t="s">
        <v>1655</v>
      </c>
    </row>
    <row r="307" spans="1:7" x14ac:dyDescent="0.25">
      <c r="A307" s="68" t="s">
        <v>753</v>
      </c>
      <c r="B307" s="63" t="s">
        <v>754</v>
      </c>
      <c r="C307" s="63" t="s">
        <v>1655</v>
      </c>
      <c r="D307" s="14">
        <v>0</v>
      </c>
      <c r="E307" t="s">
        <v>17</v>
      </c>
      <c r="F307" t="e">
        <v>#N/A</v>
      </c>
      <c r="G307" s="2" t="s">
        <v>1655</v>
      </c>
    </row>
    <row r="308" spans="1:7" x14ac:dyDescent="0.25">
      <c r="A308" s="68" t="s">
        <v>755</v>
      </c>
      <c r="B308" s="63" t="s">
        <v>756</v>
      </c>
      <c r="C308" s="63" t="s">
        <v>1655</v>
      </c>
      <c r="D308" s="14">
        <v>0</v>
      </c>
      <c r="E308" t="s">
        <v>17</v>
      </c>
      <c r="F308" t="e">
        <v>#N/A</v>
      </c>
      <c r="G308" s="2" t="s">
        <v>1655</v>
      </c>
    </row>
    <row r="309" spans="1:7" x14ac:dyDescent="0.25">
      <c r="A309" s="68" t="s">
        <v>762</v>
      </c>
      <c r="B309" s="63" t="s">
        <v>763</v>
      </c>
      <c r="C309" s="63" t="s">
        <v>1655</v>
      </c>
      <c r="D309" s="14">
        <v>0</v>
      </c>
      <c r="E309" t="s">
        <v>17</v>
      </c>
      <c r="F309" t="e">
        <v>#N/A</v>
      </c>
      <c r="G309" s="2" t="s">
        <v>1655</v>
      </c>
    </row>
    <row r="310" spans="1:7" x14ac:dyDescent="0.25">
      <c r="A310" s="68" t="s">
        <v>228</v>
      </c>
      <c r="B310" s="63" t="s">
        <v>229</v>
      </c>
      <c r="C310" s="63" t="s">
        <v>1655</v>
      </c>
      <c r="D310" s="14">
        <v>0</v>
      </c>
      <c r="E310" t="s">
        <v>17</v>
      </c>
      <c r="F310" t="e">
        <v>#N/A</v>
      </c>
      <c r="G310" s="2" t="s">
        <v>1655</v>
      </c>
    </row>
    <row r="311" spans="1:7" x14ac:dyDescent="0.25">
      <c r="A311" s="68" t="s">
        <v>775</v>
      </c>
      <c r="B311" s="63" t="s">
        <v>776</v>
      </c>
      <c r="C311" s="63" t="s">
        <v>1655</v>
      </c>
      <c r="D311" s="14" t="s">
        <v>1643</v>
      </c>
      <c r="E311" t="s">
        <v>17</v>
      </c>
      <c r="F311" t="e">
        <v>#N/A</v>
      </c>
      <c r="G311" s="2" t="s">
        <v>1655</v>
      </c>
    </row>
    <row r="312" spans="1:7" x14ac:dyDescent="0.25">
      <c r="A312" s="68" t="s">
        <v>386</v>
      </c>
      <c r="B312" s="63" t="s">
        <v>387</v>
      </c>
      <c r="C312" s="63" t="s">
        <v>1655</v>
      </c>
      <c r="D312" s="14">
        <v>0</v>
      </c>
      <c r="E312" t="s">
        <v>17</v>
      </c>
      <c r="F312" t="e">
        <v>#N/A</v>
      </c>
      <c r="G312" s="2" t="s">
        <v>1655</v>
      </c>
    </row>
    <row r="313" spans="1:7" x14ac:dyDescent="0.25">
      <c r="A313" s="68" t="s">
        <v>794</v>
      </c>
      <c r="B313" s="63" t="s">
        <v>795</v>
      </c>
      <c r="C313" s="63" t="s">
        <v>1655</v>
      </c>
      <c r="D313" s="14">
        <v>0</v>
      </c>
      <c r="E313" t="s">
        <v>17</v>
      </c>
      <c r="F313" t="e">
        <v>#N/A</v>
      </c>
      <c r="G313" s="2" t="s">
        <v>1655</v>
      </c>
    </row>
    <row r="314" spans="1:7" x14ac:dyDescent="0.25">
      <c r="A314" s="63" t="s">
        <v>1738</v>
      </c>
      <c r="B314" s="63" t="s">
        <v>1739</v>
      </c>
      <c r="C314" s="63" t="s">
        <v>1655</v>
      </c>
      <c r="D314" s="14">
        <v>0</v>
      </c>
      <c r="E314" t="s">
        <v>17</v>
      </c>
      <c r="F314" t="e">
        <v>#N/A</v>
      </c>
      <c r="G314" s="2" t="s">
        <v>1655</v>
      </c>
    </row>
  </sheetData>
  <conditionalFormatting sqref="A47">
    <cfRule type="duplicateValues" dxfId="3" priority="3"/>
  </conditionalFormatting>
  <conditionalFormatting sqref="A230:A240 A243:A314">
    <cfRule type="duplicateValues" dxfId="2" priority="1"/>
  </conditionalFormatting>
  <conditionalFormatting sqref="A1:B1">
    <cfRule type="duplicateValues" dxfId="1" priority="2"/>
  </conditionalFormatting>
  <conditionalFormatting sqref="A2:B2 A181:A198 A44:A75 A33:A42 A200:A229 A116 A77:A114 A118:A171 A173:A179 A3:A31 B3:B314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48FFED-003B-48F4-84B9-B1417149FA1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1F833E4-A929-4BD4-A342-026FF51C0C83}"/>
</file>

<file path=customXml/itemProps3.xml><?xml version="1.0" encoding="utf-8"?>
<ds:datastoreItem xmlns:ds="http://schemas.openxmlformats.org/officeDocument/2006/customXml" ds:itemID="{35DDCDE9-3C5C-4E2A-BD36-8F3A374F1536}">
  <ds:schemaRefs>
    <ds:schemaRef ds:uri="http://schemas.microsoft.com/office/2006/metadata/properties"/>
    <ds:schemaRef ds:uri="http://schemas.microsoft.com/office/infopath/2007/PartnerControls"/>
    <ds:schemaRef ds:uri="b1d6eb27-c974-4ca9-9eb5-035131d2e23b"/>
    <ds:schemaRef ds:uri="32ecf995-73db-46f9-a681-4562d1c02515"/>
  </ds:schemaRefs>
</ds:datastoreItem>
</file>

<file path=customXml/itemProps4.xml><?xml version="1.0" encoding="utf-8"?>
<ds:datastoreItem xmlns:ds="http://schemas.openxmlformats.org/officeDocument/2006/customXml" ds:itemID="{154F7026-41B6-4CB3-ABAB-88A42406A5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 QZ VEXPENSES 01_2026</vt:lpstr>
      <vt:lpstr>Planilha3</vt:lpstr>
      <vt:lpstr>Planilha2</vt:lpstr>
      <vt:lpstr>Planilha1</vt:lpstr>
      <vt:lpstr>VALIDAÇÃO AGILLITAS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Priscila Moraes</dc:creator>
  <cp:keywords/>
  <dc:description/>
  <cp:lastModifiedBy>Leticia Angenita Scheimann Bauer</cp:lastModifiedBy>
  <cp:revision/>
  <dcterms:created xsi:type="dcterms:W3CDTF">2025-03-31T19:21:44Z</dcterms:created>
  <dcterms:modified xsi:type="dcterms:W3CDTF">2026-01-12T19:32:40Z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