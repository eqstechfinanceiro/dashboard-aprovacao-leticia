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D2951C3-084C-4D88-B921-74A8D278F227}" xr6:coauthVersionLast="47" xr6:coauthVersionMax="47" xr10:uidLastSave="{00000000-0000-0000-0000-000000000000}"/>
  <bookViews>
    <workbookView xWindow="20370" yWindow="-120" windowWidth="20730" windowHeight="11160" xr2:uid="{8FF55715-00B5-4B6C-A2AD-BDC13CC77C85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7" i="1"/>
  <c r="N10" i="1"/>
  <c r="N255" i="1"/>
  <c r="N7" i="1"/>
  <c r="N64" i="1"/>
  <c r="N8" i="1"/>
  <c r="N9" i="1"/>
  <c r="N11" i="1"/>
  <c r="N21" i="1"/>
  <c r="N12" i="1"/>
  <c r="N13" i="1"/>
  <c r="N256" i="1"/>
  <c r="N46" i="1"/>
  <c r="N14" i="1"/>
  <c r="N15" i="1"/>
  <c r="N16" i="1"/>
  <c r="N17" i="1"/>
  <c r="N18" i="1"/>
  <c r="N19" i="1"/>
  <c r="N20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254" i="1"/>
  <c r="I5" i="1"/>
  <c r="K5" i="1"/>
  <c r="L5" i="1"/>
  <c r="O255" i="1" l="1"/>
  <c r="H5" i="1"/>
  <c r="O254" i="1"/>
  <c r="O15" i="1"/>
  <c r="O19" i="1"/>
  <c r="O18" i="1"/>
  <c r="O8" i="1"/>
  <c r="O21" i="1"/>
  <c r="O22" i="1"/>
  <c r="O345" i="1"/>
  <c r="O194" i="1"/>
  <c r="O220" i="1"/>
  <c r="O164" i="1"/>
  <c r="O331" i="1"/>
  <c r="O88" i="1"/>
  <c r="O321" i="1"/>
  <c r="O54" i="1"/>
  <c r="O108" i="1"/>
  <c r="O306" i="1"/>
  <c r="O90" i="1"/>
  <c r="O116" i="1"/>
  <c r="O247" i="1"/>
  <c r="O53" i="1"/>
  <c r="O242" i="1"/>
  <c r="O146" i="1"/>
  <c r="O135" i="1"/>
  <c r="O288" i="1"/>
  <c r="O105" i="1"/>
  <c r="O104" i="1"/>
  <c r="O280" i="1"/>
  <c r="O119" i="1"/>
  <c r="O230" i="1"/>
  <c r="O57" i="1"/>
  <c r="O262" i="1"/>
  <c r="O113" i="1"/>
  <c r="O73" i="1"/>
  <c r="O123" i="1"/>
  <c r="O342" i="1"/>
  <c r="O344" i="1"/>
  <c r="O168" i="1"/>
  <c r="O201" i="1"/>
  <c r="O161" i="1"/>
  <c r="O50" i="1"/>
  <c r="O333" i="1"/>
  <c r="O176" i="1"/>
  <c r="O111" i="1"/>
  <c r="O167" i="1"/>
  <c r="O236" i="1"/>
  <c r="O144" i="1"/>
  <c r="O312" i="1"/>
  <c r="O207" i="1"/>
  <c r="O307" i="1"/>
  <c r="O304" i="1"/>
  <c r="O191" i="1"/>
  <c r="O93" i="1"/>
  <c r="O200" i="1"/>
  <c r="O43" i="1"/>
  <c r="O101" i="1"/>
  <c r="O286" i="1"/>
  <c r="O82" i="1"/>
  <c r="O245" i="1"/>
  <c r="O122" i="1"/>
  <c r="O32" i="1"/>
  <c r="O25" i="1"/>
  <c r="O268" i="1"/>
  <c r="O165" i="1"/>
  <c r="O96" i="1"/>
  <c r="O134" i="1"/>
  <c r="O28" i="1"/>
  <c r="O221" i="1"/>
  <c r="O129" i="1"/>
  <c r="O253" i="1"/>
  <c r="O147" i="1"/>
  <c r="O248" i="1"/>
  <c r="O332" i="1"/>
  <c r="O67" i="1"/>
  <c r="O40" i="1"/>
  <c r="O78" i="1"/>
  <c r="O66" i="1"/>
  <c r="O217" i="1"/>
  <c r="O335" i="1"/>
  <c r="O341" i="1"/>
  <c r="O339" i="1"/>
  <c r="O330" i="1"/>
  <c r="O131" i="1"/>
  <c r="O85" i="1"/>
  <c r="O235" i="1"/>
  <c r="O198" i="1"/>
  <c r="O183" i="1"/>
  <c r="O209" i="1"/>
  <c r="O203" i="1"/>
  <c r="O298" i="1"/>
  <c r="O98" i="1"/>
  <c r="O91" i="1"/>
  <c r="O99" i="1"/>
  <c r="O9" i="1"/>
  <c r="O259" i="1"/>
  <c r="O173" i="1"/>
  <c r="O29" i="1"/>
  <c r="O182" i="1"/>
  <c r="O338" i="1"/>
  <c r="O336" i="1"/>
  <c r="O107" i="1"/>
  <c r="O46" i="1"/>
  <c r="O238" i="1"/>
  <c r="O227" i="1"/>
  <c r="O150" i="1"/>
  <c r="O120" i="1"/>
  <c r="O62" i="1"/>
  <c r="O303" i="1"/>
  <c r="O7" i="1"/>
  <c r="O102" i="1"/>
  <c r="O292" i="1"/>
  <c r="O210" i="1"/>
  <c r="O72" i="1"/>
  <c r="O156" i="1"/>
  <c r="O229" i="1"/>
  <c r="O26" i="1"/>
  <c r="O223" i="1"/>
  <c r="O218" i="1"/>
  <c r="O274" i="1"/>
  <c r="O271" i="1"/>
  <c r="O23" i="1"/>
  <c r="O126" i="1"/>
  <c r="O224" i="1"/>
  <c r="O152" i="1"/>
  <c r="O257" i="1"/>
  <c r="O51" i="1"/>
  <c r="O60" i="1"/>
  <c r="O197" i="1"/>
  <c r="O95" i="1"/>
  <c r="O324" i="1"/>
  <c r="O59" i="1"/>
  <c r="O316" i="1"/>
  <c r="O87" i="1"/>
  <c r="O56" i="1"/>
  <c r="O153" i="1"/>
  <c r="O233" i="1"/>
  <c r="O79" i="1"/>
  <c r="O159" i="1"/>
  <c r="O138" i="1"/>
  <c r="O251" i="1"/>
  <c r="O12" i="1"/>
  <c r="O295" i="1"/>
  <c r="O38" i="1"/>
  <c r="O41" i="1"/>
  <c r="O44" i="1"/>
  <c r="O195" i="1"/>
  <c r="O132" i="1"/>
  <c r="O279" i="1"/>
  <c r="O275" i="1"/>
  <c r="O241" i="1"/>
  <c r="O266" i="1"/>
  <c r="O125" i="1"/>
  <c r="O137" i="1"/>
  <c r="O185" i="1"/>
  <c r="O325" i="1"/>
  <c r="O35" i="1"/>
  <c r="O48" i="1"/>
  <c r="O318" i="1"/>
  <c r="O141" i="1"/>
  <c r="O315" i="1"/>
  <c r="O313" i="1"/>
  <c r="O309" i="1"/>
  <c r="O192" i="1"/>
  <c r="O232" i="1"/>
  <c r="O117" i="1"/>
  <c r="O143" i="1"/>
  <c r="O244" i="1"/>
  <c r="O63" i="1"/>
  <c r="O291" i="1"/>
  <c r="O37" i="1"/>
  <c r="O250" i="1"/>
  <c r="O140" i="1"/>
  <c r="O128" i="1"/>
  <c r="O239" i="1"/>
  <c r="O31" i="1"/>
  <c r="O174" i="1"/>
  <c r="O76" i="1"/>
  <c r="O110" i="1"/>
  <c r="O265" i="1"/>
  <c r="O155" i="1"/>
  <c r="O328" i="1"/>
  <c r="O212" i="1"/>
  <c r="O189" i="1"/>
  <c r="O92" i="1"/>
  <c r="O70" i="1"/>
  <c r="O213" i="1"/>
  <c r="O69" i="1"/>
  <c r="O204" i="1"/>
  <c r="O149" i="1"/>
  <c r="O179" i="1"/>
  <c r="O294" i="1"/>
  <c r="O289" i="1"/>
  <c r="O84" i="1"/>
  <c r="O285" i="1"/>
  <c r="O214" i="1"/>
  <c r="O283" i="1"/>
  <c r="O206" i="1"/>
  <c r="O277" i="1"/>
  <c r="O171" i="1"/>
  <c r="O269" i="1"/>
  <c r="O263" i="1"/>
  <c r="O260" i="1"/>
  <c r="O180" i="1"/>
  <c r="O327" i="1"/>
  <c r="O186" i="1"/>
  <c r="O322" i="1"/>
  <c r="O319" i="1"/>
  <c r="O188" i="1"/>
  <c r="O170" i="1"/>
  <c r="O16" i="1"/>
  <c r="O310" i="1"/>
  <c r="O114" i="1"/>
  <c r="O301" i="1"/>
  <c r="O300" i="1"/>
  <c r="O297" i="1"/>
  <c r="O34" i="1"/>
  <c r="O47" i="1"/>
  <c r="O256" i="1"/>
  <c r="O81" i="1"/>
  <c r="O215" i="1"/>
  <c r="O282" i="1"/>
  <c r="O158" i="1"/>
  <c r="O177" i="1"/>
  <c r="O272" i="1"/>
  <c r="O162" i="1"/>
  <c r="O226" i="1"/>
  <c r="O75" i="1"/>
  <c r="M5" i="1"/>
  <c r="J5" i="1" l="1"/>
  <c r="O13" i="1" l="1"/>
  <c r="O61" i="1"/>
  <c r="O346" i="1"/>
  <c r="O39" i="1"/>
  <c r="O52" i="1"/>
  <c r="O65" i="1"/>
  <c r="O77" i="1"/>
  <c r="O89" i="1"/>
  <c r="O100" i="1"/>
  <c r="O112" i="1"/>
  <c r="O124" i="1"/>
  <c r="O136" i="1"/>
  <c r="O148" i="1"/>
  <c r="O160" i="1"/>
  <c r="O172" i="1"/>
  <c r="O184" i="1"/>
  <c r="O196" i="1"/>
  <c r="O208" i="1"/>
  <c r="O219" i="1"/>
  <c r="O231" i="1"/>
  <c r="O243" i="1"/>
  <c r="O258" i="1"/>
  <c r="O270" i="1"/>
  <c r="O281" i="1"/>
  <c r="O293" i="1"/>
  <c r="O305" i="1"/>
  <c r="O317" i="1"/>
  <c r="O329" i="1"/>
  <c r="O27" i="1"/>
  <c r="O11" i="1"/>
  <c r="O33" i="1"/>
  <c r="O58" i="1"/>
  <c r="O83" i="1"/>
  <c r="O94" i="1"/>
  <c r="O106" i="1"/>
  <c r="O118" i="1"/>
  <c r="O130" i="1"/>
  <c r="O142" i="1"/>
  <c r="O154" i="1"/>
  <c r="O166" i="1"/>
  <c r="O178" i="1"/>
  <c r="O190" i="1"/>
  <c r="O202" i="1"/>
  <c r="O225" i="1"/>
  <c r="O237" i="1"/>
  <c r="O249" i="1"/>
  <c r="O264" i="1"/>
  <c r="O276" i="1"/>
  <c r="O287" i="1"/>
  <c r="O299" i="1"/>
  <c r="O311" i="1"/>
  <c r="O323" i="1"/>
  <c r="O334" i="1"/>
  <c r="O340" i="1"/>
  <c r="O14" i="1"/>
  <c r="O20" i="1"/>
  <c r="O45" i="1"/>
  <c r="O71" i="1"/>
  <c r="O64" i="1"/>
  <c r="O17" i="1"/>
  <c r="O30" i="1"/>
  <c r="O42" i="1"/>
  <c r="O55" i="1"/>
  <c r="O68" i="1"/>
  <c r="O80" i="1"/>
  <c r="O103" i="1"/>
  <c r="O115" i="1"/>
  <c r="O127" i="1"/>
  <c r="O139" i="1"/>
  <c r="O151" i="1"/>
  <c r="O163" i="1"/>
  <c r="O175" i="1"/>
  <c r="O187" i="1"/>
  <c r="O199" i="1"/>
  <c r="O211" i="1"/>
  <c r="O222" i="1"/>
  <c r="O234" i="1"/>
  <c r="O246" i="1"/>
  <c r="O261" i="1"/>
  <c r="O273" i="1"/>
  <c r="O284" i="1"/>
  <c r="O296" i="1"/>
  <c r="O308" i="1"/>
  <c r="O320" i="1"/>
  <c r="O343" i="1"/>
  <c r="O10" i="1"/>
  <c r="O24" i="1"/>
  <c r="O36" i="1"/>
  <c r="O49" i="1"/>
  <c r="O74" i="1"/>
  <c r="O86" i="1"/>
  <c r="O97" i="1"/>
  <c r="O109" i="1"/>
  <c r="O121" i="1"/>
  <c r="O133" i="1"/>
  <c r="O145" i="1"/>
  <c r="O157" i="1"/>
  <c r="O169" i="1"/>
  <c r="O181" i="1"/>
  <c r="O193" i="1"/>
  <c r="O205" i="1"/>
  <c r="O216" i="1"/>
  <c r="O228" i="1"/>
  <c r="O240" i="1"/>
  <c r="O252" i="1"/>
  <c r="O267" i="1"/>
  <c r="O278" i="1"/>
  <c r="O290" i="1"/>
  <c r="O302" i="1"/>
  <c r="O314" i="1"/>
  <c r="O326" i="1"/>
  <c r="N5" i="1"/>
  <c r="O337" i="1"/>
  <c r="O5" i="1" l="1"/>
</calcChain>
</file>

<file path=xl/sharedStrings.xml><?xml version="1.0" encoding="utf-8"?>
<sst xmlns="http://schemas.openxmlformats.org/spreadsheetml/2006/main" count="2737" uniqueCount="866">
  <si>
    <t>COLABORADOR</t>
  </si>
  <si>
    <t>CPF</t>
  </si>
  <si>
    <t>SITUAÇÃO</t>
  </si>
  <si>
    <t>REGIONAL</t>
  </si>
  <si>
    <t>CENTRO DE CUSTO</t>
  </si>
  <si>
    <t>GESTOR</t>
  </si>
  <si>
    <t>DIRETOR</t>
  </si>
  <si>
    <t>SALDO REEMBOLSAR</t>
  </si>
  <si>
    <t>SALDO FINAL</t>
  </si>
  <si>
    <t>1ª QZ</t>
  </si>
  <si>
    <t>SALDO CARTAO</t>
  </si>
  <si>
    <t xml:space="preserve">Adiantamento </t>
  </si>
  <si>
    <t>CARGA PARCIAL</t>
  </si>
  <si>
    <t>REEMBOLSO</t>
  </si>
  <si>
    <t xml:space="preserve">Carga Final </t>
  </si>
  <si>
    <t>obs</t>
  </si>
  <si>
    <t>STATUS DO CARTÃO</t>
  </si>
  <si>
    <t>JONAS CAVALCANTI DE OLIVEIRA</t>
  </si>
  <si>
    <t>01696239478</t>
  </si>
  <si>
    <t>ATIVO</t>
  </si>
  <si>
    <t>REGIONAL NE</t>
  </si>
  <si>
    <t>3R PETROLEUM NE</t>
  </si>
  <si>
    <t>GERSON OLIVEIRA</t>
  </si>
  <si>
    <t>ROGERIO SCATAMBULO</t>
  </si>
  <si>
    <t>Cartão ativo</t>
  </si>
  <si>
    <t>RODRIGO CESAR DOS SANTOS</t>
  </si>
  <si>
    <t>07024923610</t>
  </si>
  <si>
    <t>CEF NORTE OESTE BA</t>
  </si>
  <si>
    <t>CAIO FRANCESCONI RIBEIRO</t>
  </si>
  <si>
    <t>08924586904</t>
  </si>
  <si>
    <t>REGIONAL SC</t>
  </si>
  <si>
    <t>TJ APOIO PR</t>
  </si>
  <si>
    <t>LEANDRO MARCUSSO</t>
  </si>
  <si>
    <t>EVERSON GAIDSTIECHI</t>
  </si>
  <si>
    <t>MARCO AURELIO DE ANDRADE MORAES</t>
  </si>
  <si>
    <t>72756284220</t>
  </si>
  <si>
    <t>REGIONAL CO</t>
  </si>
  <si>
    <t>CEF AM AC RR</t>
  </si>
  <si>
    <t>ANGELICA SOARES</t>
  </si>
  <si>
    <t>ALESSANDRO RODRIGO PASTRELLI</t>
  </si>
  <si>
    <t>02474960902</t>
  </si>
  <si>
    <t>NET APOIO PR</t>
  </si>
  <si>
    <t>JAEDER RODRIGUES JUNIOR</t>
  </si>
  <si>
    <t>07505987607</t>
  </si>
  <si>
    <t>REGIONAL MG</t>
  </si>
  <si>
    <t>CEF NORDESTE MG</t>
  </si>
  <si>
    <t>HUGO ALEXANDRE</t>
  </si>
  <si>
    <t>MARCOS CARIAS</t>
  </si>
  <si>
    <t>LEANDRO FIGUEREDO BELCHIOR</t>
  </si>
  <si>
    <t>26513583802</t>
  </si>
  <si>
    <t>REGIONAL SP</t>
  </si>
  <si>
    <t>INSS SP</t>
  </si>
  <si>
    <t>LEANDRO NUNES</t>
  </si>
  <si>
    <t>SANDRO CAPISTRANO</t>
  </si>
  <si>
    <t>16996346886</t>
  </si>
  <si>
    <t>CEF BAURU SP</t>
  </si>
  <si>
    <t>VICTOR SIGOLO PINHEIRO PIMENTA</t>
  </si>
  <si>
    <t>12237490619</t>
  </si>
  <si>
    <t>LUDGERO HORACIO DE OLIVEIRA</t>
  </si>
  <si>
    <t>06576198922</t>
  </si>
  <si>
    <t>CEF NORTE PR</t>
  </si>
  <si>
    <t>UBIRAJARA DE ARAUJO TEIXEIRA</t>
  </si>
  <si>
    <t>74548565949</t>
  </si>
  <si>
    <t>BB APOIO PR</t>
  </si>
  <si>
    <t>LUCIANO JOSE DO AMARAL PEREIRA</t>
  </si>
  <si>
    <t>04434355708</t>
  </si>
  <si>
    <t>REGIONAL RJ</t>
  </si>
  <si>
    <t>CEF CENTRO NORTE SUL RJ</t>
  </si>
  <si>
    <t>ALLAN JEFFERSON</t>
  </si>
  <si>
    <t>TERCILA DA SILVA LOPES</t>
  </si>
  <si>
    <t>67752721387</t>
  </si>
  <si>
    <t>CEF CEARA</t>
  </si>
  <si>
    <t>ICARO MEDEIROS SILVA</t>
  </si>
  <si>
    <t>01565661338</t>
  </si>
  <si>
    <t>REGIONAL CLARO INFRA NORDESTE</t>
  </si>
  <si>
    <t>CLARO INFRA NORDESTE</t>
  </si>
  <si>
    <t>FELIPE JOSE</t>
  </si>
  <si>
    <t>FLAVIO FERNANDES DOS REIS LIMA</t>
  </si>
  <si>
    <t>01767960107</t>
  </si>
  <si>
    <t>TELEFONICA CO</t>
  </si>
  <si>
    <t>ENZIO CARVALHO DA MOTA</t>
  </si>
  <si>
    <t>38548259515</t>
  </si>
  <si>
    <t>TELEFONICA BA</t>
  </si>
  <si>
    <t>ANGELICA SOARES AMARANTE SILVA</t>
  </si>
  <si>
    <t>07643300712</t>
  </si>
  <si>
    <t>ADM FILIAL CO</t>
  </si>
  <si>
    <t>CHARLES NEVES MATTIUZZI</t>
  </si>
  <si>
    <t>12547938790</t>
  </si>
  <si>
    <t>REGIONAL ES</t>
  </si>
  <si>
    <t>TELEFONICA ES</t>
  </si>
  <si>
    <t>VINICIUS LOCATELLY</t>
  </si>
  <si>
    <t>CARLOS RENATO PACHECO DA SILVA</t>
  </si>
  <si>
    <t>90443306087</t>
  </si>
  <si>
    <t>REGIONAL RS</t>
  </si>
  <si>
    <t>CEF LESTE GAUCHO RS</t>
  </si>
  <si>
    <t>ALEXANDRE GROSS</t>
  </si>
  <si>
    <t>DAVID DA SILVA PEREIRA</t>
  </si>
  <si>
    <t>02344854002</t>
  </si>
  <si>
    <t>KEY ACCOUNT TELEFONICA</t>
  </si>
  <si>
    <t>ANDRE PINHEIRO BALOTIN</t>
  </si>
  <si>
    <t>98603566020</t>
  </si>
  <si>
    <t>REGIONAL CLARO INFRA SUL</t>
  </si>
  <si>
    <t>CELESC NORTE SC</t>
  </si>
  <si>
    <t>BRUNO EDUARDO</t>
  </si>
  <si>
    <t>ADSON SANTOS DA SILVA</t>
  </si>
  <si>
    <t>83058133553</t>
  </si>
  <si>
    <t>ULISSES FERREIRA DE OLIVEIRA</t>
  </si>
  <si>
    <t>01595939644</t>
  </si>
  <si>
    <t>PTB TIC INFRA</t>
  </si>
  <si>
    <t>RODRIGO VANZETTA</t>
  </si>
  <si>
    <t>99532344004</t>
  </si>
  <si>
    <t>CEF NORTE GAUCHO RS</t>
  </si>
  <si>
    <t>CLERITON BACILA DOS SANTOS</t>
  </si>
  <si>
    <t>05456615959</t>
  </si>
  <si>
    <t>NET CTA PR</t>
  </si>
  <si>
    <t>CLAUDIO DONIZETE DA SILVA</t>
  </si>
  <si>
    <t>93457235953</t>
  </si>
  <si>
    <t>TRIBUNAL DE JUSTICA PR</t>
  </si>
  <si>
    <t>LUCAS MARTINS MACAN</t>
  </si>
  <si>
    <t>00975748998</t>
  </si>
  <si>
    <t>HELDER USTULIN</t>
  </si>
  <si>
    <t>37562230862</t>
  </si>
  <si>
    <t>TRIBUNAL DE JUSTICA SP</t>
  </si>
  <si>
    <t>PAOLA CAROLINI BARBOSA</t>
  </si>
  <si>
    <t>03445951969</t>
  </si>
  <si>
    <t>PTB PREDIAL REPAR PR</t>
  </si>
  <si>
    <t>ANTONIO FERREIRA DE MENDONCA NETO</t>
  </si>
  <si>
    <t>05766838760</t>
  </si>
  <si>
    <t>TRIBUNAL DE JUSTICA RJ</t>
  </si>
  <si>
    <t>FELIPE MORAES COSTA DE BRITTO</t>
  </si>
  <si>
    <t>04347084102</t>
  </si>
  <si>
    <t>INSS MT</t>
  </si>
  <si>
    <t>GUILHERME MATEUS VAZ DOS SANTOS</t>
  </si>
  <si>
    <t>44519188806</t>
  </si>
  <si>
    <t>TELEFONICA SP</t>
  </si>
  <si>
    <t>DAVID DE OLIVEIRA FRIGERIO</t>
  </si>
  <si>
    <t>04817177900</t>
  </si>
  <si>
    <t>SANDRO BARRETO DE SOUZA</t>
  </si>
  <si>
    <t>78021324953</t>
  </si>
  <si>
    <t>CEF SUL SC</t>
  </si>
  <si>
    <t>FERNANDO RODRIGUES DUARTE</t>
  </si>
  <si>
    <t>03377983112</t>
  </si>
  <si>
    <t>CLARO CO</t>
  </si>
  <si>
    <t>ROBERTO DOMINGUES PEREIRA</t>
  </si>
  <si>
    <t>81480261068</t>
  </si>
  <si>
    <t>TELEFONICA SC</t>
  </si>
  <si>
    <t>GUSTAVO RODRIGUES FARIA</t>
  </si>
  <si>
    <t>10531222926</t>
  </si>
  <si>
    <t>FABIO APARECIDO DE SOUSA PEREIRA</t>
  </si>
  <si>
    <t>02679643909</t>
  </si>
  <si>
    <t>LEANDRO PINTO NUNES</t>
  </si>
  <si>
    <t>08325368730</t>
  </si>
  <si>
    <t>ADM FILIAL SP</t>
  </si>
  <si>
    <t>RAFAEL AMORIM VELLO</t>
  </si>
  <si>
    <t>01677920599</t>
  </si>
  <si>
    <t>FRANCINILDO JACKSON DE ALMEIDA ARAUJO</t>
  </si>
  <si>
    <t>07021071400</t>
  </si>
  <si>
    <t>NEUDO SAMPIETRO</t>
  </si>
  <si>
    <t>04885659957</t>
  </si>
  <si>
    <t>CLARO INFRA SC</t>
  </si>
  <si>
    <t>DHIEGO RIBEIRO DINIZ</t>
  </si>
  <si>
    <t>00049250256</t>
  </si>
  <si>
    <t>CEF GOIANIA CO</t>
  </si>
  <si>
    <t>SARA ARAGAO DA SILVA BARBOSA</t>
  </si>
  <si>
    <t>49637513809</t>
  </si>
  <si>
    <t>BANCO ITAU SP</t>
  </si>
  <si>
    <t>THIAGO PEREIRA DE LIMA</t>
  </si>
  <si>
    <t>06478105490</t>
  </si>
  <si>
    <t>EDER AUGUSTO DE ARAUJO CARVALHO</t>
  </si>
  <si>
    <t>03985382638</t>
  </si>
  <si>
    <t>CLARO INFRA MG</t>
  </si>
  <si>
    <t>JAQUELINE LEVATI PEREIRA</t>
  </si>
  <si>
    <t>01310014264</t>
  </si>
  <si>
    <t>CEF MANAUS AM</t>
  </si>
  <si>
    <t>MILTON FERREIRA DAS NEVES JUNIOR</t>
  </si>
  <si>
    <t>05100355581</t>
  </si>
  <si>
    <t>ACELEN AR</t>
  </si>
  <si>
    <t>RODRIGO ROBERTO DE SOUZA</t>
  </si>
  <si>
    <t>05664820969</t>
  </si>
  <si>
    <t>BB GRANDE FLORIANOPOLIS SC</t>
  </si>
  <si>
    <t>LUCAS PEREIRA GONCALVES</t>
  </si>
  <si>
    <t>11128978601</t>
  </si>
  <si>
    <t>NET LESTE MG</t>
  </si>
  <si>
    <t>ANDRE ARANHA MEISTER</t>
  </si>
  <si>
    <t>03032275326</t>
  </si>
  <si>
    <t>BB MARANHAO MA</t>
  </si>
  <si>
    <t>DAVID VICHI DE BRITO</t>
  </si>
  <si>
    <t>21641472863</t>
  </si>
  <si>
    <t>CEF FACILITIES PE</t>
  </si>
  <si>
    <t>MICHAEL RODRIGUES SANTOS</t>
  </si>
  <si>
    <t>37425574837</t>
  </si>
  <si>
    <t>CEF SP SUL</t>
  </si>
  <si>
    <t>RODRIGO SANTOS DA SILVA</t>
  </si>
  <si>
    <t>05504962706</t>
  </si>
  <si>
    <t>BANCO ITAU RJ</t>
  </si>
  <si>
    <t>BEATRIZ SILVA DE SIQUEIRA</t>
  </si>
  <si>
    <t>35575473880</t>
  </si>
  <si>
    <t>JUNIO VICENTE BARBOSA</t>
  </si>
  <si>
    <t>10054353670</t>
  </si>
  <si>
    <t>HIGOR LUIZ CERQUEIRA</t>
  </si>
  <si>
    <t>33832720871</t>
  </si>
  <si>
    <t>BANCO CENTRAL PREDIAL SP</t>
  </si>
  <si>
    <t>NILSON RODRIGUES CARDOSO JUNIOR</t>
  </si>
  <si>
    <t>04025408325</t>
  </si>
  <si>
    <t>DEISE SOARES DE CAMPOS</t>
  </si>
  <si>
    <t>69116709004</t>
  </si>
  <si>
    <t>CEF NORTE SC</t>
  </si>
  <si>
    <t>WESLLEY GABRIEL DA SILVA CARDOSO</t>
  </si>
  <si>
    <t>87813416015</t>
  </si>
  <si>
    <t>TELEFONICA RS</t>
  </si>
  <si>
    <t>THIAGO LEANDRO DOS SANTOS</t>
  </si>
  <si>
    <t>33927651800</t>
  </si>
  <si>
    <t>PROSEGUR SP</t>
  </si>
  <si>
    <t>PAULO DE FREITAS PEREIRA</t>
  </si>
  <si>
    <t>11634696611</t>
  </si>
  <si>
    <t>LARISSA SANTOS DA SILVA</t>
  </si>
  <si>
    <t>45120065830</t>
  </si>
  <si>
    <t>MARCELO DE SOUZA DALA VEDOVA</t>
  </si>
  <si>
    <t>05375810654</t>
  </si>
  <si>
    <t>CEF FACILITIES BH</t>
  </si>
  <si>
    <t>FABIO DA CONCEICAO LIMA</t>
  </si>
  <si>
    <t>31275798888</t>
  </si>
  <si>
    <t>PTB UTGCA SP</t>
  </si>
  <si>
    <t>EMERSON LEITE DE BARROS</t>
  </si>
  <si>
    <t>34168918807</t>
  </si>
  <si>
    <t>PTB INFRA SUDESTE</t>
  </si>
  <si>
    <t>WELERSON PUFF RODRIGUES</t>
  </si>
  <si>
    <t>04352219657</t>
  </si>
  <si>
    <t>PROSEGUR MG</t>
  </si>
  <si>
    <t>ROGERIO MACARIO PINTO</t>
  </si>
  <si>
    <t>14355734803</t>
  </si>
  <si>
    <t>ADILSON MELLO DE CAMARGO</t>
  </si>
  <si>
    <t>67324398049</t>
  </si>
  <si>
    <t>BB SERET RS</t>
  </si>
  <si>
    <t>CARLOS EDUARDO SCATAMBULO</t>
  </si>
  <si>
    <t>22730778829</t>
  </si>
  <si>
    <t>CEF LESTE SP</t>
  </si>
  <si>
    <t>FRANCO CARLOS DALLACQUA</t>
  </si>
  <si>
    <t>34757123850</t>
  </si>
  <si>
    <t>RONALDO RUFINO SANTANA</t>
  </si>
  <si>
    <t>29758827855</t>
  </si>
  <si>
    <t>CEF PIRACICABA SP</t>
  </si>
  <si>
    <t>JULIO CESAR ALVES DA ROCHA</t>
  </si>
  <si>
    <t>02265549967</t>
  </si>
  <si>
    <t>MATEUS DE CARVALHO BERTOL</t>
  </si>
  <si>
    <t>01304856674</t>
  </si>
  <si>
    <t>EDUARDO ANDREY VENSON SILVA</t>
  </si>
  <si>
    <t>02960685946</t>
  </si>
  <si>
    <t>CEF OESTE SC</t>
  </si>
  <si>
    <t>EDMAR FERREIRA CARDOSO</t>
  </si>
  <si>
    <t>06311884607</t>
  </si>
  <si>
    <t>NET METROPOLITANA MG</t>
  </si>
  <si>
    <t>ODAIR CIRCO SOARES</t>
  </si>
  <si>
    <t>84219122915</t>
  </si>
  <si>
    <t>EVERTON CAMARGO DE LOURETO</t>
  </si>
  <si>
    <t>91688205004</t>
  </si>
  <si>
    <t>CEF VALE SINOS RS</t>
  </si>
  <si>
    <t>MILTON BRASIL CAVALCANTE</t>
  </si>
  <si>
    <t>03021570852</t>
  </si>
  <si>
    <t>ADMILSON DOS SANTOS GALAN</t>
  </si>
  <si>
    <t>04769973993</t>
  </si>
  <si>
    <t>LUIZ GUSTAVO DI GIORGIO</t>
  </si>
  <si>
    <t>29856268893</t>
  </si>
  <si>
    <t>PAULO NILTON COSTA MOREIRA</t>
  </si>
  <si>
    <t>45159599053</t>
  </si>
  <si>
    <t>CEF EXTREMO SUL RS</t>
  </si>
  <si>
    <t>LUCAS RODRIGUES DE MOURA GALVAO</t>
  </si>
  <si>
    <t>04013986175</t>
  </si>
  <si>
    <t>JOSE VICTOR ARAUJO FELIX</t>
  </si>
  <si>
    <t>06323566346</t>
  </si>
  <si>
    <t>TELEFONICA NE</t>
  </si>
  <si>
    <t>DOUGLAS WESLEN CARDOSO DOS SANTOS</t>
  </si>
  <si>
    <t>08784554932</t>
  </si>
  <si>
    <t>MARCOS SEGER</t>
  </si>
  <si>
    <t>97135631900</t>
  </si>
  <si>
    <t>UFPR PR</t>
  </si>
  <si>
    <t>JAIME ALVES DE ABREU SILVA</t>
  </si>
  <si>
    <t>00965306186</t>
  </si>
  <si>
    <t>MATHEUS FERNANDES GUIMARAES</t>
  </si>
  <si>
    <t>17996820724</t>
  </si>
  <si>
    <t>RAFAEL ALMEIDA LOPES</t>
  </si>
  <si>
    <t>46850229800</t>
  </si>
  <si>
    <t>ANDERSON BICA PEREZ</t>
  </si>
  <si>
    <t>00053957040</t>
  </si>
  <si>
    <t>NET PORTO ALEGRE RS</t>
  </si>
  <si>
    <t>RENATO PARREIRAS</t>
  </si>
  <si>
    <t>97162485634</t>
  </si>
  <si>
    <t>FLAVIO HENRIQUE ALVES ROMERO</t>
  </si>
  <si>
    <t>82871396000</t>
  </si>
  <si>
    <t>NET CENTRO RS</t>
  </si>
  <si>
    <t>CARLOS ROBERTO DE CARVALHO PERES</t>
  </si>
  <si>
    <t>09867858816</t>
  </si>
  <si>
    <t>BRUNO EDUARDO DE SOUZA</t>
  </si>
  <si>
    <t>82341478972</t>
  </si>
  <si>
    <t>ADM FILIAL SC</t>
  </si>
  <si>
    <t>GENISSON DE PAIVA FERREIRA</t>
  </si>
  <si>
    <t>00714806501</t>
  </si>
  <si>
    <t>BB ARACAJU SE</t>
  </si>
  <si>
    <t>JAFER DA FONTOURA AHMAD</t>
  </si>
  <si>
    <t>00041171071</t>
  </si>
  <si>
    <t>CEF PORTO ALEGRE RS</t>
  </si>
  <si>
    <t>CRISTIANO ANESIO GOMES DO NASCIMENTO</t>
  </si>
  <si>
    <t>02862032786</t>
  </si>
  <si>
    <t>CEF INTERIOR RJ</t>
  </si>
  <si>
    <t>EDSON VEIGA SILVEIRA</t>
  </si>
  <si>
    <t>62063774072</t>
  </si>
  <si>
    <t>ERICSON PINHEIRO DOS SANTOS</t>
  </si>
  <si>
    <t>29157549850</t>
  </si>
  <si>
    <t>CEF FACILITIES SP</t>
  </si>
  <si>
    <t>LEANDRO DE MENEZES ASSUNCAO</t>
  </si>
  <si>
    <t>09072032640</t>
  </si>
  <si>
    <t>RODRIGO BOLDO</t>
  </si>
  <si>
    <t>27104988807</t>
  </si>
  <si>
    <t>LUCAS HENRIQUE ALVES DE OLIVEIRA</t>
  </si>
  <si>
    <t>10977673618</t>
  </si>
  <si>
    <t>ALAN RODRIGO SILVA ANDRADE</t>
  </si>
  <si>
    <t>07722232469</t>
  </si>
  <si>
    <t>BB ALAGOAS</t>
  </si>
  <si>
    <t>ARTHUR GOMES DE PAULO</t>
  </si>
  <si>
    <t>12877857603</t>
  </si>
  <si>
    <t>MICHEL VINHORTE DE SOUZA</t>
  </si>
  <si>
    <t>70457883200</t>
  </si>
  <si>
    <t>BB MANAUS FACILITIES AM</t>
  </si>
  <si>
    <t>BRUNO OLIVEIRA DIAS</t>
  </si>
  <si>
    <t>11992259755</t>
  </si>
  <si>
    <t>ALAERTE JACINTO JUNIOR</t>
  </si>
  <si>
    <t>03071605994</t>
  </si>
  <si>
    <t>PTB AREAS VERDES SC</t>
  </si>
  <si>
    <t>JOSE WILKESON OLIVEIRA SILVA</t>
  </si>
  <si>
    <t>03393455354</t>
  </si>
  <si>
    <t>PTB LUBNOR CE</t>
  </si>
  <si>
    <t>FRANCIELLY FELIX CAVALCANTE DE ANDRADE</t>
  </si>
  <si>
    <t>09276240446</t>
  </si>
  <si>
    <t>JORGE NEGRI NETO</t>
  </si>
  <si>
    <t>44997574600</t>
  </si>
  <si>
    <t>PTB TIC NORDESTE</t>
  </si>
  <si>
    <t>JOELSON FERREIRA DOS SANTOS</t>
  </si>
  <si>
    <t>07690263623</t>
  </si>
  <si>
    <t>CEF SUDESTE MG</t>
  </si>
  <si>
    <t>FABIO PROVESI</t>
  </si>
  <si>
    <t>05731312958</t>
  </si>
  <si>
    <t>BB SERET SC</t>
  </si>
  <si>
    <t>BEN HUR MENDES OLIVEIRA</t>
  </si>
  <si>
    <t>00046347054</t>
  </si>
  <si>
    <t>LUIZ PAULO SILVA SOUSA JUNIOR</t>
  </si>
  <si>
    <t>02678045129</t>
  </si>
  <si>
    <t>GIOVANI DONNANTUONI</t>
  </si>
  <si>
    <t>15226997833</t>
  </si>
  <si>
    <t>BB EDIFICIOS SP</t>
  </si>
  <si>
    <t>DIEGO DE ALCANTARA MOTA MENDES</t>
  </si>
  <si>
    <t>09407167631</t>
  </si>
  <si>
    <t>VANDERLEI DE SOUZA NORONHA JUNIOR</t>
  </si>
  <si>
    <t>37695259810</t>
  </si>
  <si>
    <t>BRUNA LAIS AZEVEDO CUNHA</t>
  </si>
  <si>
    <t>07747008406</t>
  </si>
  <si>
    <t>ALEX SANDRO PEREIRA MARQUES</t>
  </si>
  <si>
    <t>82877904091</t>
  </si>
  <si>
    <t>AMANDA CRISTINA DA SILVA</t>
  </si>
  <si>
    <t>07809466690</t>
  </si>
  <si>
    <t>ERICO BRUNO DA SILVA MATOS</t>
  </si>
  <si>
    <t>00011945265</t>
  </si>
  <si>
    <t>DMITRI MORAIS DA SILVA</t>
  </si>
  <si>
    <t>11454991631</t>
  </si>
  <si>
    <t>BB TAMOIOS MG</t>
  </si>
  <si>
    <t>VICTOR MIGUEL PALARO</t>
  </si>
  <si>
    <t>09265596996</t>
  </si>
  <si>
    <t>ANDRE LUIZ SANTANA</t>
  </si>
  <si>
    <t>11897381638</t>
  </si>
  <si>
    <t>CEF SERRA GAUCHA RS</t>
  </si>
  <si>
    <t>RAFAEL NATAL LACHI</t>
  </si>
  <si>
    <t>03710085900</t>
  </si>
  <si>
    <t>EDIBERTO GEORGE RELIQUIAS</t>
  </si>
  <si>
    <t>34596010862</t>
  </si>
  <si>
    <t>ARTUR JACO PAGANI DE SOUZA</t>
  </si>
  <si>
    <t>07105914971</t>
  </si>
  <si>
    <t>ALIRIO THOMAZ VALENTIM</t>
  </si>
  <si>
    <t>99335220000</t>
  </si>
  <si>
    <t>NET LITORAL RS</t>
  </si>
  <si>
    <t>Cartão não vinculado</t>
  </si>
  <si>
    <t>GILMAR DUARTE LACERDA</t>
  </si>
  <si>
    <t>05290622675</t>
  </si>
  <si>
    <t>BB RUA BAHIA MG</t>
  </si>
  <si>
    <t>MARCELO CARVALHO DA SILVA</t>
  </si>
  <si>
    <t>69153825004</t>
  </si>
  <si>
    <t>NET CAXIAS RS</t>
  </si>
  <si>
    <t>RODRIGO ROQUE</t>
  </si>
  <si>
    <t>02062513941</t>
  </si>
  <si>
    <t>CORREIOS SAO JOSE SC</t>
  </si>
  <si>
    <t>JOELSON JUNIOR MARTINS DE GOES</t>
  </si>
  <si>
    <t>03528389907</t>
  </si>
  <si>
    <t>ADRIANO FRANCISCO DE PAULA</t>
  </si>
  <si>
    <t>08813588607</t>
  </si>
  <si>
    <t>EDEVALDO DUTRA GONCALVES</t>
  </si>
  <si>
    <t>00312735057</t>
  </si>
  <si>
    <t>NET LITORAL PR</t>
  </si>
  <si>
    <t>MARCOS VINICIUS DE SOUZA ALVES</t>
  </si>
  <si>
    <t>11823866603</t>
  </si>
  <si>
    <t xml:space="preserve"> NET LESTE MG</t>
  </si>
  <si>
    <t>VINICIUS PEIXOTO BONETTI</t>
  </si>
  <si>
    <t>09785002969</t>
  </si>
  <si>
    <t>ARTERIS LITORAL SUL SC</t>
  </si>
  <si>
    <t>JEAN FABIO OLIVERIO</t>
  </si>
  <si>
    <t>00645883948</t>
  </si>
  <si>
    <t>MARCEL DA HORA CARVALHO</t>
  </si>
  <si>
    <t>01730674500</t>
  </si>
  <si>
    <t>POLICIA FEDERAL BA</t>
  </si>
  <si>
    <t>CAIOS VINICIUS NUNES BROERING</t>
  </si>
  <si>
    <t>07053418952</t>
  </si>
  <si>
    <t>HELDER ARCHANJO FERREIRA</t>
  </si>
  <si>
    <t>06439531670</t>
  </si>
  <si>
    <t>UELITON SANTANA SANTOS</t>
  </si>
  <si>
    <t>03686605597</t>
  </si>
  <si>
    <t>TRANSPETRO BA</t>
  </si>
  <si>
    <t>FABIANA CAMILA BARBOSA DE MORAES LIMA</t>
  </si>
  <si>
    <t>38880279858</t>
  </si>
  <si>
    <t>JAZEMIR DE SANTANA MARQUES</t>
  </si>
  <si>
    <t>44012861549</t>
  </si>
  <si>
    <t>PTB TRANSMISSAO BA</t>
  </si>
  <si>
    <t>MARCIO BOUZAS FERREIRA</t>
  </si>
  <si>
    <t>07318362780</t>
  </si>
  <si>
    <t>VTAL CYBER RJ</t>
  </si>
  <si>
    <t>DOMINIQUE SILVA DE SOUZA</t>
  </si>
  <si>
    <t>00851999077</t>
  </si>
  <si>
    <t>ADSON ARAUJO DA SILVA</t>
  </si>
  <si>
    <t>94551804304</t>
  </si>
  <si>
    <t>LEONARDO ORESTES SOARES</t>
  </si>
  <si>
    <t>05892698440</t>
  </si>
  <si>
    <t>LEANDRO SOUSA</t>
  </si>
  <si>
    <t>00584427905</t>
  </si>
  <si>
    <t>ALTAIR BERTOL</t>
  </si>
  <si>
    <t>01969938900</t>
  </si>
  <si>
    <t>ENGIE FLORIANOPOLIS SC</t>
  </si>
  <si>
    <t>EDIPO SANTOS BARRETO</t>
  </si>
  <si>
    <t>37896893860</t>
  </si>
  <si>
    <t>GIOVANNA SIDOTI MARQUES ROLLO</t>
  </si>
  <si>
    <t>42391813805</t>
  </si>
  <si>
    <t>DANIEL DA SILVA LOPES</t>
  </si>
  <si>
    <t>94288259053</t>
  </si>
  <si>
    <t>NET APOIO SC</t>
  </si>
  <si>
    <t>JOSE EUSTAQUIO DE SOUZA</t>
  </si>
  <si>
    <t>27335364191</t>
  </si>
  <si>
    <t>CELIO GONCALVES DE OLIVEIRA JUNIOR</t>
  </si>
  <si>
    <t>12712136640</t>
  </si>
  <si>
    <t>STEPHANIE THAINARA DE OLIVEIRA ROCHA DA COSTA</t>
  </si>
  <si>
    <t>14084321613</t>
  </si>
  <si>
    <t>ADM FILIAL MG</t>
  </si>
  <si>
    <t>ANTONIO MARCOS CAMARGO</t>
  </si>
  <si>
    <t>04836584990</t>
  </si>
  <si>
    <t>THALITA MANCILIO DIAS GONDIM</t>
  </si>
  <si>
    <t>30941372880</t>
  </si>
  <si>
    <t>SERGIO ESTEVAM DEBIAZI</t>
  </si>
  <si>
    <t>02063139342</t>
  </si>
  <si>
    <t>CONTRATO SUSPENSO</t>
  </si>
  <si>
    <t>ANTONIO DE PADUA LEITE</t>
  </si>
  <si>
    <t>26992280600</t>
  </si>
  <si>
    <t>VTAL CYBER MG</t>
  </si>
  <si>
    <t>SIDNEI FRANCISCO DA SILVA</t>
  </si>
  <si>
    <t>02224415931</t>
  </si>
  <si>
    <t>REGIONAL PR</t>
  </si>
  <si>
    <t>MARLON ARAUJO</t>
  </si>
  <si>
    <t>07774700986</t>
  </si>
  <si>
    <t>VALDIR LEONARDO VOIGT</t>
  </si>
  <si>
    <t>48089869904</t>
  </si>
  <si>
    <t>ARTHUR SANTOS DE OLIVEIRA</t>
  </si>
  <si>
    <t>13921847621</t>
  </si>
  <si>
    <t>MARCO AURELIO DE LIMA</t>
  </si>
  <si>
    <t>01356318665</t>
  </si>
  <si>
    <t>TELEFONICA MG</t>
  </si>
  <si>
    <t>CLEITON DA SILVA MONTALVAO</t>
  </si>
  <si>
    <t>01929647638</t>
  </si>
  <si>
    <t>RAFAEL CARNIEL DA SILVA</t>
  </si>
  <si>
    <t>05337927973</t>
  </si>
  <si>
    <t>ADAUTO JOSE PEREIRA</t>
  </si>
  <si>
    <t>85087572634</t>
  </si>
  <si>
    <t>CLAUDEMIR MOREIRA</t>
  </si>
  <si>
    <t>75609444004</t>
  </si>
  <si>
    <t>CLAYTON DE OLIVEIRA</t>
  </si>
  <si>
    <t>02928835954</t>
  </si>
  <si>
    <t>CLARO INFRA PR</t>
  </si>
  <si>
    <t>RICARDO DORNELES NEITZKE</t>
  </si>
  <si>
    <t>09353381959</t>
  </si>
  <si>
    <t>CLEBERSON APARECIDO BORGES DOS SANTOS</t>
  </si>
  <si>
    <t>05864921947</t>
  </si>
  <si>
    <t>RODRIGO FRANCISCO CORREA</t>
  </si>
  <si>
    <t>03059202940</t>
  </si>
  <si>
    <t>JACKSON NATAN RODRIGUES DA SILVA</t>
  </si>
  <si>
    <t>01456786288</t>
  </si>
  <si>
    <t>BB NORTE OESTE PR</t>
  </si>
  <si>
    <t>ADIVAR ANTONIO DA SILVA JUNIOR</t>
  </si>
  <si>
    <t>28604876898</t>
  </si>
  <si>
    <t>LUCAS DE PAULA SILVA</t>
  </si>
  <si>
    <t>08204909977</t>
  </si>
  <si>
    <t>THIEGO LEANDRO ALVES DE OLIVEIRA</t>
  </si>
  <si>
    <t>07198282440</t>
  </si>
  <si>
    <t>CEF RECIFE PE</t>
  </si>
  <si>
    <t>KATIA RESENDE DA SILVA</t>
  </si>
  <si>
    <t>45154701836</t>
  </si>
  <si>
    <t>GABRIEL HENRIQUE DALL AGNOL</t>
  </si>
  <si>
    <t>09983432935</t>
  </si>
  <si>
    <t>ROBSON FURTADO</t>
  </si>
  <si>
    <t>05236669936</t>
  </si>
  <si>
    <t>PEDRO DO NASCIMENTO FARO</t>
  </si>
  <si>
    <t>42694515215</t>
  </si>
  <si>
    <t>CENSIPAM PA</t>
  </si>
  <si>
    <t>FRANCIONE DE SOUZA LUCENA</t>
  </si>
  <si>
    <t>47331178253</t>
  </si>
  <si>
    <t>MAURICIO JOSE CARDOSO</t>
  </si>
  <si>
    <t>98394282091</t>
  </si>
  <si>
    <t>GHC ARCON RS</t>
  </si>
  <si>
    <t>MAURICIO TRINDADE DE CAMARGO</t>
  </si>
  <si>
    <t>01816236098</t>
  </si>
  <si>
    <t>WAGNER RAFAEL GERHARDT</t>
  </si>
  <si>
    <t>00413687031</t>
  </si>
  <si>
    <t>JONAS PAULO DE MATOS</t>
  </si>
  <si>
    <t>69010544915</t>
  </si>
  <si>
    <t>LEANDRO APARECIDO JAQUES</t>
  </si>
  <si>
    <t>02586212908</t>
  </si>
  <si>
    <t>CRISTIANO DA SILVA VALADARES</t>
  </si>
  <si>
    <t>99062208649</t>
  </si>
  <si>
    <t>CCBB BH MINAS</t>
  </si>
  <si>
    <t>VANDERLEI DOS SANTOS</t>
  </si>
  <si>
    <t>21262405840</t>
  </si>
  <si>
    <t>EMERSON CHOUBI PRADO</t>
  </si>
  <si>
    <t>29722576852</t>
  </si>
  <si>
    <t>DIEGO DOS SANTOS DE JESUS</t>
  </si>
  <si>
    <t>05769658550</t>
  </si>
  <si>
    <t>PTB MARAGOGIPE BA</t>
  </si>
  <si>
    <t>RAUL ADRIANO DOS SANTOS</t>
  </si>
  <si>
    <t>03288831902</t>
  </si>
  <si>
    <t>MARCEL GOMES DE OLIVEIRA</t>
  </si>
  <si>
    <t>29011288823</t>
  </si>
  <si>
    <t>WILLIAM NORONHA TEIXEIRA</t>
  </si>
  <si>
    <t>02013700008</t>
  </si>
  <si>
    <t>NET APOIO RS</t>
  </si>
  <si>
    <t>HUGO NUNES DA SILVA</t>
  </si>
  <si>
    <t>04370282918</t>
  </si>
  <si>
    <t>TIAGO DE JESUS ARAUJO</t>
  </si>
  <si>
    <t>04661413199</t>
  </si>
  <si>
    <t>SILMARA CHAVES</t>
  </si>
  <si>
    <t>02706762950</t>
  </si>
  <si>
    <t>BB TIRADENTES PR</t>
  </si>
  <si>
    <t>JORGE ANTONIO VARGAS DA SILVA</t>
  </si>
  <si>
    <t>01063690080</t>
  </si>
  <si>
    <t>JOAO DA SILVA VIANA</t>
  </si>
  <si>
    <t>88367550978</t>
  </si>
  <si>
    <t>FRANCISCO VALDENIR DE SOUSA</t>
  </si>
  <si>
    <t>79248160387</t>
  </si>
  <si>
    <t>DELVANO AILTON DA SILVA</t>
  </si>
  <si>
    <t>05289382666</t>
  </si>
  <si>
    <t>LUCAS CARVALHO DE SOUZA</t>
  </si>
  <si>
    <t>08781221924</t>
  </si>
  <si>
    <t>JEFFERSON NAZARENO SILVA FREITAS</t>
  </si>
  <si>
    <t>08103183776</t>
  </si>
  <si>
    <t>JOSE NILDA DA CUNHA</t>
  </si>
  <si>
    <t>69808112900</t>
  </si>
  <si>
    <t>FILIPE MENEZES KLING</t>
  </si>
  <si>
    <t>10664298710</t>
  </si>
  <si>
    <t>PTB CENPES RJ</t>
  </si>
  <si>
    <t>JULIANO MESSIAS MOREIRA DE LIMA</t>
  </si>
  <si>
    <t>10649064941</t>
  </si>
  <si>
    <t>PITER ROBSON DA SILVA</t>
  </si>
  <si>
    <t>91388686953</t>
  </si>
  <si>
    <t>LUIS FELIPE RAYMUNDO GARCIA</t>
  </si>
  <si>
    <t>06837861999</t>
  </si>
  <si>
    <t>EDERSON LUIS BARROS DA ROSA</t>
  </si>
  <si>
    <t>04614285988</t>
  </si>
  <si>
    <t>EDER MEDICI</t>
  </si>
  <si>
    <t>03040370952</t>
  </si>
  <si>
    <t>JESSICA DE MIRANDA MEDEIROS FELICIANO</t>
  </si>
  <si>
    <t>10137575483</t>
  </si>
  <si>
    <t>SIDNEI MACHADO</t>
  </si>
  <si>
    <t>02710155940</t>
  </si>
  <si>
    <t>CLAUDINEI VICENTE DE LIMA</t>
  </si>
  <si>
    <t>91920795987</t>
  </si>
  <si>
    <t>DIEGO GRIME DE MELO</t>
  </si>
  <si>
    <t>05597823906</t>
  </si>
  <si>
    <t>TIAGO FERNANDES SANTOS DE OLIVEIRA</t>
  </si>
  <si>
    <t>00849381533</t>
  </si>
  <si>
    <t>CARMO ENERGY</t>
  </si>
  <si>
    <t>ADAN LEONARDO SOUZA BATISTA</t>
  </si>
  <si>
    <t>01932662537</t>
  </si>
  <si>
    <t>MICHEL DOS SANTOS VENANCIO</t>
  </si>
  <si>
    <t>06271222994</t>
  </si>
  <si>
    <t>CREOL APARECIDO DOS SANTOS</t>
  </si>
  <si>
    <t>03363725906</t>
  </si>
  <si>
    <t>ALEXANDRE DA SILVEIRA GROSS</t>
  </si>
  <si>
    <t>63194252020</t>
  </si>
  <si>
    <t>ADM FILIAL RS</t>
  </si>
  <si>
    <t>ROBSON DOS SANTOS GUEDES</t>
  </si>
  <si>
    <t>08418392983</t>
  </si>
  <si>
    <t>ALLAN CRISTIAN DA CUNHA</t>
  </si>
  <si>
    <t>10132301911</t>
  </si>
  <si>
    <t>NIVALDO THIAGO DA CRUZ SANTOS</t>
  </si>
  <si>
    <t>04442316929</t>
  </si>
  <si>
    <t>LUCIANO JOSE DA CUNHA</t>
  </si>
  <si>
    <t>03443300952</t>
  </si>
  <si>
    <t>DOUGLAS BRUCK MACHADO</t>
  </si>
  <si>
    <t>03241621030</t>
  </si>
  <si>
    <t>ANTONIO JOSE PEREIRA DA SILVA</t>
  </si>
  <si>
    <t>08326260401</t>
  </si>
  <si>
    <t>LUAN THIAGO DA SILVA</t>
  </si>
  <si>
    <t>08030478437</t>
  </si>
  <si>
    <t>JOSE DO PRADO ROSA</t>
  </si>
  <si>
    <t>78296277972</t>
  </si>
  <si>
    <t>LEANDRO APARECIDO PEREIRA DA SILVA STEFANINI</t>
  </si>
  <si>
    <t>36020922839</t>
  </si>
  <si>
    <t>RODRIGO FRANCISCO DE SOUSA</t>
  </si>
  <si>
    <t>34459886847</t>
  </si>
  <si>
    <t>MARCIO DA COSTA JOAO</t>
  </si>
  <si>
    <t>02524841936</t>
  </si>
  <si>
    <t>BB CENOP CURITIBA PR</t>
  </si>
  <si>
    <t>MARCIO CORREA DA SILVA</t>
  </si>
  <si>
    <t>98717251087</t>
  </si>
  <si>
    <t>MURILO DE ALMEIDA</t>
  </si>
  <si>
    <t>10521167957</t>
  </si>
  <si>
    <t>BB LESTE PR</t>
  </si>
  <si>
    <t>PAULO ALEXANDRE DE AMORIM</t>
  </si>
  <si>
    <t>04179369907</t>
  </si>
  <si>
    <t>DENILSO DIDONE</t>
  </si>
  <si>
    <t>04859818903</t>
  </si>
  <si>
    <t>ANDERSON RICARDO VIEIRA</t>
  </si>
  <si>
    <t>07822591975</t>
  </si>
  <si>
    <t>CARLOS FRANCISCO GODOY</t>
  </si>
  <si>
    <t>82741980004</t>
  </si>
  <si>
    <t>ISAIAS DA SILVA</t>
  </si>
  <si>
    <t>04083479965</t>
  </si>
  <si>
    <t>LAERCIO SOARES CANABARRO</t>
  </si>
  <si>
    <t>58763376091</t>
  </si>
  <si>
    <t>JACSSON MAYLON CASTRO CORREA</t>
  </si>
  <si>
    <t>10206563957</t>
  </si>
  <si>
    <t>DOUGLAS TIAGO DE OLIVEIRA</t>
  </si>
  <si>
    <t>08492402989</t>
  </si>
  <si>
    <t>CLAUDIO RENALDI NUNES</t>
  </si>
  <si>
    <t>02705722955</t>
  </si>
  <si>
    <t>JHEFERSON DIASSIS</t>
  </si>
  <si>
    <t>07972796955</t>
  </si>
  <si>
    <t>WELTON GERALDO WROBLEWSKI</t>
  </si>
  <si>
    <t>91443130982</t>
  </si>
  <si>
    <t>JEFERSON ZAMPRONIO DA SILVA</t>
  </si>
  <si>
    <t>07060404902</t>
  </si>
  <si>
    <t>ELIANDRO BRUNING</t>
  </si>
  <si>
    <t>00461757923</t>
  </si>
  <si>
    <t>JEFERSON ADRIANO WERNER</t>
  </si>
  <si>
    <t>08935547905</t>
  </si>
  <si>
    <t>JOSEANE DA SILVA SOUZA</t>
  </si>
  <si>
    <t>71944885234</t>
  </si>
  <si>
    <t>WAGNER DOS SANTOS PEREIRA</t>
  </si>
  <si>
    <t>94512043004</t>
  </si>
  <si>
    <t>BB SHOPPING ESTACAO PR</t>
  </si>
  <si>
    <t>SAULO ARAUJO DE PAULA</t>
  </si>
  <si>
    <t>31040091806</t>
  </si>
  <si>
    <t>CLAUDEMIR GREGOSKI RODRIGUES</t>
  </si>
  <si>
    <t>05144026958</t>
  </si>
  <si>
    <t>CEF FACILITIES CURITIBA PR</t>
  </si>
  <si>
    <t>EVERSON ESTEVES DOS SANTOS</t>
  </si>
  <si>
    <t>01755089090</t>
  </si>
  <si>
    <t>PTB REDUC RJ</t>
  </si>
  <si>
    <t>ABNER ANDRADE CAVALCANTE</t>
  </si>
  <si>
    <t>02027745203</t>
  </si>
  <si>
    <t>ADEMARCIO DUARTE LOPES</t>
  </si>
  <si>
    <t>06223031980</t>
  </si>
  <si>
    <t>AGNO CHRISTIAN DE LIMA TELES</t>
  </si>
  <si>
    <t>06911519624</t>
  </si>
  <si>
    <t>ALESSANDRO DE OLIVEIRA AZEVEDO</t>
  </si>
  <si>
    <t>27494577858</t>
  </si>
  <si>
    <t>ALISON FERREIRA DA SILVA</t>
  </si>
  <si>
    <t>37377394803</t>
  </si>
  <si>
    <t>Cadastro pendente</t>
  </si>
  <si>
    <t>ALISSON RODRIGO RAMBO</t>
  </si>
  <si>
    <t>07338782962</t>
  </si>
  <si>
    <t>ALLAN JEFFERSON BRANCO RODRIGUES</t>
  </si>
  <si>
    <t>09688866717</t>
  </si>
  <si>
    <t>ADM FILIAL RJ</t>
  </si>
  <si>
    <t>ALVARO RAMON PRIMERA CASTILLO</t>
  </si>
  <si>
    <t>71318758130</t>
  </si>
  <si>
    <t>ANDRE VALERIO DE PAIVA</t>
  </si>
  <si>
    <t>12682517633</t>
  </si>
  <si>
    <t>ANDRESA INDIRA SANTANA AGGIO</t>
  </si>
  <si>
    <t>33162718805</t>
  </si>
  <si>
    <t>ARLEY HENRIQUE DE SOUZA LUZ</t>
  </si>
  <si>
    <t>01170402232</t>
  </si>
  <si>
    <t>AURO MOREIRA PEDROSO</t>
  </si>
  <si>
    <t>32060157900</t>
  </si>
  <si>
    <t>BRUNA LAIS DOS SANTOS PESSOA</t>
  </si>
  <si>
    <t>13459423625</t>
  </si>
  <si>
    <t>ASSEMBLEIA LEGISLATIVA MG</t>
  </si>
  <si>
    <t>BRUNO DE SOUZA PACHECO</t>
  </si>
  <si>
    <t>04252409160</t>
  </si>
  <si>
    <t>BB PREDIAL MS</t>
  </si>
  <si>
    <t>BRUNO FERREIRA DE SOUZA RODRIGUES</t>
  </si>
  <si>
    <t>16306431730</t>
  </si>
  <si>
    <t>TELEFONICA RJ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</si>
  <si>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</si>
  <si>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</si>
  <si>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</si>
  <si>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</si>
  <si>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</si>
  <si>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</si>
  <si>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NASCIMENTO NONATO JUNIOR</t>
  </si>
  <si>
    <t>65973500225</t>
  </si>
  <si>
    <t>CLAUDINEI AMARAL</t>
  </si>
  <si>
    <t>10433881844</t>
  </si>
  <si>
    <t>CLEVERSON PAULOUSKI</t>
  </si>
  <si>
    <t>08609699919</t>
  </si>
  <si>
    <t>DANIEL SANTOS DE ASSUNCAO</t>
  </si>
  <si>
    <t>97592439549</t>
  </si>
  <si>
    <t>BANCO ITAU BA</t>
  </si>
  <si>
    <t>DANIELA CARVALHO STAHLER</t>
  </si>
  <si>
    <t>01066881030</t>
  </si>
  <si>
    <t>DANILO ZANATTA LUCIANO</t>
  </si>
  <si>
    <t>06285125970</t>
  </si>
  <si>
    <t>DEBORA ARAUJO FIGUEIREDO</t>
  </si>
  <si>
    <t>85225720030</t>
  </si>
  <si>
    <t>DRF NOVO HAMBURGO RS</t>
  </si>
  <si>
    <t>DENIS FERREIRA DA SILVA</t>
  </si>
  <si>
    <t>06637541435</t>
  </si>
  <si>
    <t>ORIGEM ENERGIA AL</t>
  </si>
  <si>
    <t>DIEGO JOSE DE PAULO</t>
  </si>
  <si>
    <t>01553544692</t>
  </si>
  <si>
    <t>DIVAN ALVES DE AMORIM</t>
  </si>
  <si>
    <t>11422891844</t>
  </si>
  <si>
    <t>EDSON CALIXTO THOMAZ</t>
  </si>
  <si>
    <t>05765681719</t>
  </si>
  <si>
    <t>EDUARDO SANTOS</t>
  </si>
  <si>
    <t>91270529072</t>
  </si>
  <si>
    <t>FABIO DIOGO BITTENCOURT</t>
  </si>
  <si>
    <t>00526143959</t>
  </si>
  <si>
    <t>CEF CENTRO GAUCHO RS</t>
  </si>
  <si>
    <t>FABIO HENRIQUE PECORARI CRUZ</t>
  </si>
  <si>
    <t>39297665829</t>
  </si>
  <si>
    <t>FABIO MARTINS BORGES</t>
  </si>
  <si>
    <t>05492458981</t>
  </si>
  <si>
    <t>FELIPE JOSE DE ALBUQUERQUE OLIVEIRA</t>
  </si>
  <si>
    <t>73574031491</t>
  </si>
  <si>
    <t>GERSON PEREIRA</t>
  </si>
  <si>
    <t>38950693291</t>
  </si>
  <si>
    <t>GUILHERME FERREIRA DA SILVA</t>
  </si>
  <si>
    <t>41997553813</t>
  </si>
  <si>
    <t>GUILHERME MOTTA RIBEIRO SILVA</t>
  </si>
  <si>
    <t>11178519740</t>
  </si>
  <si>
    <t>CEF ES</t>
  </si>
  <si>
    <t>HEDER SILVA CAMPODONICO</t>
  </si>
  <si>
    <t>03066906086</t>
  </si>
  <si>
    <t>HIGOR KELVYN SILVA AMORIM</t>
  </si>
  <si>
    <t>09199781930</t>
  </si>
  <si>
    <t>HUGO ALEXANDRE DE SOUSA</t>
  </si>
  <si>
    <t>07646535630</t>
  </si>
  <si>
    <t>HUGO DELLA JUSTINA</t>
  </si>
  <si>
    <t>03031202902</t>
  </si>
  <si>
    <t>FROTA</t>
  </si>
  <si>
    <t>GUILHERME FORTKAMP</t>
  </si>
  <si>
    <t>THIAGO NEVES</t>
  </si>
  <si>
    <t>IVO LUCIANO DA SILVA WAGNER JUNIOR</t>
  </si>
  <si>
    <t>12068745976</t>
  </si>
  <si>
    <t>PATRIMONIO</t>
  </si>
  <si>
    <t>JAIR ASSIS DA SILVA</t>
  </si>
  <si>
    <t>60377348953</t>
  </si>
  <si>
    <t>JAQUELINE ONORIO DOS SANTOS ALVES</t>
  </si>
  <si>
    <t>37258325875</t>
  </si>
  <si>
    <t>JOAO ALEXANDRE LIMA</t>
  </si>
  <si>
    <t>10588522996</t>
  </si>
  <si>
    <t>JOSE CARLOS BATISTA</t>
  </si>
  <si>
    <t>26652452804</t>
  </si>
  <si>
    <t>JOSE CLAUDIO RIBEIRO</t>
  </si>
  <si>
    <t>61158852649</t>
  </si>
  <si>
    <t>JOSE JONAS FURLANETTO</t>
  </si>
  <si>
    <t>55889913115</t>
  </si>
  <si>
    <t>JOSE NEI DOS SANTOS DUTRA</t>
  </si>
  <si>
    <t>55278612053</t>
  </si>
  <si>
    <t>JUSTINO NOGUEIRA PEIXOTO JUNIOR</t>
  </si>
  <si>
    <t>09246793790</t>
  </si>
  <si>
    <t>PTB EDISE RJ</t>
  </si>
  <si>
    <t>KLEBER SILVA DA SILVA</t>
  </si>
  <si>
    <t>48210811053</t>
  </si>
  <si>
    <t>BB POA RS</t>
  </si>
  <si>
    <t>LEANDRO DE QUADROS</t>
  </si>
  <si>
    <t>03461295914</t>
  </si>
  <si>
    <t>LEANDRO GUSMAO MUNIZ</t>
  </si>
  <si>
    <t>13126691790</t>
  </si>
  <si>
    <t>LEONARDO MURATORI ATHAYDE</t>
  </si>
  <si>
    <t>03374811647</t>
  </si>
  <si>
    <t>CEF FACILITIES CE</t>
  </si>
  <si>
    <t>LUCAS HENRIQUE CORREA DOS SANTOS</t>
  </si>
  <si>
    <t>10652119964</t>
  </si>
  <si>
    <t>LUCAS HENRIQUE PINHO</t>
  </si>
  <si>
    <t>45211709861</t>
  </si>
  <si>
    <t>LUCIANO DA SILVA DE PAULA</t>
  </si>
  <si>
    <t>11489828923</t>
  </si>
  <si>
    <t>LUIZ FERNANDO CAVALHEIRO</t>
  </si>
  <si>
    <t>03898579980</t>
  </si>
  <si>
    <t>MARCELO DE ANDRADE CALVETTI</t>
  </si>
  <si>
    <t>02587708052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</si>
  <si>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</si>
  <si>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</si>
  <si>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</si>
  <si>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</si>
  <si>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</si>
  <si>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</si>
  <si>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MARIA EDUARDA ARAGAO</t>
  </si>
  <si>
    <t>10363402950</t>
  </si>
  <si>
    <t>MAURO PEDRO SAUGO</t>
  </si>
  <si>
    <t>90573625972</t>
  </si>
  <si>
    <t>MOISES DOS SANTOS CABRAL</t>
  </si>
  <si>
    <t>68746458204</t>
  </si>
  <si>
    <t>CEF FAC RO</t>
  </si>
  <si>
    <t>NORMAN CRANI PORTELLA</t>
  </si>
  <si>
    <t>79794157953</t>
  </si>
  <si>
    <t>ORESTE BARBOSA DA SILVA JUNIOR</t>
  </si>
  <si>
    <t>25075562850</t>
  </si>
  <si>
    <t>OSCAR DOMINGO PALARO</t>
  </si>
  <si>
    <t>03067535960</t>
  </si>
  <si>
    <t>PALOMA CARLOS SPINOLA</t>
  </si>
  <si>
    <t>11340265796</t>
  </si>
  <si>
    <t>PATRICK ANTONIEVICZ ALVES</t>
  </si>
  <si>
    <t>06456801923</t>
  </si>
  <si>
    <t>PRISCILA GOTARDO PEREIRA</t>
  </si>
  <si>
    <t>05168980945</t>
  </si>
  <si>
    <t>RAFAEL PORTO ALVES DA CRUZ</t>
  </si>
  <si>
    <t>11914988671</t>
  </si>
  <si>
    <t>RAFAEL RAMOS DAS NEVES</t>
  </si>
  <si>
    <t>06149576485</t>
  </si>
  <si>
    <t>RAMON GOMES TEIXEIRA</t>
  </si>
  <si>
    <t>83978054515</t>
  </si>
  <si>
    <t>RAQUEL PANTOJA SANTOS</t>
  </si>
  <si>
    <t>89395140259</t>
  </si>
  <si>
    <t>CEF BELEM FACILITIES PA</t>
  </si>
  <si>
    <t>RICARDO MURCIA GARCIA FILHO</t>
  </si>
  <si>
    <t>27668763830</t>
  </si>
  <si>
    <t>RICARDO ZORZETTO</t>
  </si>
  <si>
    <t>00539580040</t>
  </si>
  <si>
    <t>CEF QUERENCIA RS</t>
  </si>
  <si>
    <t>RODRIGO JOSE DE PAULA</t>
  </si>
  <si>
    <t>03348917956</t>
  </si>
  <si>
    <t>ROGERIO GOMES DE OLIVEIRA</t>
  </si>
  <si>
    <t>89591640030</t>
  </si>
  <si>
    <t>RONALDO DE MATOS LELIS</t>
  </si>
  <si>
    <t>47502843604</t>
  </si>
  <si>
    <t>RUBENS BELO HERBSTER</t>
  </si>
  <si>
    <t>02701688345</t>
  </si>
  <si>
    <t>SANDRO QUITERIO LOPES DOS SANTOS</t>
  </si>
  <si>
    <t>02988581428</t>
  </si>
  <si>
    <t>POLICIA FEDERAL AL</t>
  </si>
  <si>
    <t>SILVIO ODELI FILHO</t>
  </si>
  <si>
    <t>07634898910</t>
  </si>
  <si>
    <t>SILVIO VINICIUS PINHEIRO GOES</t>
  </si>
  <si>
    <t>51182084168</t>
  </si>
  <si>
    <t>TEOFILO TOLLENDAL PACHECO</t>
  </si>
  <si>
    <t>26687333836</t>
  </si>
  <si>
    <t>THIAGO DE MEDEIROS VANZELER</t>
  </si>
  <si>
    <t>11590627733</t>
  </si>
  <si>
    <t>TIAGO DE OLIVEIRA PAIVA</t>
  </si>
  <si>
    <t>10491624719</t>
  </si>
  <si>
    <t>PTB REVAP REVITALIZACAO</t>
  </si>
  <si>
    <t>TULIO VELOSO HONORATO</t>
  </si>
  <si>
    <t>12609931670</t>
  </si>
  <si>
    <t>BB SUDESTE MG</t>
  </si>
  <si>
    <t>UELITON CANDIDO</t>
  </si>
  <si>
    <t>10354623621</t>
  </si>
  <si>
    <t>NET SUL MG</t>
  </si>
  <si>
    <t>WALTER DE CAMPOS NUNES NETO</t>
  </si>
  <si>
    <t>99114160030</t>
  </si>
  <si>
    <t>CLARO INFRA RS</t>
  </si>
  <si>
    <t>WELLINGTON ARION TAVARES</t>
  </si>
  <si>
    <t>04747951954</t>
  </si>
  <si>
    <t>WILLIAM SANTANA NUNES</t>
  </si>
  <si>
    <t>95417400068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</si>
</sst>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6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9" borderId="0" xfId="0" applyFont="1" applyFill="1"/>
    <xf numFmtId="0" fontId="3" fillId="10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164" fontId="3" fillId="2" borderId="1" xfId="0" quotePrefix="1" applyNumberFormat="1" applyFont="1" applyFill="1" applyBorder="1" applyAlignment="1">
      <alignment horizontal="center" vertical="center"/>
    </xf>
    <xf numFmtId="164" fontId="2" fillId="6" borderId="0" xfId="0" applyNumberFormat="1" applyFont="1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3" fillId="11" borderId="1" xfId="0" applyNumberFormat="1" applyFont="1" applyFill="1" applyBorder="1" applyAlignment="1">
      <alignment horizontal="center" vertical="center"/>
    </xf>
    <xf numFmtId="164" fontId="1" fillId="5" borderId="0" xfId="0" applyNumberFormat="1" applyFont="1" applyFill="1"/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9" fontId="2" fillId="13" borderId="0" xfId="0" applyNumberFormat="1" applyFont="1" applyFill="1" applyAlignment="1">
      <alignment horizontal="center"/>
    </xf>
    <xf numFmtId="44" fontId="4" fillId="0" borderId="0" xfId="0" applyNumberFormat="1" applyFont="1"/>
    <xf numFmtId="44" fontId="0" fillId="0" borderId="0" xfId="0" applyNumberFormat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0557B-1E5B-4287-97E4-ECB692DC023A}" name="Tabela1" displayName="Tabela1" ref="A6:Q346" totalsRowShown="0">
  <autoFilter ref="A6:Q346" xr:uid="{9890557B-1E5B-4287-97E4-ECB692DC023A}"/>
  <tableColumns count="17">
    <tableColumn id="1" xr3:uid="{E3E1C849-4424-44C7-BF22-59B0969BCBBE}" name="COLABORADOR" dataDxfId="14"/>
    <tableColumn id="2" xr3:uid="{F019196E-ED01-46F7-B85F-399BFBE8A744}" name="CPF" dataDxfId="13"/>
    <tableColumn id="3" xr3:uid="{F0D7A5E5-A9F5-4A33-920C-B59D0F579725}" name="SITUAÇÃO" dataDxfId="12"/>
    <tableColumn id="4" xr3:uid="{3F40BFB8-4856-4A03-ACBE-DF9E375A1230}" name="REGIONAL" dataDxfId="11"/>
    <tableColumn id="5" xr3:uid="{FE5E8E8A-9B97-4401-AAF4-07288DE09887}" name="CENTRO DE CUSTO" dataDxfId="10"/>
    <tableColumn id="6" xr3:uid="{476BF7D4-C3A8-462E-976E-71E163B32A8B}" name="GESTOR" dataDxfId="9"/>
    <tableColumn id="7" xr3:uid="{BA5EB00F-0211-4192-9E5E-3662FDFF35E5}" name="DIRETOR" dataDxfId="8"/>
    <tableColumn id="18" xr3:uid="{800167E7-DD06-47C9-9A40-4D84F9BFF24A}" name="SALDO REEMBOLSAR" dataDxfId="7"/>
    <tableColumn id="8" xr3:uid="{BE96F36A-843F-4A6E-B422-B4357D51B036}" name="SALDO FINAL" dataDxfId="6"/>
    <tableColumn id="9" xr3:uid="{72674CD5-D091-4666-A818-460DB9468231}" name="1ª QZ" dataDxfId="5"/>
    <tableColumn id="10" xr3:uid="{122598D4-90DA-4EC3-9882-19AC58D7D7DA}" name="SALDO CARTAO" dataDxfId="4"/>
    <tableColumn id="11" xr3:uid="{E771A5F2-117A-427E-A393-4FBB4FED7DE8}" name="Adiantamento " dataDxfId="3"/>
    <tableColumn id="12" xr3:uid="{00E331BC-C625-4958-B44F-95F071C26F22}" name="CARGA PARCIAL" dataDxfId="2">
      <calculatedColumnFormula>Tabela1[[#This Row],[1ª QZ]]-Tabela1[[#This Row],[SALDO FINAL]]-Tabela1[[#This Row],[SALDO CARTAO]]-Tabela1[[#This Row],[Adiantamento ]]</calculatedColumnFormula>
    </tableColumn>
    <tableColumn id="13" xr3:uid="{CC6C7D48-72DE-40F9-BBDA-1CDE7CFEC6B7}" name="REEMBOLSO" dataDxfId="1">
      <calculatedColumnFormula>Tabela1[[#This Row],[SALDO REEMBOLSAR]]*$N$4</calculatedColumnFormula>
    </tableColumn>
    <tableColumn id="14" xr3:uid="{598CADA8-4B1A-4121-8111-A6DF679CED04}" name="Carga Final " dataDxfId="0">
      <calculatedColumnFormula>IF(Tabela1[[#This Row],[CARGA PARCIAL]]&lt;0,0,Tabela1[[#This Row],[CARGA PARCIAL]])+Tabela1[[#This Row],[REEMBOLSO]]</calculatedColumnFormula>
    </tableColumn>
    <tableColumn id="15" xr3:uid="{2E964194-F9B8-4462-837B-9454C0019787}" name="obs"/>
    <tableColumn id="16" xr3:uid="{38FE18B0-EB87-467E-8D33-14AAAC754EDC}" name="STATUS DO CART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95D1-D260-4900-8163-2E4187F4AF4D}">
  <dimension ref="A4:Q346"/>
  <sheetViews>
    <sheetView showGridLines="0" tabSelected="1" topLeftCell="F3" workbookViewId="0">
      <selection activeCell="L4" sqref="L4"/>
    </sheetView>
  </sheetViews>
  <sheetFormatPr defaultColWidth="41" defaultRowHeight="15"/>
  <cols>
    <col min="1" max="1" width="42.28515625" bestFit="1" customWidth="1"/>
    <col min="2" max="2" width="12" bestFit="1" customWidth="1"/>
    <col min="3" max="3" width="13.28515625" style="4" customWidth="1"/>
    <col min="4" max="4" width="28.140625" bestFit="1" customWidth="1"/>
    <col min="5" max="5" width="25.140625" bestFit="1" customWidth="1"/>
    <col min="6" max="6" width="19.28515625" bestFit="1" customWidth="1"/>
    <col min="7" max="7" width="19.28515625" hidden="1" customWidth="1"/>
    <col min="8" max="8" width="19.28515625" customWidth="1"/>
    <col min="9" max="9" width="17.140625" style="9" customWidth="1"/>
    <col min="10" max="10" width="14.42578125" style="9" bestFit="1" customWidth="1"/>
    <col min="11" max="11" width="15.7109375" style="9" bestFit="1" customWidth="1"/>
    <col min="12" max="12" width="22" style="9" customWidth="1"/>
    <col min="13" max="13" width="16.7109375" style="9" customWidth="1"/>
    <col min="14" max="14" width="17.5703125" style="9" customWidth="1"/>
    <col min="15" max="15" width="16.7109375" style="9" customWidth="1"/>
    <col min="16" max="16" width="19.85546875" customWidth="1"/>
    <col min="17" max="17" width="19.7109375" bestFit="1" customWidth="1"/>
  </cols>
  <sheetData>
    <row r="4" spans="1:17">
      <c r="N4" s="20">
        <v>0.5</v>
      </c>
    </row>
    <row r="5" spans="1:17" s="17" customFormat="1" ht="36.75" customHeight="1" thickBot="1">
      <c r="H5" s="18">
        <f>SUBTOTAL(9,H7:H346)</f>
        <v>47533.900000000409</v>
      </c>
      <c r="I5" s="18">
        <f>SUBTOTAL(9,I7:I346)</f>
        <v>253223.95999999932</v>
      </c>
      <c r="J5" s="18">
        <f>SUBTOTAL(9,J7:J346)</f>
        <v>494920</v>
      </c>
      <c r="K5" s="18">
        <f t="shared" ref="K5:O5" si="0">SUBTOTAL(9,K7:K346)</f>
        <v>81247.429999999993</v>
      </c>
      <c r="L5" s="18">
        <f t="shared" si="0"/>
        <v>3060</v>
      </c>
      <c r="M5" s="18">
        <f t="shared" si="0"/>
        <v>157388.61000000051</v>
      </c>
      <c r="N5" s="18">
        <f t="shared" si="0"/>
        <v>23766.950000000204</v>
      </c>
      <c r="O5" s="18">
        <f t="shared" si="0"/>
        <v>251056.72000000073</v>
      </c>
    </row>
    <row r="6" spans="1:17" ht="15.75" thickBot="1">
      <c r="A6" s="7" t="s">
        <v>0</v>
      </c>
      <c r="B6" s="8" t="s">
        <v>1</v>
      </c>
      <c r="C6" s="7" t="s">
        <v>2</v>
      </c>
      <c r="D6" s="7" t="s">
        <v>3</v>
      </c>
      <c r="E6" s="2" t="s">
        <v>4</v>
      </c>
      <c r="F6" s="2" t="s">
        <v>5</v>
      </c>
      <c r="G6" s="2" t="s">
        <v>6</v>
      </c>
      <c r="H6" s="19" t="s">
        <v>7</v>
      </c>
      <c r="I6" s="10" t="s">
        <v>8</v>
      </c>
      <c r="J6" s="15" t="s">
        <v>9</v>
      </c>
      <c r="K6" s="11" t="s">
        <v>10</v>
      </c>
      <c r="L6" s="16" t="s">
        <v>11</v>
      </c>
      <c r="M6" s="12" t="s">
        <v>12</v>
      </c>
      <c r="N6" s="13" t="s">
        <v>13</v>
      </c>
      <c r="O6" s="14" t="s">
        <v>14</v>
      </c>
      <c r="P6" s="6" t="s">
        <v>15</v>
      </c>
      <c r="Q6" s="1" t="s">
        <v>16</v>
      </c>
    </row>
    <row r="7" spans="1:17">
      <c r="A7" s="3" t="s">
        <v>17</v>
      </c>
      <c r="B7" s="3" t="s">
        <v>18</v>
      </c>
      <c r="C7" s="5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21">
        <v>0</v>
      </c>
      <c r="I7" s="21">
        <v>6945.1600000000026</v>
      </c>
      <c r="J7" s="21">
        <v>1750</v>
      </c>
      <c r="K7" s="21">
        <v>15.21</v>
      </c>
      <c r="L7" s="22"/>
      <c r="M7" s="21">
        <f>Tabela1[[#This Row],[1ª QZ]]-Tabela1[[#This Row],[SALDO FINAL]]-Tabela1[[#This Row],[SALDO CARTAO]]-Tabela1[[#This Row],[Adiantamento ]]</f>
        <v>-5210.3700000000026</v>
      </c>
      <c r="N7" s="21">
        <f>Tabela1[[#This Row],[SALDO REEMBOLSAR]]*$N$4</f>
        <v>0</v>
      </c>
      <c r="O7" s="21">
        <f>IF(Tabela1[[#This Row],[CARGA PARCIAL]]&lt;0,0,Tabela1[[#This Row],[CARGA PARCIAL]])+Tabela1[[#This Row],[REEMBOLSO]]</f>
        <v>0</v>
      </c>
      <c r="Q7" t="s">
        <v>24</v>
      </c>
    </row>
    <row r="8" spans="1:17">
      <c r="A8" s="3" t="s">
        <v>25</v>
      </c>
      <c r="B8" s="3" t="s">
        <v>26</v>
      </c>
      <c r="C8" s="5" t="s">
        <v>19</v>
      </c>
      <c r="D8" s="3" t="s">
        <v>20</v>
      </c>
      <c r="E8" s="3" t="s">
        <v>27</v>
      </c>
      <c r="F8" s="3" t="s">
        <v>22</v>
      </c>
      <c r="G8" s="3" t="s">
        <v>23</v>
      </c>
      <c r="H8" s="21">
        <v>0</v>
      </c>
      <c r="I8" s="21">
        <v>6626.0400000000009</v>
      </c>
      <c r="J8" s="21">
        <v>700</v>
      </c>
      <c r="K8" s="21">
        <v>0</v>
      </c>
      <c r="L8" s="22"/>
      <c r="M8" s="21">
        <f>Tabela1[[#This Row],[1ª QZ]]-Tabela1[[#This Row],[SALDO FINAL]]-Tabela1[[#This Row],[SALDO CARTAO]]-Tabela1[[#This Row],[Adiantamento ]]</f>
        <v>-5926.0400000000009</v>
      </c>
      <c r="N8" s="21">
        <f>Tabela1[[#This Row],[SALDO REEMBOLSAR]]*$N$4</f>
        <v>0</v>
      </c>
      <c r="O8" s="21">
        <f>IF(Tabela1[[#This Row],[CARGA PARCIAL]]&lt;0,0,Tabela1[[#This Row],[CARGA PARCIAL]])+Tabela1[[#This Row],[REEMBOLSO]]</f>
        <v>0</v>
      </c>
      <c r="Q8" t="s">
        <v>24</v>
      </c>
    </row>
    <row r="9" spans="1:17">
      <c r="A9" s="3" t="s">
        <v>28</v>
      </c>
      <c r="B9" s="3" t="s">
        <v>29</v>
      </c>
      <c r="C9" s="5" t="s">
        <v>19</v>
      </c>
      <c r="D9" s="3" t="s">
        <v>30</v>
      </c>
      <c r="E9" s="3" t="s">
        <v>31</v>
      </c>
      <c r="F9" s="3" t="s">
        <v>32</v>
      </c>
      <c r="G9" s="3" t="s">
        <v>33</v>
      </c>
      <c r="H9" s="21">
        <v>0</v>
      </c>
      <c r="I9" s="21">
        <v>6504.2000000000044</v>
      </c>
      <c r="J9" s="21">
        <v>3900</v>
      </c>
      <c r="K9" s="21">
        <v>0</v>
      </c>
      <c r="L9" s="22"/>
      <c r="M9" s="21">
        <f>Tabela1[[#This Row],[1ª QZ]]-Tabela1[[#This Row],[SALDO FINAL]]-Tabela1[[#This Row],[SALDO CARTAO]]-Tabela1[[#This Row],[Adiantamento ]]</f>
        <v>-2604.2000000000044</v>
      </c>
      <c r="N9" s="21">
        <f>Tabela1[[#This Row],[SALDO REEMBOLSAR]]*$N$4</f>
        <v>0</v>
      </c>
      <c r="O9" s="21">
        <f>IF(Tabela1[[#This Row],[CARGA PARCIAL]]&lt;0,0,Tabela1[[#This Row],[CARGA PARCIAL]])+Tabela1[[#This Row],[REEMBOLSO]]</f>
        <v>0</v>
      </c>
      <c r="Q9" t="s">
        <v>24</v>
      </c>
    </row>
    <row r="10" spans="1:17">
      <c r="A10" s="3" t="s">
        <v>34</v>
      </c>
      <c r="B10" s="3" t="s">
        <v>35</v>
      </c>
      <c r="C10" s="5" t="s">
        <v>19</v>
      </c>
      <c r="D10" s="3" t="s">
        <v>36</v>
      </c>
      <c r="E10" s="3" t="s">
        <v>37</v>
      </c>
      <c r="F10" s="3" t="s">
        <v>38</v>
      </c>
      <c r="G10" s="3" t="s">
        <v>23</v>
      </c>
      <c r="H10" s="21">
        <v>0</v>
      </c>
      <c r="I10" s="21">
        <v>6084.3600000000006</v>
      </c>
      <c r="J10" s="21">
        <v>5000</v>
      </c>
      <c r="K10" s="21">
        <v>5.32</v>
      </c>
      <c r="L10" s="22"/>
      <c r="M10" s="21">
        <f>Tabela1[[#This Row],[1ª QZ]]-Tabela1[[#This Row],[SALDO FINAL]]-Tabela1[[#This Row],[SALDO CARTAO]]-Tabela1[[#This Row],[Adiantamento ]]</f>
        <v>-1089.6800000000005</v>
      </c>
      <c r="N10" s="21">
        <f>Tabela1[[#This Row],[SALDO REEMBOLSAR]]*$N$4</f>
        <v>0</v>
      </c>
      <c r="O10" s="21">
        <f>IF(Tabela1[[#This Row],[CARGA PARCIAL]]&lt;0,0,Tabela1[[#This Row],[CARGA PARCIAL]])+Tabela1[[#This Row],[REEMBOLSO]]</f>
        <v>0</v>
      </c>
      <c r="Q10" t="s">
        <v>24</v>
      </c>
    </row>
    <row r="11" spans="1:17">
      <c r="A11" s="3" t="s">
        <v>39</v>
      </c>
      <c r="B11" s="3" t="s">
        <v>40</v>
      </c>
      <c r="C11" s="5" t="s">
        <v>19</v>
      </c>
      <c r="D11" s="3" t="s">
        <v>30</v>
      </c>
      <c r="E11" s="3" t="s">
        <v>41</v>
      </c>
      <c r="F11" s="3" t="s">
        <v>32</v>
      </c>
      <c r="G11" s="3" t="s">
        <v>33</v>
      </c>
      <c r="H11" s="21">
        <v>0</v>
      </c>
      <c r="I11" s="21">
        <v>5136.45</v>
      </c>
      <c r="J11" s="21">
        <v>500</v>
      </c>
      <c r="K11" s="21">
        <v>0</v>
      </c>
      <c r="L11" s="22"/>
      <c r="M11" s="21">
        <f>Tabela1[[#This Row],[1ª QZ]]-Tabela1[[#This Row],[SALDO FINAL]]-Tabela1[[#This Row],[SALDO CARTAO]]-Tabela1[[#This Row],[Adiantamento ]]</f>
        <v>-4636.45</v>
      </c>
      <c r="N11" s="21">
        <f>Tabela1[[#This Row],[SALDO REEMBOLSAR]]*$N$4</f>
        <v>0</v>
      </c>
      <c r="O11" s="21">
        <f>IF(Tabela1[[#This Row],[CARGA PARCIAL]]&lt;0,0,Tabela1[[#This Row],[CARGA PARCIAL]])+Tabela1[[#This Row],[REEMBOLSO]]</f>
        <v>0</v>
      </c>
      <c r="Q11" t="s">
        <v>24</v>
      </c>
    </row>
    <row r="12" spans="1:17">
      <c r="A12" s="3" t="s">
        <v>42</v>
      </c>
      <c r="B12" s="3" t="s">
        <v>43</v>
      </c>
      <c r="C12" s="5" t="s">
        <v>19</v>
      </c>
      <c r="D12" s="3" t="s">
        <v>44</v>
      </c>
      <c r="E12" s="3" t="s">
        <v>45</v>
      </c>
      <c r="F12" s="3" t="s">
        <v>46</v>
      </c>
      <c r="G12" s="3" t="s">
        <v>47</v>
      </c>
      <c r="H12" s="21">
        <v>0</v>
      </c>
      <c r="I12" s="21">
        <v>4284.490000000078</v>
      </c>
      <c r="J12" s="21">
        <v>7000</v>
      </c>
      <c r="K12" s="21">
        <v>2</v>
      </c>
      <c r="L12" s="22"/>
      <c r="M12" s="21">
        <f>Tabela1[[#This Row],[1ª QZ]]-Tabela1[[#This Row],[SALDO FINAL]]-Tabela1[[#This Row],[SALDO CARTAO]]-Tabela1[[#This Row],[Adiantamento ]]</f>
        <v>2713.509999999922</v>
      </c>
      <c r="N12" s="21">
        <f>Tabela1[[#This Row],[SALDO REEMBOLSAR]]*$N$4</f>
        <v>0</v>
      </c>
      <c r="O12" s="21">
        <f>IF(Tabela1[[#This Row],[CARGA PARCIAL]]&lt;0,0,Tabela1[[#This Row],[CARGA PARCIAL]])+Tabela1[[#This Row],[REEMBOLSO]]</f>
        <v>2713.509999999922</v>
      </c>
      <c r="Q12" t="s">
        <v>24</v>
      </c>
    </row>
    <row r="13" spans="1:17">
      <c r="A13" s="3" t="s">
        <v>48</v>
      </c>
      <c r="B13" s="3" t="s">
        <v>49</v>
      </c>
      <c r="C13" s="5" t="s">
        <v>19</v>
      </c>
      <c r="D13" s="3" t="s">
        <v>50</v>
      </c>
      <c r="E13" s="3" t="s">
        <v>51</v>
      </c>
      <c r="F13" s="3" t="s">
        <v>52</v>
      </c>
      <c r="G13" s="3" t="s">
        <v>33</v>
      </c>
      <c r="H13" s="21">
        <v>0</v>
      </c>
      <c r="I13" s="21">
        <v>4000.0000000000018</v>
      </c>
      <c r="J13" s="21">
        <v>4000</v>
      </c>
      <c r="K13" s="21">
        <v>0</v>
      </c>
      <c r="L13" s="22"/>
      <c r="M13" s="21">
        <f>Tabela1[[#This Row],[1ª QZ]]-Tabela1[[#This Row],[SALDO FINAL]]-Tabela1[[#This Row],[SALDO CARTAO]]-Tabela1[[#This Row],[Adiantamento ]]</f>
        <v>-1.8189894035458565E-12</v>
      </c>
      <c r="N13" s="21">
        <f>Tabela1[[#This Row],[SALDO REEMBOLSAR]]*$N$4</f>
        <v>0</v>
      </c>
      <c r="O13" s="21">
        <f>IF(Tabela1[[#This Row],[CARGA PARCIAL]]&lt;0,0,Tabela1[[#This Row],[CARGA PARCIAL]])+Tabela1[[#This Row],[REEMBOLSO]]</f>
        <v>0</v>
      </c>
      <c r="Q13" t="s">
        <v>24</v>
      </c>
    </row>
    <row r="14" spans="1:17">
      <c r="A14" s="3" t="s">
        <v>53</v>
      </c>
      <c r="B14" s="3" t="s">
        <v>54</v>
      </c>
      <c r="C14" s="5" t="s">
        <v>19</v>
      </c>
      <c r="D14" s="3" t="s">
        <v>50</v>
      </c>
      <c r="E14" s="3" t="s">
        <v>55</v>
      </c>
      <c r="F14" s="3" t="s">
        <v>52</v>
      </c>
      <c r="G14" s="3" t="s">
        <v>33</v>
      </c>
      <c r="H14" s="21">
        <v>0</v>
      </c>
      <c r="I14" s="21">
        <v>3885.7299999999982</v>
      </c>
      <c r="J14" s="21">
        <v>4000</v>
      </c>
      <c r="K14" s="21">
        <v>6.44</v>
      </c>
      <c r="L14" s="22"/>
      <c r="M14" s="21">
        <f>Tabela1[[#This Row],[1ª QZ]]-Tabela1[[#This Row],[SALDO FINAL]]-Tabela1[[#This Row],[SALDO CARTAO]]-Tabela1[[#This Row],[Adiantamento ]]</f>
        <v>107.8300000000018</v>
      </c>
      <c r="N14" s="21">
        <f>Tabela1[[#This Row],[SALDO REEMBOLSAR]]*$N$4</f>
        <v>0</v>
      </c>
      <c r="O14" s="21">
        <f>IF(Tabela1[[#This Row],[CARGA PARCIAL]]&lt;0,0,Tabela1[[#This Row],[CARGA PARCIAL]])+Tabela1[[#This Row],[REEMBOLSO]]</f>
        <v>107.8300000000018</v>
      </c>
      <c r="Q14" t="s">
        <v>24</v>
      </c>
    </row>
    <row r="15" spans="1:17">
      <c r="A15" s="3" t="s">
        <v>56</v>
      </c>
      <c r="B15" s="3" t="s">
        <v>57</v>
      </c>
      <c r="C15" s="5" t="s">
        <v>19</v>
      </c>
      <c r="D15" s="3" t="s">
        <v>50</v>
      </c>
      <c r="E15" s="3" t="s">
        <v>51</v>
      </c>
      <c r="F15" s="3" t="s">
        <v>52</v>
      </c>
      <c r="G15" s="3" t="s">
        <v>33</v>
      </c>
      <c r="H15" s="21">
        <v>0</v>
      </c>
      <c r="I15" s="21">
        <v>3813.3899999999931</v>
      </c>
      <c r="J15" s="21">
        <v>5000</v>
      </c>
      <c r="K15" s="21">
        <v>37.29</v>
      </c>
      <c r="L15" s="22"/>
      <c r="M15" s="21">
        <f>Tabela1[[#This Row],[1ª QZ]]-Tabela1[[#This Row],[SALDO FINAL]]-Tabela1[[#This Row],[SALDO CARTAO]]-Tabela1[[#This Row],[Adiantamento ]]</f>
        <v>1149.320000000007</v>
      </c>
      <c r="N15" s="21">
        <f>Tabela1[[#This Row],[SALDO REEMBOLSAR]]*$N$4</f>
        <v>0</v>
      </c>
      <c r="O15" s="21">
        <f>IF(Tabela1[[#This Row],[CARGA PARCIAL]]&lt;0,0,Tabela1[[#This Row],[CARGA PARCIAL]])+Tabela1[[#This Row],[REEMBOLSO]]</f>
        <v>1149.320000000007</v>
      </c>
      <c r="Q15" t="s">
        <v>24</v>
      </c>
    </row>
    <row r="16" spans="1:17">
      <c r="A16" s="3" t="s">
        <v>58</v>
      </c>
      <c r="B16" s="3" t="s">
        <v>59</v>
      </c>
      <c r="C16" s="5" t="s">
        <v>19</v>
      </c>
      <c r="D16" s="3" t="s">
        <v>30</v>
      </c>
      <c r="E16" s="3" t="s">
        <v>60</v>
      </c>
      <c r="F16" s="3" t="s">
        <v>32</v>
      </c>
      <c r="G16" s="3" t="s">
        <v>33</v>
      </c>
      <c r="H16" s="21">
        <v>0</v>
      </c>
      <c r="I16" s="21">
        <v>3774.2199999999634</v>
      </c>
      <c r="J16" s="21">
        <v>6500</v>
      </c>
      <c r="K16" s="21">
        <v>2450.35</v>
      </c>
      <c r="L16" s="22"/>
      <c r="M16" s="21">
        <f>Tabela1[[#This Row],[1ª QZ]]-Tabela1[[#This Row],[SALDO FINAL]]-Tabela1[[#This Row],[SALDO CARTAO]]-Tabela1[[#This Row],[Adiantamento ]]</f>
        <v>275.43000000003667</v>
      </c>
      <c r="N16" s="21">
        <f>Tabela1[[#This Row],[SALDO REEMBOLSAR]]*$N$4</f>
        <v>0</v>
      </c>
      <c r="O16" s="21">
        <f>IF(Tabela1[[#This Row],[CARGA PARCIAL]]&lt;0,0,Tabela1[[#This Row],[CARGA PARCIAL]])+Tabela1[[#This Row],[REEMBOLSO]]</f>
        <v>275.43000000003667</v>
      </c>
      <c r="Q16" t="s">
        <v>24</v>
      </c>
    </row>
    <row r="17" spans="1:17">
      <c r="A17" s="3" t="s">
        <v>61</v>
      </c>
      <c r="B17" s="3" t="s">
        <v>62</v>
      </c>
      <c r="C17" s="5" t="s">
        <v>19</v>
      </c>
      <c r="D17" s="3" t="s">
        <v>30</v>
      </c>
      <c r="E17" s="3" t="s">
        <v>63</v>
      </c>
      <c r="F17" s="3" t="s">
        <v>32</v>
      </c>
      <c r="G17" s="3" t="s">
        <v>33</v>
      </c>
      <c r="H17" s="21">
        <v>0</v>
      </c>
      <c r="I17" s="21">
        <v>3714.1700000000051</v>
      </c>
      <c r="J17" s="21">
        <v>4000</v>
      </c>
      <c r="K17" s="21">
        <v>152.72</v>
      </c>
      <c r="L17" s="22"/>
      <c r="M17" s="21">
        <f>Tabela1[[#This Row],[1ª QZ]]-Tabela1[[#This Row],[SALDO FINAL]]-Tabela1[[#This Row],[SALDO CARTAO]]-Tabela1[[#This Row],[Adiantamento ]]</f>
        <v>133.10999999999493</v>
      </c>
      <c r="N17" s="21">
        <f>Tabela1[[#This Row],[SALDO REEMBOLSAR]]*$N$4</f>
        <v>0</v>
      </c>
      <c r="O17" s="21">
        <f>IF(Tabela1[[#This Row],[CARGA PARCIAL]]&lt;0,0,Tabela1[[#This Row],[CARGA PARCIAL]])+Tabela1[[#This Row],[REEMBOLSO]]</f>
        <v>133.10999999999493</v>
      </c>
      <c r="Q17" t="s">
        <v>24</v>
      </c>
    </row>
    <row r="18" spans="1:17">
      <c r="A18" s="3" t="s">
        <v>64</v>
      </c>
      <c r="B18" s="3" t="s">
        <v>65</v>
      </c>
      <c r="C18" s="5" t="s">
        <v>19</v>
      </c>
      <c r="D18" s="3" t="s">
        <v>66</v>
      </c>
      <c r="E18" s="3" t="s">
        <v>67</v>
      </c>
      <c r="F18" s="3" t="s">
        <v>68</v>
      </c>
      <c r="G18" s="3" t="s">
        <v>23</v>
      </c>
      <c r="H18" s="21">
        <v>0</v>
      </c>
      <c r="I18" s="21">
        <v>3676.0899999999056</v>
      </c>
      <c r="J18" s="21">
        <v>4000</v>
      </c>
      <c r="K18" s="21">
        <v>3.09</v>
      </c>
      <c r="L18" s="22"/>
      <c r="M18" s="21">
        <f>Tabela1[[#This Row],[1ª QZ]]-Tabela1[[#This Row],[SALDO FINAL]]-Tabela1[[#This Row],[SALDO CARTAO]]-Tabela1[[#This Row],[Adiantamento ]]</f>
        <v>320.82000000009447</v>
      </c>
      <c r="N18" s="21">
        <f>Tabela1[[#This Row],[SALDO REEMBOLSAR]]*$N$4</f>
        <v>0</v>
      </c>
      <c r="O18" s="21">
        <f>IF(Tabela1[[#This Row],[CARGA PARCIAL]]&lt;0,0,Tabela1[[#This Row],[CARGA PARCIAL]])+Tabela1[[#This Row],[REEMBOLSO]]</f>
        <v>320.82000000009447</v>
      </c>
      <c r="Q18" t="s">
        <v>24</v>
      </c>
    </row>
    <row r="19" spans="1:17">
      <c r="A19" s="3" t="s">
        <v>69</v>
      </c>
      <c r="B19" s="3" t="s">
        <v>70</v>
      </c>
      <c r="C19" s="5" t="s">
        <v>19</v>
      </c>
      <c r="D19" s="3" t="s">
        <v>20</v>
      </c>
      <c r="E19" s="3" t="s">
        <v>71</v>
      </c>
      <c r="F19" s="3" t="s">
        <v>22</v>
      </c>
      <c r="G19" s="3" t="s">
        <v>23</v>
      </c>
      <c r="H19" s="21">
        <v>0</v>
      </c>
      <c r="I19" s="21">
        <v>3671.4500000000007</v>
      </c>
      <c r="J19" s="21">
        <v>4000</v>
      </c>
      <c r="K19" s="21">
        <v>0</v>
      </c>
      <c r="L19" s="22"/>
      <c r="M19" s="21">
        <f>Tabela1[[#This Row],[1ª QZ]]-Tabela1[[#This Row],[SALDO FINAL]]-Tabela1[[#This Row],[SALDO CARTAO]]-Tabela1[[#This Row],[Adiantamento ]]</f>
        <v>328.54999999999927</v>
      </c>
      <c r="N19" s="21">
        <f>Tabela1[[#This Row],[SALDO REEMBOLSAR]]*$N$4</f>
        <v>0</v>
      </c>
      <c r="O19" s="21">
        <f>IF(Tabela1[[#This Row],[CARGA PARCIAL]]&lt;0,0,Tabela1[[#This Row],[CARGA PARCIAL]])+Tabela1[[#This Row],[REEMBOLSO]]</f>
        <v>328.54999999999927</v>
      </c>
      <c r="Q19" t="s">
        <v>24</v>
      </c>
    </row>
    <row r="20" spans="1:17">
      <c r="A20" s="3" t="s">
        <v>72</v>
      </c>
      <c r="B20" s="3" t="s">
        <v>73</v>
      </c>
      <c r="C20" s="5" t="s">
        <v>19</v>
      </c>
      <c r="D20" s="3" t="s">
        <v>74</v>
      </c>
      <c r="E20" s="3" t="s">
        <v>75</v>
      </c>
      <c r="F20" s="3" t="s">
        <v>76</v>
      </c>
      <c r="G20" s="3" t="s">
        <v>23</v>
      </c>
      <c r="H20" s="21">
        <v>0</v>
      </c>
      <c r="I20" s="21">
        <v>3610.840000000002</v>
      </c>
      <c r="J20" s="21">
        <v>1500</v>
      </c>
      <c r="K20" s="21">
        <v>0</v>
      </c>
      <c r="L20" s="22"/>
      <c r="M20" s="21">
        <f>Tabela1[[#This Row],[1ª QZ]]-Tabela1[[#This Row],[SALDO FINAL]]-Tabela1[[#This Row],[SALDO CARTAO]]-Tabela1[[#This Row],[Adiantamento ]]</f>
        <v>-2110.840000000002</v>
      </c>
      <c r="N20" s="21">
        <f>Tabela1[[#This Row],[SALDO REEMBOLSAR]]*$N$4</f>
        <v>0</v>
      </c>
      <c r="O20" s="21">
        <f>IF(Tabela1[[#This Row],[CARGA PARCIAL]]&lt;0,0,Tabela1[[#This Row],[CARGA PARCIAL]])+Tabela1[[#This Row],[REEMBOLSO]]</f>
        <v>0</v>
      </c>
      <c r="Q20" t="s">
        <v>24</v>
      </c>
    </row>
    <row r="21" spans="1:17">
      <c r="A21" s="3" t="s">
        <v>77</v>
      </c>
      <c r="B21" s="3" t="s">
        <v>78</v>
      </c>
      <c r="C21" s="5" t="s">
        <v>19</v>
      </c>
      <c r="D21" s="3" t="s">
        <v>36</v>
      </c>
      <c r="E21" s="3" t="s">
        <v>79</v>
      </c>
      <c r="F21" s="3" t="s">
        <v>38</v>
      </c>
      <c r="G21" s="3" t="s">
        <v>23</v>
      </c>
      <c r="H21" s="21">
        <v>0</v>
      </c>
      <c r="I21" s="21">
        <v>3473.74999999997</v>
      </c>
      <c r="J21" s="21">
        <v>5700</v>
      </c>
      <c r="K21" s="21">
        <v>277.08</v>
      </c>
      <c r="L21" s="22"/>
      <c r="M21" s="21">
        <f>Tabela1[[#This Row],[1ª QZ]]-Tabela1[[#This Row],[SALDO FINAL]]-Tabela1[[#This Row],[SALDO CARTAO]]-Tabela1[[#This Row],[Adiantamento ]]</f>
        <v>1949.1700000000301</v>
      </c>
      <c r="N21" s="21">
        <f>Tabela1[[#This Row],[SALDO REEMBOLSAR]]*$N$4</f>
        <v>0</v>
      </c>
      <c r="O21" s="21">
        <f>IF(Tabela1[[#This Row],[CARGA PARCIAL]]&lt;0,0,Tabela1[[#This Row],[CARGA PARCIAL]])+Tabela1[[#This Row],[REEMBOLSO]]</f>
        <v>1949.1700000000301</v>
      </c>
      <c r="Q21" t="s">
        <v>24</v>
      </c>
    </row>
    <row r="22" spans="1:17">
      <c r="A22" s="3" t="s">
        <v>80</v>
      </c>
      <c r="B22" s="3" t="s">
        <v>81</v>
      </c>
      <c r="C22" s="5" t="s">
        <v>19</v>
      </c>
      <c r="D22" s="3" t="s">
        <v>20</v>
      </c>
      <c r="E22" s="3" t="s">
        <v>82</v>
      </c>
      <c r="F22" s="3" t="s">
        <v>22</v>
      </c>
      <c r="G22" s="3" t="s">
        <v>23</v>
      </c>
      <c r="H22" s="21">
        <v>0</v>
      </c>
      <c r="I22" s="21">
        <v>3462.3799999999883</v>
      </c>
      <c r="J22" s="21">
        <v>4000</v>
      </c>
      <c r="K22" s="21">
        <v>35.74</v>
      </c>
      <c r="L22" s="22"/>
      <c r="M22" s="21">
        <f>Tabela1[[#This Row],[1ª QZ]]-Tabela1[[#This Row],[SALDO FINAL]]-Tabela1[[#This Row],[SALDO CARTAO]]-Tabela1[[#This Row],[Adiantamento ]]</f>
        <v>501.88000000001171</v>
      </c>
      <c r="N22" s="21">
        <f>Tabela1[[#This Row],[SALDO REEMBOLSAR]]*$N$4</f>
        <v>0</v>
      </c>
      <c r="O22" s="21">
        <f>IF(Tabela1[[#This Row],[CARGA PARCIAL]]&lt;0,0,Tabela1[[#This Row],[CARGA PARCIAL]])+Tabela1[[#This Row],[REEMBOLSO]]</f>
        <v>501.88000000001171</v>
      </c>
      <c r="Q22" t="s">
        <v>24</v>
      </c>
    </row>
    <row r="23" spans="1:17">
      <c r="A23" s="3" t="s">
        <v>83</v>
      </c>
      <c r="B23" s="3" t="s">
        <v>84</v>
      </c>
      <c r="C23" s="5" t="s">
        <v>19</v>
      </c>
      <c r="D23" s="3" t="s">
        <v>36</v>
      </c>
      <c r="E23" s="3" t="s">
        <v>85</v>
      </c>
      <c r="F23" s="3" t="s">
        <v>38</v>
      </c>
      <c r="G23" s="3" t="s">
        <v>23</v>
      </c>
      <c r="H23" s="21">
        <v>0</v>
      </c>
      <c r="I23" s="21">
        <v>3355.8600000000047</v>
      </c>
      <c r="J23" s="21">
        <v>11000</v>
      </c>
      <c r="K23" s="21">
        <v>9.98</v>
      </c>
      <c r="L23" s="22"/>
      <c r="M23" s="21">
        <f>Tabela1[[#This Row],[1ª QZ]]-Tabela1[[#This Row],[SALDO FINAL]]-Tabela1[[#This Row],[SALDO CARTAO]]-Tabela1[[#This Row],[Adiantamento ]]</f>
        <v>7634.1599999999962</v>
      </c>
      <c r="N23" s="21">
        <f>Tabela1[[#This Row],[SALDO REEMBOLSAR]]*$N$4</f>
        <v>0</v>
      </c>
      <c r="O23" s="21">
        <f>IF(Tabela1[[#This Row],[CARGA PARCIAL]]&lt;0,0,Tabela1[[#This Row],[CARGA PARCIAL]])+Tabela1[[#This Row],[REEMBOLSO]]</f>
        <v>7634.1599999999962</v>
      </c>
      <c r="Q23" t="s">
        <v>24</v>
      </c>
    </row>
    <row r="24" spans="1:17">
      <c r="A24" s="3" t="s">
        <v>86</v>
      </c>
      <c r="B24" s="3" t="s">
        <v>87</v>
      </c>
      <c r="C24" s="5" t="s">
        <v>19</v>
      </c>
      <c r="D24" s="3" t="s">
        <v>88</v>
      </c>
      <c r="E24" s="3" t="s">
        <v>89</v>
      </c>
      <c r="F24" s="3" t="s">
        <v>90</v>
      </c>
      <c r="G24" s="3" t="s">
        <v>47</v>
      </c>
      <c r="H24" s="21">
        <v>0</v>
      </c>
      <c r="I24" s="21">
        <v>3263.5699999999752</v>
      </c>
      <c r="J24" s="21">
        <v>4200</v>
      </c>
      <c r="K24" s="21">
        <v>3.45</v>
      </c>
      <c r="L24" s="22"/>
      <c r="M24" s="21">
        <f>Tabela1[[#This Row],[1ª QZ]]-Tabela1[[#This Row],[SALDO FINAL]]-Tabela1[[#This Row],[SALDO CARTAO]]-Tabela1[[#This Row],[Adiantamento ]]</f>
        <v>932.9800000000248</v>
      </c>
      <c r="N24" s="21">
        <f>Tabela1[[#This Row],[SALDO REEMBOLSAR]]*$N$4</f>
        <v>0</v>
      </c>
      <c r="O24" s="21">
        <f>IF(Tabela1[[#This Row],[CARGA PARCIAL]]&lt;0,0,Tabela1[[#This Row],[CARGA PARCIAL]])+Tabela1[[#This Row],[REEMBOLSO]]</f>
        <v>932.9800000000248</v>
      </c>
      <c r="Q24" t="s">
        <v>24</v>
      </c>
    </row>
    <row r="25" spans="1:17">
      <c r="A25" s="3" t="s">
        <v>91</v>
      </c>
      <c r="B25" s="3" t="s">
        <v>92</v>
      </c>
      <c r="C25" s="5" t="s">
        <v>19</v>
      </c>
      <c r="D25" s="3" t="s">
        <v>93</v>
      </c>
      <c r="E25" s="3" t="s">
        <v>94</v>
      </c>
      <c r="F25" s="3" t="s">
        <v>95</v>
      </c>
      <c r="G25" s="3" t="s">
        <v>33</v>
      </c>
      <c r="H25" s="21">
        <v>0</v>
      </c>
      <c r="I25" s="21">
        <v>3214.1599999999989</v>
      </c>
      <c r="J25" s="21">
        <v>2800</v>
      </c>
      <c r="K25" s="21">
        <v>0</v>
      </c>
      <c r="L25" s="22"/>
      <c r="M25" s="21">
        <f>Tabela1[[#This Row],[1ª QZ]]-Tabela1[[#This Row],[SALDO FINAL]]-Tabela1[[#This Row],[SALDO CARTAO]]-Tabela1[[#This Row],[Adiantamento ]]</f>
        <v>-414.15999999999894</v>
      </c>
      <c r="N25" s="21">
        <f>Tabela1[[#This Row],[SALDO REEMBOLSAR]]*$N$4</f>
        <v>0</v>
      </c>
      <c r="O25" s="21">
        <f>IF(Tabela1[[#This Row],[CARGA PARCIAL]]&lt;0,0,Tabela1[[#This Row],[CARGA PARCIAL]])+Tabela1[[#This Row],[REEMBOLSO]]</f>
        <v>0</v>
      </c>
      <c r="Q25" t="s">
        <v>24</v>
      </c>
    </row>
    <row r="26" spans="1:17">
      <c r="A26" s="3" t="s">
        <v>96</v>
      </c>
      <c r="B26" s="3" t="s">
        <v>97</v>
      </c>
      <c r="C26" s="5" t="s">
        <v>19</v>
      </c>
      <c r="D26" s="3" t="s">
        <v>93</v>
      </c>
      <c r="E26" s="3" t="s">
        <v>98</v>
      </c>
      <c r="F26" s="3" t="s">
        <v>95</v>
      </c>
      <c r="G26" s="3" t="s">
        <v>33</v>
      </c>
      <c r="H26" s="21">
        <v>0</v>
      </c>
      <c r="I26" s="21">
        <v>3100.98</v>
      </c>
      <c r="J26" s="21">
        <v>250</v>
      </c>
      <c r="K26" s="21">
        <v>9.92</v>
      </c>
      <c r="L26" s="22"/>
      <c r="M26" s="21">
        <f>Tabela1[[#This Row],[1ª QZ]]-Tabela1[[#This Row],[SALDO FINAL]]-Tabela1[[#This Row],[SALDO CARTAO]]-Tabela1[[#This Row],[Adiantamento ]]</f>
        <v>-2860.9</v>
      </c>
      <c r="N26" s="21">
        <f>Tabela1[[#This Row],[SALDO REEMBOLSAR]]*$N$4</f>
        <v>0</v>
      </c>
      <c r="O26" s="21">
        <f>IF(Tabela1[[#This Row],[CARGA PARCIAL]]&lt;0,0,Tabela1[[#This Row],[CARGA PARCIAL]])+Tabela1[[#This Row],[REEMBOLSO]]</f>
        <v>0</v>
      </c>
      <c r="Q26" t="s">
        <v>24</v>
      </c>
    </row>
    <row r="27" spans="1:17">
      <c r="A27" s="3" t="s">
        <v>99</v>
      </c>
      <c r="B27" s="3" t="s">
        <v>100</v>
      </c>
      <c r="C27" s="5" t="s">
        <v>19</v>
      </c>
      <c r="D27" s="3" t="s">
        <v>101</v>
      </c>
      <c r="E27" s="3" t="s">
        <v>102</v>
      </c>
      <c r="F27" s="3" t="s">
        <v>103</v>
      </c>
      <c r="G27" s="3" t="s">
        <v>33</v>
      </c>
      <c r="H27" s="21">
        <v>0</v>
      </c>
      <c r="I27" s="21">
        <v>3088.1699999999992</v>
      </c>
      <c r="J27" s="21">
        <v>1200</v>
      </c>
      <c r="K27" s="21">
        <v>0</v>
      </c>
      <c r="L27" s="22"/>
      <c r="M27" s="21">
        <f>Tabela1[[#This Row],[1ª QZ]]-Tabela1[[#This Row],[SALDO FINAL]]-Tabela1[[#This Row],[SALDO CARTAO]]-Tabela1[[#This Row],[Adiantamento ]]</f>
        <v>-1888.1699999999992</v>
      </c>
      <c r="N27" s="21">
        <f>Tabela1[[#This Row],[SALDO REEMBOLSAR]]*$N$4</f>
        <v>0</v>
      </c>
      <c r="O27" s="21">
        <f>IF(Tabela1[[#This Row],[CARGA PARCIAL]]&lt;0,0,Tabela1[[#This Row],[CARGA PARCIAL]])+Tabela1[[#This Row],[REEMBOLSO]]</f>
        <v>0</v>
      </c>
      <c r="Q27" t="s">
        <v>24</v>
      </c>
    </row>
    <row r="28" spans="1:17">
      <c r="A28" s="3" t="s">
        <v>104</v>
      </c>
      <c r="B28" s="3" t="s">
        <v>105</v>
      </c>
      <c r="C28" s="5" t="s">
        <v>19</v>
      </c>
      <c r="D28" s="3" t="s">
        <v>20</v>
      </c>
      <c r="E28" s="3" t="s">
        <v>82</v>
      </c>
      <c r="F28" s="3" t="s">
        <v>22</v>
      </c>
      <c r="G28" s="3" t="s">
        <v>23</v>
      </c>
      <c r="H28" s="21">
        <v>0</v>
      </c>
      <c r="I28" s="21">
        <v>2992.8999999999987</v>
      </c>
      <c r="J28" s="21">
        <v>2000</v>
      </c>
      <c r="K28" s="21">
        <v>12.7</v>
      </c>
      <c r="L28" s="22"/>
      <c r="M28" s="21">
        <f>Tabela1[[#This Row],[1ª QZ]]-Tabela1[[#This Row],[SALDO FINAL]]-Tabela1[[#This Row],[SALDO CARTAO]]-Tabela1[[#This Row],[Adiantamento ]]</f>
        <v>-1005.5999999999988</v>
      </c>
      <c r="N28" s="21">
        <f>Tabela1[[#This Row],[SALDO REEMBOLSAR]]*$N$4</f>
        <v>0</v>
      </c>
      <c r="O28" s="21">
        <f>IF(Tabela1[[#This Row],[CARGA PARCIAL]]&lt;0,0,Tabela1[[#This Row],[CARGA PARCIAL]])+Tabela1[[#This Row],[REEMBOLSO]]</f>
        <v>0</v>
      </c>
      <c r="Q28" t="s">
        <v>24</v>
      </c>
    </row>
    <row r="29" spans="1:17">
      <c r="A29" s="3" t="s">
        <v>106</v>
      </c>
      <c r="B29" s="3" t="s">
        <v>107</v>
      </c>
      <c r="C29" s="5" t="s">
        <v>19</v>
      </c>
      <c r="D29" s="3" t="s">
        <v>88</v>
      </c>
      <c r="E29" s="3" t="s">
        <v>108</v>
      </c>
      <c r="F29" s="3" t="s">
        <v>90</v>
      </c>
      <c r="G29" s="3" t="s">
        <v>47</v>
      </c>
      <c r="H29" s="21">
        <v>0</v>
      </c>
      <c r="I29" s="21">
        <v>2905.9799999999973</v>
      </c>
      <c r="J29" s="21">
        <v>1150</v>
      </c>
      <c r="K29" s="21">
        <v>101.31</v>
      </c>
      <c r="L29" s="22"/>
      <c r="M29" s="21">
        <f>Tabela1[[#This Row],[1ª QZ]]-Tabela1[[#This Row],[SALDO FINAL]]-Tabela1[[#This Row],[SALDO CARTAO]]-Tabela1[[#This Row],[Adiantamento ]]</f>
        <v>-1857.2899999999972</v>
      </c>
      <c r="N29" s="21">
        <f>Tabela1[[#This Row],[SALDO REEMBOLSAR]]*$N$4</f>
        <v>0</v>
      </c>
      <c r="O29" s="21">
        <f>IF(Tabela1[[#This Row],[CARGA PARCIAL]]&lt;0,0,Tabela1[[#This Row],[CARGA PARCIAL]])+Tabela1[[#This Row],[REEMBOLSO]]</f>
        <v>0</v>
      </c>
      <c r="Q29" t="s">
        <v>24</v>
      </c>
    </row>
    <row r="30" spans="1:17">
      <c r="A30" s="3" t="s">
        <v>109</v>
      </c>
      <c r="B30" s="3" t="s">
        <v>110</v>
      </c>
      <c r="C30" s="5" t="s">
        <v>19</v>
      </c>
      <c r="D30" s="3" t="s">
        <v>93</v>
      </c>
      <c r="E30" s="3" t="s">
        <v>111</v>
      </c>
      <c r="F30" s="3" t="s">
        <v>95</v>
      </c>
      <c r="G30" s="3" t="s">
        <v>33</v>
      </c>
      <c r="H30" s="21">
        <v>0</v>
      </c>
      <c r="I30" s="21">
        <v>2736.0799999999508</v>
      </c>
      <c r="J30" s="21">
        <v>2800</v>
      </c>
      <c r="K30" s="21">
        <v>9</v>
      </c>
      <c r="L30" s="22"/>
      <c r="M30" s="21">
        <f>Tabela1[[#This Row],[1ª QZ]]-Tabela1[[#This Row],[SALDO FINAL]]-Tabela1[[#This Row],[SALDO CARTAO]]-Tabela1[[#This Row],[Adiantamento ]]</f>
        <v>54.920000000049185</v>
      </c>
      <c r="N30" s="21">
        <f>Tabela1[[#This Row],[SALDO REEMBOLSAR]]*$N$4</f>
        <v>0</v>
      </c>
      <c r="O30" s="21">
        <f>IF(Tabela1[[#This Row],[CARGA PARCIAL]]&lt;0,0,Tabela1[[#This Row],[CARGA PARCIAL]])+Tabela1[[#This Row],[REEMBOLSO]]</f>
        <v>54.920000000049185</v>
      </c>
      <c r="Q30" t="s">
        <v>24</v>
      </c>
    </row>
    <row r="31" spans="1:17">
      <c r="A31" s="3" t="s">
        <v>112</v>
      </c>
      <c r="B31" s="3" t="s">
        <v>113</v>
      </c>
      <c r="C31" s="5" t="s">
        <v>19</v>
      </c>
      <c r="D31" s="3" t="s">
        <v>30</v>
      </c>
      <c r="E31" s="3" t="s">
        <v>114</v>
      </c>
      <c r="F31" s="3" t="s">
        <v>32</v>
      </c>
      <c r="G31" s="3" t="s">
        <v>33</v>
      </c>
      <c r="H31" s="21">
        <v>0</v>
      </c>
      <c r="I31" s="21">
        <v>2696.4099999999876</v>
      </c>
      <c r="J31" s="21">
        <v>3000</v>
      </c>
      <c r="K31" s="21">
        <v>683.93</v>
      </c>
      <c r="L31" s="22"/>
      <c r="M31" s="21">
        <f>Tabela1[[#This Row],[1ª QZ]]-Tabela1[[#This Row],[SALDO FINAL]]-Tabela1[[#This Row],[SALDO CARTAO]]-Tabela1[[#This Row],[Adiantamento ]]</f>
        <v>-380.33999999998753</v>
      </c>
      <c r="N31" s="21">
        <f>Tabela1[[#This Row],[SALDO REEMBOLSAR]]*$N$4</f>
        <v>0</v>
      </c>
      <c r="O31" s="21">
        <f>IF(Tabela1[[#This Row],[CARGA PARCIAL]]&lt;0,0,Tabela1[[#This Row],[CARGA PARCIAL]])+Tabela1[[#This Row],[REEMBOLSO]]</f>
        <v>0</v>
      </c>
      <c r="Q31" t="s">
        <v>24</v>
      </c>
    </row>
    <row r="32" spans="1:17">
      <c r="A32" s="3" t="s">
        <v>115</v>
      </c>
      <c r="B32" s="3" t="s">
        <v>116</v>
      </c>
      <c r="C32" s="5" t="s">
        <v>19</v>
      </c>
      <c r="D32" s="3" t="s">
        <v>30</v>
      </c>
      <c r="E32" s="3" t="s">
        <v>117</v>
      </c>
      <c r="F32" s="3" t="s">
        <v>32</v>
      </c>
      <c r="G32" s="3" t="s">
        <v>33</v>
      </c>
      <c r="H32" s="21">
        <v>0</v>
      </c>
      <c r="I32" s="21">
        <v>2631.6100000000024</v>
      </c>
      <c r="J32" s="21">
        <v>600</v>
      </c>
      <c r="K32" s="21">
        <v>0.51</v>
      </c>
      <c r="L32" s="22"/>
      <c r="M32" s="21">
        <f>Tabela1[[#This Row],[1ª QZ]]-Tabela1[[#This Row],[SALDO FINAL]]-Tabela1[[#This Row],[SALDO CARTAO]]-Tabela1[[#This Row],[Adiantamento ]]</f>
        <v>-2032.1200000000024</v>
      </c>
      <c r="N32" s="21">
        <f>Tabela1[[#This Row],[SALDO REEMBOLSAR]]*$N$4</f>
        <v>0</v>
      </c>
      <c r="O32" s="21">
        <f>IF(Tabela1[[#This Row],[CARGA PARCIAL]]&lt;0,0,Tabela1[[#This Row],[CARGA PARCIAL]])+Tabela1[[#This Row],[REEMBOLSO]]</f>
        <v>0</v>
      </c>
      <c r="Q32" t="s">
        <v>24</v>
      </c>
    </row>
    <row r="33" spans="1:17">
      <c r="A33" s="3" t="s">
        <v>118</v>
      </c>
      <c r="B33" s="3" t="s">
        <v>119</v>
      </c>
      <c r="C33" s="5" t="s">
        <v>19</v>
      </c>
      <c r="D33" s="3" t="s">
        <v>20</v>
      </c>
      <c r="E33" s="3" t="s">
        <v>71</v>
      </c>
      <c r="F33" s="3" t="s">
        <v>22</v>
      </c>
      <c r="G33" s="3" t="s">
        <v>23</v>
      </c>
      <c r="H33" s="21">
        <v>0</v>
      </c>
      <c r="I33" s="21">
        <v>2524.7099999999723</v>
      </c>
      <c r="J33" s="21">
        <v>6000</v>
      </c>
      <c r="K33" s="21">
        <v>949.44</v>
      </c>
      <c r="L33" s="22"/>
      <c r="M33" s="21">
        <f>Tabela1[[#This Row],[1ª QZ]]-Tabela1[[#This Row],[SALDO FINAL]]-Tabela1[[#This Row],[SALDO CARTAO]]-Tabela1[[#This Row],[Adiantamento ]]</f>
        <v>2525.8500000000276</v>
      </c>
      <c r="N33" s="21">
        <f>Tabela1[[#This Row],[SALDO REEMBOLSAR]]*$N$4</f>
        <v>0</v>
      </c>
      <c r="O33" s="21">
        <f>IF(Tabela1[[#This Row],[CARGA PARCIAL]]&lt;0,0,Tabela1[[#This Row],[CARGA PARCIAL]])+Tabela1[[#This Row],[REEMBOLSO]]</f>
        <v>2525.8500000000276</v>
      </c>
      <c r="Q33" t="s">
        <v>24</v>
      </c>
    </row>
    <row r="34" spans="1:17">
      <c r="A34" s="3" t="s">
        <v>120</v>
      </c>
      <c r="B34" s="3" t="s">
        <v>121</v>
      </c>
      <c r="C34" s="5" t="s">
        <v>19</v>
      </c>
      <c r="D34" s="3" t="s">
        <v>50</v>
      </c>
      <c r="E34" s="3" t="s">
        <v>122</v>
      </c>
      <c r="F34" s="3" t="s">
        <v>52</v>
      </c>
      <c r="G34" s="3" t="s">
        <v>33</v>
      </c>
      <c r="H34" s="21">
        <v>0</v>
      </c>
      <c r="I34" s="21">
        <v>2519.5</v>
      </c>
      <c r="J34" s="21">
        <v>1000</v>
      </c>
      <c r="K34" s="21">
        <v>350.28</v>
      </c>
      <c r="L34" s="22"/>
      <c r="M34" s="21">
        <f>Tabela1[[#This Row],[1ª QZ]]-Tabela1[[#This Row],[SALDO FINAL]]-Tabela1[[#This Row],[SALDO CARTAO]]-Tabela1[[#This Row],[Adiantamento ]]</f>
        <v>-1869.78</v>
      </c>
      <c r="N34" s="21">
        <f>Tabela1[[#This Row],[SALDO REEMBOLSAR]]*$N$4</f>
        <v>0</v>
      </c>
      <c r="O34" s="21">
        <f>IF(Tabela1[[#This Row],[CARGA PARCIAL]]&lt;0,0,Tabela1[[#This Row],[CARGA PARCIAL]])+Tabela1[[#This Row],[REEMBOLSO]]</f>
        <v>0</v>
      </c>
      <c r="Q34" t="s">
        <v>24</v>
      </c>
    </row>
    <row r="35" spans="1:17">
      <c r="A35" s="3" t="s">
        <v>123</v>
      </c>
      <c r="B35" s="3" t="s">
        <v>124</v>
      </c>
      <c r="C35" s="5" t="s">
        <v>19</v>
      </c>
      <c r="D35" s="3" t="s">
        <v>30</v>
      </c>
      <c r="E35" s="3" t="s">
        <v>125</v>
      </c>
      <c r="F35" s="3" t="s">
        <v>32</v>
      </c>
      <c r="G35" s="3" t="s">
        <v>33</v>
      </c>
      <c r="H35" s="21">
        <v>0</v>
      </c>
      <c r="I35" s="21">
        <v>2480.5199999999995</v>
      </c>
      <c r="J35" s="21">
        <v>1200</v>
      </c>
      <c r="K35" s="21">
        <v>0</v>
      </c>
      <c r="L35" s="22"/>
      <c r="M35" s="21">
        <f>Tabela1[[#This Row],[1ª QZ]]-Tabela1[[#This Row],[SALDO FINAL]]-Tabela1[[#This Row],[SALDO CARTAO]]-Tabela1[[#This Row],[Adiantamento ]]</f>
        <v>-1280.5199999999995</v>
      </c>
      <c r="N35" s="21">
        <f>Tabela1[[#This Row],[SALDO REEMBOLSAR]]*$N$4</f>
        <v>0</v>
      </c>
      <c r="O35" s="21">
        <f>IF(Tabela1[[#This Row],[CARGA PARCIAL]]&lt;0,0,Tabela1[[#This Row],[CARGA PARCIAL]])+Tabela1[[#This Row],[REEMBOLSO]]</f>
        <v>0</v>
      </c>
      <c r="Q35" t="s">
        <v>24</v>
      </c>
    </row>
    <row r="36" spans="1:17">
      <c r="A36" s="3" t="s">
        <v>126</v>
      </c>
      <c r="B36" s="3" t="s">
        <v>127</v>
      </c>
      <c r="C36" s="5" t="s">
        <v>19</v>
      </c>
      <c r="D36" s="3" t="s">
        <v>66</v>
      </c>
      <c r="E36" s="3" t="s">
        <v>128</v>
      </c>
      <c r="F36" s="3" t="s">
        <v>68</v>
      </c>
      <c r="G36" s="3" t="s">
        <v>23</v>
      </c>
      <c r="H36" s="21">
        <v>0</v>
      </c>
      <c r="I36" s="21">
        <v>2475.7899999999836</v>
      </c>
      <c r="J36" s="21">
        <v>5000</v>
      </c>
      <c r="K36" s="21">
        <v>1166.47</v>
      </c>
      <c r="L36" s="22"/>
      <c r="M36" s="21">
        <f>Tabela1[[#This Row],[1ª QZ]]-Tabela1[[#This Row],[SALDO FINAL]]-Tabela1[[#This Row],[SALDO CARTAO]]-Tabela1[[#This Row],[Adiantamento ]]</f>
        <v>1357.7400000000164</v>
      </c>
      <c r="N36" s="21">
        <f>Tabela1[[#This Row],[SALDO REEMBOLSAR]]*$N$4</f>
        <v>0</v>
      </c>
      <c r="O36" s="21">
        <f>IF(Tabela1[[#This Row],[CARGA PARCIAL]]&lt;0,0,Tabela1[[#This Row],[CARGA PARCIAL]])+Tabela1[[#This Row],[REEMBOLSO]]</f>
        <v>1357.7400000000164</v>
      </c>
      <c r="Q36" t="s">
        <v>24</v>
      </c>
    </row>
    <row r="37" spans="1:17">
      <c r="A37" s="3" t="s">
        <v>129</v>
      </c>
      <c r="B37" s="3" t="s">
        <v>130</v>
      </c>
      <c r="C37" s="5" t="s">
        <v>19</v>
      </c>
      <c r="D37" s="3" t="s">
        <v>36</v>
      </c>
      <c r="E37" s="3" t="s">
        <v>131</v>
      </c>
      <c r="F37" s="3" t="s">
        <v>38</v>
      </c>
      <c r="G37" s="3" t="s">
        <v>23</v>
      </c>
      <c r="H37" s="21">
        <v>0</v>
      </c>
      <c r="I37" s="21">
        <v>2446.5099999999893</v>
      </c>
      <c r="J37" s="21">
        <v>2500</v>
      </c>
      <c r="K37" s="21">
        <v>2.2400000000000002</v>
      </c>
      <c r="L37" s="22"/>
      <c r="M37" s="21">
        <f>Tabela1[[#This Row],[1ª QZ]]-Tabela1[[#This Row],[SALDO FINAL]]-Tabela1[[#This Row],[SALDO CARTAO]]-Tabela1[[#This Row],[Adiantamento ]]</f>
        <v>51.250000000010694</v>
      </c>
      <c r="N37" s="21">
        <f>Tabela1[[#This Row],[SALDO REEMBOLSAR]]*$N$4</f>
        <v>0</v>
      </c>
      <c r="O37" s="21">
        <f>IF(Tabela1[[#This Row],[CARGA PARCIAL]]&lt;0,0,Tabela1[[#This Row],[CARGA PARCIAL]])+Tabela1[[#This Row],[REEMBOLSO]]</f>
        <v>51.250000000010694</v>
      </c>
      <c r="Q37" t="s">
        <v>24</v>
      </c>
    </row>
    <row r="38" spans="1:17">
      <c r="A38" s="3" t="s">
        <v>132</v>
      </c>
      <c r="B38" s="3" t="s">
        <v>133</v>
      </c>
      <c r="C38" s="5" t="s">
        <v>19</v>
      </c>
      <c r="D38" s="3" t="s">
        <v>50</v>
      </c>
      <c r="E38" s="3" t="s">
        <v>134</v>
      </c>
      <c r="F38" s="3" t="s">
        <v>52</v>
      </c>
      <c r="G38" s="3" t="s">
        <v>33</v>
      </c>
      <c r="H38" s="21">
        <v>0</v>
      </c>
      <c r="I38" s="21">
        <v>2410.6699999999996</v>
      </c>
      <c r="J38" s="21">
        <v>1500</v>
      </c>
      <c r="K38" s="21">
        <v>21.78</v>
      </c>
      <c r="L38" s="22"/>
      <c r="M38" s="21">
        <f>Tabela1[[#This Row],[1ª QZ]]-Tabela1[[#This Row],[SALDO FINAL]]-Tabela1[[#This Row],[SALDO CARTAO]]-Tabela1[[#This Row],[Adiantamento ]]</f>
        <v>-932.44999999999959</v>
      </c>
      <c r="N38" s="21">
        <f>Tabela1[[#This Row],[SALDO REEMBOLSAR]]*$N$4</f>
        <v>0</v>
      </c>
      <c r="O38" s="21">
        <f>IF(Tabela1[[#This Row],[CARGA PARCIAL]]&lt;0,0,Tabela1[[#This Row],[CARGA PARCIAL]])+Tabela1[[#This Row],[REEMBOLSO]]</f>
        <v>0</v>
      </c>
      <c r="Q38" t="s">
        <v>24</v>
      </c>
    </row>
    <row r="39" spans="1:17">
      <c r="A39" s="3" t="s">
        <v>135</v>
      </c>
      <c r="B39" s="3" t="s">
        <v>136</v>
      </c>
      <c r="C39" s="5" t="s">
        <v>19</v>
      </c>
      <c r="D39" s="3" t="s">
        <v>30</v>
      </c>
      <c r="E39" s="3" t="s">
        <v>60</v>
      </c>
      <c r="F39" s="3" t="s">
        <v>32</v>
      </c>
      <c r="G39" s="3" t="s">
        <v>33</v>
      </c>
      <c r="H39" s="21">
        <v>0</v>
      </c>
      <c r="I39" s="21">
        <v>2355.4100000000035</v>
      </c>
      <c r="J39" s="21">
        <v>2500</v>
      </c>
      <c r="K39" s="21">
        <v>9</v>
      </c>
      <c r="L39" s="22"/>
      <c r="M39" s="21">
        <f>Tabela1[[#This Row],[1ª QZ]]-Tabela1[[#This Row],[SALDO FINAL]]-Tabela1[[#This Row],[SALDO CARTAO]]-Tabela1[[#This Row],[Adiantamento ]]</f>
        <v>135.58999999999651</v>
      </c>
      <c r="N39" s="21">
        <f>Tabela1[[#This Row],[SALDO REEMBOLSAR]]*$N$4</f>
        <v>0</v>
      </c>
      <c r="O39" s="21">
        <f>IF(Tabela1[[#This Row],[CARGA PARCIAL]]&lt;0,0,Tabela1[[#This Row],[CARGA PARCIAL]])+Tabela1[[#This Row],[REEMBOLSO]]</f>
        <v>135.58999999999651</v>
      </c>
      <c r="Q39" t="s">
        <v>24</v>
      </c>
    </row>
    <row r="40" spans="1:17">
      <c r="A40" s="3" t="s">
        <v>137</v>
      </c>
      <c r="B40" s="3" t="s">
        <v>138</v>
      </c>
      <c r="C40" s="5" t="s">
        <v>19</v>
      </c>
      <c r="D40" s="3" t="s">
        <v>30</v>
      </c>
      <c r="E40" s="3" t="s">
        <v>139</v>
      </c>
      <c r="F40" s="3" t="s">
        <v>32</v>
      </c>
      <c r="G40" s="3" t="s">
        <v>33</v>
      </c>
      <c r="H40" s="21">
        <v>0</v>
      </c>
      <c r="I40" s="21">
        <v>2320.1799999999694</v>
      </c>
      <c r="J40" s="21">
        <v>4240</v>
      </c>
      <c r="K40" s="21">
        <v>0.67</v>
      </c>
      <c r="L40" s="22"/>
      <c r="M40" s="21">
        <f>Tabela1[[#This Row],[1ª QZ]]-Tabela1[[#This Row],[SALDO FINAL]]-Tabela1[[#This Row],[SALDO CARTAO]]-Tabela1[[#This Row],[Adiantamento ]]</f>
        <v>1919.1500000000306</v>
      </c>
      <c r="N40" s="21">
        <f>Tabela1[[#This Row],[SALDO REEMBOLSAR]]*$N$4</f>
        <v>0</v>
      </c>
      <c r="O40" s="21">
        <f>IF(Tabela1[[#This Row],[CARGA PARCIAL]]&lt;0,0,Tabela1[[#This Row],[CARGA PARCIAL]])+Tabela1[[#This Row],[REEMBOLSO]]</f>
        <v>1919.1500000000306</v>
      </c>
      <c r="Q40" t="s">
        <v>24</v>
      </c>
    </row>
    <row r="41" spans="1:17">
      <c r="A41" s="3" t="s">
        <v>140</v>
      </c>
      <c r="B41" s="3" t="s">
        <v>141</v>
      </c>
      <c r="C41" s="5" t="s">
        <v>19</v>
      </c>
      <c r="D41" s="3" t="s">
        <v>36</v>
      </c>
      <c r="E41" s="3" t="s">
        <v>142</v>
      </c>
      <c r="F41" s="3" t="s">
        <v>38</v>
      </c>
      <c r="G41" s="3" t="s">
        <v>23</v>
      </c>
      <c r="H41" s="21">
        <v>0</v>
      </c>
      <c r="I41" s="21">
        <v>2114.9099999999899</v>
      </c>
      <c r="J41" s="21">
        <v>3200</v>
      </c>
      <c r="K41" s="21">
        <v>502</v>
      </c>
      <c r="L41" s="22"/>
      <c r="M41" s="21">
        <f>Tabela1[[#This Row],[1ª QZ]]-Tabela1[[#This Row],[SALDO FINAL]]-Tabela1[[#This Row],[SALDO CARTAO]]-Tabela1[[#This Row],[Adiantamento ]]</f>
        <v>583.09000000001015</v>
      </c>
      <c r="N41" s="21">
        <f>Tabela1[[#This Row],[SALDO REEMBOLSAR]]*$N$4</f>
        <v>0</v>
      </c>
      <c r="O41" s="21">
        <f>IF(Tabela1[[#This Row],[CARGA PARCIAL]]&lt;0,0,Tabela1[[#This Row],[CARGA PARCIAL]])+Tabela1[[#This Row],[REEMBOLSO]]</f>
        <v>583.09000000001015</v>
      </c>
      <c r="Q41" t="s">
        <v>24</v>
      </c>
    </row>
    <row r="42" spans="1:17">
      <c r="A42" s="3" t="s">
        <v>143</v>
      </c>
      <c r="B42" s="3" t="s">
        <v>144</v>
      </c>
      <c r="C42" s="5" t="s">
        <v>19</v>
      </c>
      <c r="D42" s="3" t="s">
        <v>30</v>
      </c>
      <c r="E42" s="3" t="s">
        <v>145</v>
      </c>
      <c r="F42" s="3" t="s">
        <v>32</v>
      </c>
      <c r="G42" s="3" t="s">
        <v>33</v>
      </c>
      <c r="H42" s="21">
        <v>0</v>
      </c>
      <c r="I42" s="21">
        <v>2301.1099999999706</v>
      </c>
      <c r="J42" s="21">
        <v>700</v>
      </c>
      <c r="K42" s="21">
        <v>130.94999999999999</v>
      </c>
      <c r="L42" s="22"/>
      <c r="M42" s="21">
        <f>Tabela1[[#This Row],[1ª QZ]]-Tabela1[[#This Row],[SALDO FINAL]]-Tabela1[[#This Row],[SALDO CARTAO]]-Tabela1[[#This Row],[Adiantamento ]]</f>
        <v>-1732.0599999999706</v>
      </c>
      <c r="N42" s="21">
        <f>Tabela1[[#This Row],[SALDO REEMBOLSAR]]*$N$4</f>
        <v>0</v>
      </c>
      <c r="O42" s="21">
        <f>IF(Tabela1[[#This Row],[CARGA PARCIAL]]&lt;0,0,Tabela1[[#This Row],[CARGA PARCIAL]])+Tabela1[[#This Row],[REEMBOLSO]]</f>
        <v>0</v>
      </c>
      <c r="Q42" t="s">
        <v>24</v>
      </c>
    </row>
    <row r="43" spans="1:17">
      <c r="A43" s="3" t="s">
        <v>146</v>
      </c>
      <c r="B43" s="3" t="s">
        <v>147</v>
      </c>
      <c r="C43" s="5" t="s">
        <v>19</v>
      </c>
      <c r="D43" s="3" t="s">
        <v>30</v>
      </c>
      <c r="E43" s="3" t="s">
        <v>117</v>
      </c>
      <c r="F43" s="3" t="s">
        <v>32</v>
      </c>
      <c r="G43" s="3" t="s">
        <v>33</v>
      </c>
      <c r="H43" s="21">
        <v>0</v>
      </c>
      <c r="I43" s="21">
        <v>2212.199999999998</v>
      </c>
      <c r="J43" s="21">
        <v>800</v>
      </c>
      <c r="K43" s="21">
        <v>33.29</v>
      </c>
      <c r="L43" s="22"/>
      <c r="M43" s="21">
        <f>Tabela1[[#This Row],[1ª QZ]]-Tabela1[[#This Row],[SALDO FINAL]]-Tabela1[[#This Row],[SALDO CARTAO]]-Tabela1[[#This Row],[Adiantamento ]]</f>
        <v>-1445.489999999998</v>
      </c>
      <c r="N43" s="21">
        <f>Tabela1[[#This Row],[SALDO REEMBOLSAR]]*$N$4</f>
        <v>0</v>
      </c>
      <c r="O43" s="21">
        <f>IF(Tabela1[[#This Row],[CARGA PARCIAL]]&lt;0,0,Tabela1[[#This Row],[CARGA PARCIAL]])+Tabela1[[#This Row],[REEMBOLSO]]</f>
        <v>0</v>
      </c>
      <c r="Q43" t="s">
        <v>24</v>
      </c>
    </row>
    <row r="44" spans="1:17">
      <c r="A44" s="3" t="s">
        <v>148</v>
      </c>
      <c r="B44" s="3" t="s">
        <v>149</v>
      </c>
      <c r="C44" s="5" t="s">
        <v>19</v>
      </c>
      <c r="D44" s="3" t="s">
        <v>30</v>
      </c>
      <c r="E44" s="3" t="s">
        <v>41</v>
      </c>
      <c r="F44" s="3" t="s">
        <v>32</v>
      </c>
      <c r="G44" s="3" t="s">
        <v>33</v>
      </c>
      <c r="H44" s="21">
        <v>0</v>
      </c>
      <c r="I44" s="21">
        <v>2038.8999999999992</v>
      </c>
      <c r="J44" s="21">
        <v>2000</v>
      </c>
      <c r="K44" s="21">
        <v>0</v>
      </c>
      <c r="L44" s="22"/>
      <c r="M44" s="21">
        <f>Tabela1[[#This Row],[1ª QZ]]-Tabela1[[#This Row],[SALDO FINAL]]-Tabela1[[#This Row],[SALDO CARTAO]]-Tabela1[[#This Row],[Adiantamento ]]</f>
        <v>-38.899999999999181</v>
      </c>
      <c r="N44" s="21">
        <f>Tabela1[[#This Row],[SALDO REEMBOLSAR]]*$N$4</f>
        <v>0</v>
      </c>
      <c r="O44" s="21">
        <f>IF(Tabela1[[#This Row],[CARGA PARCIAL]]&lt;0,0,Tabela1[[#This Row],[CARGA PARCIAL]])+Tabela1[[#This Row],[REEMBOLSO]]</f>
        <v>0</v>
      </c>
      <c r="Q44" t="s">
        <v>24</v>
      </c>
    </row>
    <row r="45" spans="1:17">
      <c r="A45" s="3" t="s">
        <v>150</v>
      </c>
      <c r="B45" s="3" t="s">
        <v>151</v>
      </c>
      <c r="C45" s="5" t="s">
        <v>19</v>
      </c>
      <c r="D45" s="3" t="s">
        <v>50</v>
      </c>
      <c r="E45" s="3" t="s">
        <v>152</v>
      </c>
      <c r="F45" s="3" t="s">
        <v>52</v>
      </c>
      <c r="G45" s="3" t="s">
        <v>33</v>
      </c>
      <c r="H45" s="21">
        <v>0</v>
      </c>
      <c r="I45" s="21">
        <v>2028.3600000000024</v>
      </c>
      <c r="J45" s="21">
        <v>500</v>
      </c>
      <c r="K45" s="21">
        <v>801.41</v>
      </c>
      <c r="L45" s="22"/>
      <c r="M45" s="21">
        <f>Tabela1[[#This Row],[1ª QZ]]-Tabela1[[#This Row],[SALDO FINAL]]-Tabela1[[#This Row],[SALDO CARTAO]]-Tabela1[[#This Row],[Adiantamento ]]</f>
        <v>-2329.7700000000023</v>
      </c>
      <c r="N45" s="21">
        <f>Tabela1[[#This Row],[SALDO REEMBOLSAR]]*$N$4</f>
        <v>0</v>
      </c>
      <c r="O45" s="21">
        <f>IF(Tabela1[[#This Row],[CARGA PARCIAL]]&lt;0,0,Tabela1[[#This Row],[CARGA PARCIAL]])+Tabela1[[#This Row],[REEMBOLSO]]</f>
        <v>0</v>
      </c>
      <c r="Q45" t="s">
        <v>24</v>
      </c>
    </row>
    <row r="46" spans="1:17">
      <c r="A46" s="3" t="s">
        <v>153</v>
      </c>
      <c r="B46" s="3" t="s">
        <v>154</v>
      </c>
      <c r="C46" s="5" t="s">
        <v>19</v>
      </c>
      <c r="D46" s="3" t="s">
        <v>20</v>
      </c>
      <c r="E46" s="3" t="s">
        <v>27</v>
      </c>
      <c r="F46" s="3" t="s">
        <v>22</v>
      </c>
      <c r="G46" s="3" t="s">
        <v>23</v>
      </c>
      <c r="H46" s="21">
        <v>0</v>
      </c>
      <c r="I46" s="21">
        <v>1978.54000000018</v>
      </c>
      <c r="J46" s="21">
        <v>16000</v>
      </c>
      <c r="K46" s="21">
        <v>37</v>
      </c>
      <c r="L46" s="22"/>
      <c r="M46" s="21">
        <f>Tabela1[[#This Row],[1ª QZ]]-Tabela1[[#This Row],[SALDO FINAL]]-Tabela1[[#This Row],[SALDO CARTAO]]-Tabela1[[#This Row],[Adiantamento ]]</f>
        <v>13984.459999999821</v>
      </c>
      <c r="N46" s="21">
        <f>Tabela1[[#This Row],[SALDO REEMBOLSAR]]*$N$4</f>
        <v>0</v>
      </c>
      <c r="O46" s="21">
        <f>IF(Tabela1[[#This Row],[CARGA PARCIAL]]&lt;0,0,Tabela1[[#This Row],[CARGA PARCIAL]])+Tabela1[[#This Row],[REEMBOLSO]]</f>
        <v>13984.459999999821</v>
      </c>
      <c r="Q46" t="s">
        <v>24</v>
      </c>
    </row>
    <row r="47" spans="1:17">
      <c r="A47" s="3" t="s">
        <v>155</v>
      </c>
      <c r="B47" s="3" t="s">
        <v>156</v>
      </c>
      <c r="C47" s="5" t="s">
        <v>19</v>
      </c>
      <c r="D47" s="3" t="s">
        <v>74</v>
      </c>
      <c r="E47" s="3" t="s">
        <v>75</v>
      </c>
      <c r="F47" s="3" t="s">
        <v>76</v>
      </c>
      <c r="G47" s="3" t="s">
        <v>23</v>
      </c>
      <c r="H47" s="21">
        <v>0</v>
      </c>
      <c r="I47" s="21">
        <v>1954.9999999999982</v>
      </c>
      <c r="J47" s="21">
        <v>1000</v>
      </c>
      <c r="K47" s="21">
        <v>0</v>
      </c>
      <c r="L47" s="22"/>
      <c r="M47" s="21">
        <f>Tabela1[[#This Row],[1ª QZ]]-Tabela1[[#This Row],[SALDO FINAL]]-Tabela1[[#This Row],[SALDO CARTAO]]-Tabela1[[#This Row],[Adiantamento ]]</f>
        <v>-954.99999999999818</v>
      </c>
      <c r="N47" s="21">
        <f>Tabela1[[#This Row],[SALDO REEMBOLSAR]]*$N$4</f>
        <v>0</v>
      </c>
      <c r="O47" s="21">
        <f>IF(Tabela1[[#This Row],[CARGA PARCIAL]]&lt;0,0,Tabela1[[#This Row],[CARGA PARCIAL]])+Tabela1[[#This Row],[REEMBOLSO]]</f>
        <v>0</v>
      </c>
      <c r="Q47" t="s">
        <v>24</v>
      </c>
    </row>
    <row r="48" spans="1:17">
      <c r="A48" s="3" t="s">
        <v>157</v>
      </c>
      <c r="B48" s="3" t="s">
        <v>158</v>
      </c>
      <c r="C48" s="5" t="s">
        <v>19</v>
      </c>
      <c r="D48" s="3" t="s">
        <v>101</v>
      </c>
      <c r="E48" s="3" t="s">
        <v>159</v>
      </c>
      <c r="F48" s="3" t="s">
        <v>103</v>
      </c>
      <c r="G48" s="3" t="s">
        <v>33</v>
      </c>
      <c r="H48" s="21">
        <v>0</v>
      </c>
      <c r="I48" s="21">
        <v>1945.8</v>
      </c>
      <c r="J48" s="21">
        <v>120</v>
      </c>
      <c r="K48" s="21">
        <v>0.28000000000000003</v>
      </c>
      <c r="L48" s="22"/>
      <c r="M48" s="21">
        <f>Tabela1[[#This Row],[1ª QZ]]-Tabela1[[#This Row],[SALDO FINAL]]-Tabela1[[#This Row],[SALDO CARTAO]]-Tabela1[[#This Row],[Adiantamento ]]</f>
        <v>-1826.08</v>
      </c>
      <c r="N48" s="21">
        <f>Tabela1[[#This Row],[SALDO REEMBOLSAR]]*$N$4</f>
        <v>0</v>
      </c>
      <c r="O48" s="21">
        <f>IF(Tabela1[[#This Row],[CARGA PARCIAL]]&lt;0,0,Tabela1[[#This Row],[CARGA PARCIAL]])+Tabela1[[#This Row],[REEMBOLSO]]</f>
        <v>0</v>
      </c>
      <c r="Q48" t="s">
        <v>24</v>
      </c>
    </row>
    <row r="49" spans="1:17">
      <c r="A49" s="3" t="s">
        <v>160</v>
      </c>
      <c r="B49" s="3" t="s">
        <v>161</v>
      </c>
      <c r="C49" s="5" t="s">
        <v>19</v>
      </c>
      <c r="D49" s="3" t="s">
        <v>36</v>
      </c>
      <c r="E49" s="3" t="s">
        <v>162</v>
      </c>
      <c r="F49" s="3" t="s">
        <v>38</v>
      </c>
      <c r="G49" s="3" t="s">
        <v>23</v>
      </c>
      <c r="H49" s="21">
        <v>0</v>
      </c>
      <c r="I49" s="21">
        <v>1943.7799999999963</v>
      </c>
      <c r="J49" s="21">
        <v>2000</v>
      </c>
      <c r="K49" s="21">
        <v>3.47</v>
      </c>
      <c r="L49" s="22"/>
      <c r="M49" s="21">
        <f>Tabela1[[#This Row],[1ª QZ]]-Tabela1[[#This Row],[SALDO FINAL]]-Tabela1[[#This Row],[SALDO CARTAO]]-Tabela1[[#This Row],[Adiantamento ]]</f>
        <v>52.750000000003666</v>
      </c>
      <c r="N49" s="21">
        <f>Tabela1[[#This Row],[SALDO REEMBOLSAR]]*$N$4</f>
        <v>0</v>
      </c>
      <c r="O49" s="21">
        <f>IF(Tabela1[[#This Row],[CARGA PARCIAL]]&lt;0,0,Tabela1[[#This Row],[CARGA PARCIAL]])+Tabela1[[#This Row],[REEMBOLSO]]</f>
        <v>52.750000000003666</v>
      </c>
      <c r="Q49" t="s">
        <v>24</v>
      </c>
    </row>
    <row r="50" spans="1:17">
      <c r="A50" s="3" t="s">
        <v>163</v>
      </c>
      <c r="B50" s="3" t="s">
        <v>164</v>
      </c>
      <c r="C50" s="5" t="s">
        <v>19</v>
      </c>
      <c r="D50" s="3" t="s">
        <v>50</v>
      </c>
      <c r="E50" s="3" t="s">
        <v>165</v>
      </c>
      <c r="F50" s="3" t="s">
        <v>52</v>
      </c>
      <c r="G50" s="3" t="s">
        <v>33</v>
      </c>
      <c r="H50" s="21">
        <v>0</v>
      </c>
      <c r="I50" s="21">
        <v>1823.7599999999966</v>
      </c>
      <c r="J50" s="21">
        <v>1500</v>
      </c>
      <c r="K50" s="21">
        <v>9</v>
      </c>
      <c r="L50" s="22"/>
      <c r="M50" s="21">
        <f>Tabela1[[#This Row],[1ª QZ]]-Tabela1[[#This Row],[SALDO FINAL]]-Tabela1[[#This Row],[SALDO CARTAO]]-Tabela1[[#This Row],[Adiantamento ]]</f>
        <v>-332.75999999999658</v>
      </c>
      <c r="N50" s="21">
        <f>Tabela1[[#This Row],[SALDO REEMBOLSAR]]*$N$4</f>
        <v>0</v>
      </c>
      <c r="O50" s="21">
        <f>IF(Tabela1[[#This Row],[CARGA PARCIAL]]&lt;0,0,Tabela1[[#This Row],[CARGA PARCIAL]])+Tabela1[[#This Row],[REEMBOLSO]]</f>
        <v>0</v>
      </c>
      <c r="Q50" t="s">
        <v>24</v>
      </c>
    </row>
    <row r="51" spans="1:17">
      <c r="A51" s="3" t="s">
        <v>166</v>
      </c>
      <c r="B51" s="3" t="s">
        <v>167</v>
      </c>
      <c r="C51" s="5" t="s">
        <v>19</v>
      </c>
      <c r="D51" s="3" t="s">
        <v>74</v>
      </c>
      <c r="E51" s="3" t="s">
        <v>75</v>
      </c>
      <c r="F51" s="3" t="s">
        <v>76</v>
      </c>
      <c r="G51" s="3" t="s">
        <v>23</v>
      </c>
      <c r="H51" s="21">
        <v>0</v>
      </c>
      <c r="I51" s="21">
        <v>1790.5000000000018</v>
      </c>
      <c r="J51" s="21">
        <v>1800</v>
      </c>
      <c r="K51" s="21">
        <v>2.5</v>
      </c>
      <c r="L51" s="22"/>
      <c r="M51" s="21">
        <f>Tabela1[[#This Row],[1ª QZ]]-Tabela1[[#This Row],[SALDO FINAL]]-Tabela1[[#This Row],[SALDO CARTAO]]-Tabela1[[#This Row],[Adiantamento ]]</f>
        <v>6.999999999998181</v>
      </c>
      <c r="N51" s="21">
        <f>Tabela1[[#This Row],[SALDO REEMBOLSAR]]*$N$4</f>
        <v>0</v>
      </c>
      <c r="O51" s="21">
        <f>IF(Tabela1[[#This Row],[CARGA PARCIAL]]&lt;0,0,Tabela1[[#This Row],[CARGA PARCIAL]])+Tabela1[[#This Row],[REEMBOLSO]]</f>
        <v>6.999999999998181</v>
      </c>
      <c r="Q51" t="s">
        <v>24</v>
      </c>
    </row>
    <row r="52" spans="1:17">
      <c r="A52" s="3" t="s">
        <v>168</v>
      </c>
      <c r="B52" s="3" t="s">
        <v>169</v>
      </c>
      <c r="C52" s="5" t="s">
        <v>19</v>
      </c>
      <c r="D52" s="3" t="s">
        <v>44</v>
      </c>
      <c r="E52" s="3" t="s">
        <v>170</v>
      </c>
      <c r="F52" s="3" t="s">
        <v>46</v>
      </c>
      <c r="G52" s="3" t="s">
        <v>47</v>
      </c>
      <c r="H52" s="21">
        <v>0</v>
      </c>
      <c r="I52" s="21">
        <v>1789.9700000000012</v>
      </c>
      <c r="J52" s="21">
        <v>1500</v>
      </c>
      <c r="K52" s="21">
        <v>16</v>
      </c>
      <c r="L52" s="22"/>
      <c r="M52" s="21">
        <f>Tabela1[[#This Row],[1ª QZ]]-Tabela1[[#This Row],[SALDO FINAL]]-Tabela1[[#This Row],[SALDO CARTAO]]-Tabela1[[#This Row],[Adiantamento ]]</f>
        <v>-305.97000000000116</v>
      </c>
      <c r="N52" s="21">
        <f>Tabela1[[#This Row],[SALDO REEMBOLSAR]]*$N$4</f>
        <v>0</v>
      </c>
      <c r="O52" s="21">
        <f>IF(Tabela1[[#This Row],[CARGA PARCIAL]]&lt;0,0,Tabela1[[#This Row],[CARGA PARCIAL]])+Tabela1[[#This Row],[REEMBOLSO]]</f>
        <v>0</v>
      </c>
      <c r="Q52" t="s">
        <v>24</v>
      </c>
    </row>
    <row r="53" spans="1:17">
      <c r="A53" s="3" t="s">
        <v>171</v>
      </c>
      <c r="B53" s="3" t="s">
        <v>172</v>
      </c>
      <c r="C53" s="5" t="s">
        <v>19</v>
      </c>
      <c r="D53" s="3" t="s">
        <v>36</v>
      </c>
      <c r="E53" s="3" t="s">
        <v>173</v>
      </c>
      <c r="F53" s="3" t="s">
        <v>38</v>
      </c>
      <c r="G53" s="3" t="s">
        <v>23</v>
      </c>
      <c r="H53" s="21">
        <v>0</v>
      </c>
      <c r="I53" s="21">
        <v>1743.980000000008</v>
      </c>
      <c r="J53" s="21">
        <v>1200</v>
      </c>
      <c r="K53" s="21">
        <v>1.39</v>
      </c>
      <c r="L53" s="22"/>
      <c r="M53" s="21">
        <f>Tabela1[[#This Row],[1ª QZ]]-Tabela1[[#This Row],[SALDO FINAL]]-Tabela1[[#This Row],[SALDO CARTAO]]-Tabela1[[#This Row],[Adiantamento ]]</f>
        <v>-545.37000000000796</v>
      </c>
      <c r="N53" s="21">
        <f>Tabela1[[#This Row],[SALDO REEMBOLSAR]]*$N$4</f>
        <v>0</v>
      </c>
      <c r="O53" s="21">
        <f>IF(Tabela1[[#This Row],[CARGA PARCIAL]]&lt;0,0,Tabela1[[#This Row],[CARGA PARCIAL]])+Tabela1[[#This Row],[REEMBOLSO]]</f>
        <v>0</v>
      </c>
      <c r="Q53" t="s">
        <v>24</v>
      </c>
    </row>
    <row r="54" spans="1:17">
      <c r="A54" s="3" t="s">
        <v>174</v>
      </c>
      <c r="B54" s="3" t="s">
        <v>175</v>
      </c>
      <c r="C54" s="5" t="s">
        <v>19</v>
      </c>
      <c r="D54" s="3" t="s">
        <v>20</v>
      </c>
      <c r="E54" s="3" t="s">
        <v>176</v>
      </c>
      <c r="F54" s="3" t="s">
        <v>22</v>
      </c>
      <c r="G54" s="3" t="s">
        <v>23</v>
      </c>
      <c r="H54" s="21">
        <v>0</v>
      </c>
      <c r="I54" s="21">
        <v>1715.3600000000004</v>
      </c>
      <c r="J54" s="21">
        <v>1500</v>
      </c>
      <c r="K54" s="21">
        <v>2.41</v>
      </c>
      <c r="L54" s="22"/>
      <c r="M54" s="21">
        <f>Tabela1[[#This Row],[1ª QZ]]-Tabela1[[#This Row],[SALDO FINAL]]-Tabela1[[#This Row],[SALDO CARTAO]]-Tabela1[[#This Row],[Adiantamento ]]</f>
        <v>-217.77000000000035</v>
      </c>
      <c r="N54" s="21">
        <f>Tabela1[[#This Row],[SALDO REEMBOLSAR]]*$N$4</f>
        <v>0</v>
      </c>
      <c r="O54" s="21">
        <f>IF(Tabela1[[#This Row],[CARGA PARCIAL]]&lt;0,0,Tabela1[[#This Row],[CARGA PARCIAL]])+Tabela1[[#This Row],[REEMBOLSO]]</f>
        <v>0</v>
      </c>
      <c r="Q54" t="s">
        <v>24</v>
      </c>
    </row>
    <row r="55" spans="1:17">
      <c r="A55" s="3" t="s">
        <v>177</v>
      </c>
      <c r="B55" s="3" t="s">
        <v>178</v>
      </c>
      <c r="C55" s="5" t="s">
        <v>19</v>
      </c>
      <c r="D55" s="3" t="s">
        <v>30</v>
      </c>
      <c r="E55" s="3" t="s">
        <v>179</v>
      </c>
      <c r="F55" s="3" t="s">
        <v>32</v>
      </c>
      <c r="G55" s="3" t="s">
        <v>33</v>
      </c>
      <c r="H55" s="21">
        <v>0</v>
      </c>
      <c r="I55" s="21">
        <v>1709.4699999999975</v>
      </c>
      <c r="J55" s="21">
        <v>1500</v>
      </c>
      <c r="K55" s="21">
        <v>1500</v>
      </c>
      <c r="L55" s="22"/>
      <c r="M55" s="21">
        <f>Tabela1[[#This Row],[1ª QZ]]-Tabela1[[#This Row],[SALDO FINAL]]-Tabela1[[#This Row],[SALDO CARTAO]]-Tabela1[[#This Row],[Adiantamento ]]</f>
        <v>-1709.4699999999975</v>
      </c>
      <c r="N55" s="21">
        <f>Tabela1[[#This Row],[SALDO REEMBOLSAR]]*$N$4</f>
        <v>0</v>
      </c>
      <c r="O55" s="21">
        <f>IF(Tabela1[[#This Row],[CARGA PARCIAL]]&lt;0,0,Tabela1[[#This Row],[CARGA PARCIAL]])+Tabela1[[#This Row],[REEMBOLSO]]</f>
        <v>0</v>
      </c>
      <c r="Q55" t="s">
        <v>24</v>
      </c>
    </row>
    <row r="56" spans="1:17">
      <c r="A56" s="3" t="s">
        <v>180</v>
      </c>
      <c r="B56" s="3" t="s">
        <v>181</v>
      </c>
      <c r="C56" s="5" t="s">
        <v>19</v>
      </c>
      <c r="D56" s="3" t="s">
        <v>44</v>
      </c>
      <c r="E56" s="3" t="s">
        <v>182</v>
      </c>
      <c r="F56" s="3" t="s">
        <v>46</v>
      </c>
      <c r="G56" s="3" t="s">
        <v>47</v>
      </c>
      <c r="H56" s="21">
        <v>0</v>
      </c>
      <c r="I56" s="21">
        <v>1705.369999999999</v>
      </c>
      <c r="J56" s="21">
        <v>1500</v>
      </c>
      <c r="K56" s="21">
        <v>0</v>
      </c>
      <c r="L56" s="22"/>
      <c r="M56" s="21">
        <f>Tabela1[[#This Row],[1ª QZ]]-Tabela1[[#This Row],[SALDO FINAL]]-Tabela1[[#This Row],[SALDO CARTAO]]-Tabela1[[#This Row],[Adiantamento ]]</f>
        <v>-205.36999999999898</v>
      </c>
      <c r="N56" s="21">
        <f>Tabela1[[#This Row],[SALDO REEMBOLSAR]]*$N$4</f>
        <v>0</v>
      </c>
      <c r="O56" s="21">
        <f>IF(Tabela1[[#This Row],[CARGA PARCIAL]]&lt;0,0,Tabela1[[#This Row],[CARGA PARCIAL]])+Tabela1[[#This Row],[REEMBOLSO]]</f>
        <v>0</v>
      </c>
      <c r="Q56" t="s">
        <v>24</v>
      </c>
    </row>
    <row r="57" spans="1:17">
      <c r="A57" s="3" t="s">
        <v>183</v>
      </c>
      <c r="B57" s="3" t="s">
        <v>184</v>
      </c>
      <c r="C57" s="5" t="s">
        <v>19</v>
      </c>
      <c r="D57" s="3" t="s">
        <v>36</v>
      </c>
      <c r="E57" s="3" t="s">
        <v>185</v>
      </c>
      <c r="F57" s="3" t="s">
        <v>38</v>
      </c>
      <c r="G57" s="3" t="s">
        <v>23</v>
      </c>
      <c r="H57" s="21">
        <v>0</v>
      </c>
      <c r="I57" s="21">
        <v>1702.9200000000023</v>
      </c>
      <c r="J57" s="21">
        <v>9000</v>
      </c>
      <c r="K57" s="21">
        <v>42.27</v>
      </c>
      <c r="L57" s="22"/>
      <c r="M57" s="21">
        <f>Tabela1[[#This Row],[1ª QZ]]-Tabela1[[#This Row],[SALDO FINAL]]-Tabela1[[#This Row],[SALDO CARTAO]]-Tabela1[[#This Row],[Adiantamento ]]</f>
        <v>7254.8099999999977</v>
      </c>
      <c r="N57" s="21">
        <f>Tabela1[[#This Row],[SALDO REEMBOLSAR]]*$N$4</f>
        <v>0</v>
      </c>
      <c r="O57" s="21">
        <f>IF(Tabela1[[#This Row],[CARGA PARCIAL]]&lt;0,0,Tabela1[[#This Row],[CARGA PARCIAL]])+Tabela1[[#This Row],[REEMBOLSO]]</f>
        <v>7254.8099999999977</v>
      </c>
      <c r="Q57" t="s">
        <v>24</v>
      </c>
    </row>
    <row r="58" spans="1:17">
      <c r="A58" s="3" t="s">
        <v>186</v>
      </c>
      <c r="B58" s="3" t="s">
        <v>187</v>
      </c>
      <c r="C58" s="5" t="s">
        <v>19</v>
      </c>
      <c r="D58" s="3" t="s">
        <v>20</v>
      </c>
      <c r="E58" s="3" t="s">
        <v>188</v>
      </c>
      <c r="F58" s="3" t="s">
        <v>22</v>
      </c>
      <c r="G58" s="3" t="s">
        <v>23</v>
      </c>
      <c r="H58" s="21">
        <v>0</v>
      </c>
      <c r="I58" s="21">
        <v>1699.2399999999986</v>
      </c>
      <c r="J58" s="21">
        <v>4000</v>
      </c>
      <c r="K58" s="21">
        <v>1857.2</v>
      </c>
      <c r="L58" s="22"/>
      <c r="M58" s="21">
        <f>Tabela1[[#This Row],[1ª QZ]]-Tabela1[[#This Row],[SALDO FINAL]]-Tabela1[[#This Row],[SALDO CARTAO]]-Tabela1[[#This Row],[Adiantamento ]]</f>
        <v>443.56000000000108</v>
      </c>
      <c r="N58" s="21">
        <f>Tabela1[[#This Row],[SALDO REEMBOLSAR]]*$N$4</f>
        <v>0</v>
      </c>
      <c r="O58" s="21">
        <f>IF(Tabela1[[#This Row],[CARGA PARCIAL]]&lt;0,0,Tabela1[[#This Row],[CARGA PARCIAL]])+Tabela1[[#This Row],[REEMBOLSO]]</f>
        <v>443.56000000000108</v>
      </c>
      <c r="Q58" t="s">
        <v>24</v>
      </c>
    </row>
    <row r="59" spans="1:17">
      <c r="A59" s="3" t="s">
        <v>189</v>
      </c>
      <c r="B59" s="3" t="s">
        <v>190</v>
      </c>
      <c r="C59" s="5" t="s">
        <v>19</v>
      </c>
      <c r="D59" s="3" t="s">
        <v>50</v>
      </c>
      <c r="E59" s="3" t="s">
        <v>191</v>
      </c>
      <c r="F59" s="3" t="s">
        <v>52</v>
      </c>
      <c r="G59" s="3" t="s">
        <v>33</v>
      </c>
      <c r="H59" s="21">
        <v>0</v>
      </c>
      <c r="I59" s="21">
        <v>1687.3499999999112</v>
      </c>
      <c r="J59" s="21">
        <v>3350</v>
      </c>
      <c r="K59" s="21">
        <v>15</v>
      </c>
      <c r="L59" s="22"/>
      <c r="M59" s="21">
        <f>Tabela1[[#This Row],[1ª QZ]]-Tabela1[[#This Row],[SALDO FINAL]]-Tabela1[[#This Row],[SALDO CARTAO]]-Tabela1[[#This Row],[Adiantamento ]]</f>
        <v>1647.6500000000888</v>
      </c>
      <c r="N59" s="21">
        <f>Tabela1[[#This Row],[SALDO REEMBOLSAR]]*$N$4</f>
        <v>0</v>
      </c>
      <c r="O59" s="21">
        <f>IF(Tabela1[[#This Row],[CARGA PARCIAL]]&lt;0,0,Tabela1[[#This Row],[CARGA PARCIAL]])+Tabela1[[#This Row],[REEMBOLSO]]</f>
        <v>1647.6500000000888</v>
      </c>
      <c r="Q59" t="s">
        <v>24</v>
      </c>
    </row>
    <row r="60" spans="1:17">
      <c r="A60" s="3" t="s">
        <v>192</v>
      </c>
      <c r="B60" s="3" t="s">
        <v>193</v>
      </c>
      <c r="C60" s="5" t="s">
        <v>19</v>
      </c>
      <c r="D60" s="3" t="s">
        <v>66</v>
      </c>
      <c r="E60" s="3" t="s">
        <v>194</v>
      </c>
      <c r="F60" s="3" t="s">
        <v>68</v>
      </c>
      <c r="G60" s="3" t="s">
        <v>23</v>
      </c>
      <c r="H60" s="21">
        <v>0</v>
      </c>
      <c r="I60" s="21">
        <v>1675.2600000000054</v>
      </c>
      <c r="J60" s="21">
        <v>2000</v>
      </c>
      <c r="K60" s="21">
        <v>324.74</v>
      </c>
      <c r="L60" s="22"/>
      <c r="M60" s="21">
        <f>Tabela1[[#This Row],[1ª QZ]]-Tabela1[[#This Row],[SALDO FINAL]]-Tabela1[[#This Row],[SALDO CARTAO]]-Tabela1[[#This Row],[Adiantamento ]]</f>
        <v>-5.4569682106375694E-12</v>
      </c>
      <c r="N60" s="21">
        <f>Tabela1[[#This Row],[SALDO REEMBOLSAR]]*$N$4</f>
        <v>0</v>
      </c>
      <c r="O60" s="21">
        <f>IF(Tabela1[[#This Row],[CARGA PARCIAL]]&lt;0,0,Tabela1[[#This Row],[CARGA PARCIAL]])+Tabela1[[#This Row],[REEMBOLSO]]</f>
        <v>0</v>
      </c>
      <c r="Q60" t="s">
        <v>24</v>
      </c>
    </row>
    <row r="61" spans="1:17">
      <c r="A61" s="3" t="s">
        <v>195</v>
      </c>
      <c r="B61" s="3" t="s">
        <v>196</v>
      </c>
      <c r="C61" s="5" t="s">
        <v>19</v>
      </c>
      <c r="D61" s="3" t="s">
        <v>50</v>
      </c>
      <c r="E61" s="3" t="s">
        <v>191</v>
      </c>
      <c r="F61" s="3" t="s">
        <v>52</v>
      </c>
      <c r="G61" s="3" t="s">
        <v>33</v>
      </c>
      <c r="H61" s="21">
        <v>0</v>
      </c>
      <c r="I61" s="21">
        <v>1669.2700000000054</v>
      </c>
      <c r="J61" s="21">
        <v>2200</v>
      </c>
      <c r="K61" s="21">
        <v>3.06</v>
      </c>
      <c r="L61" s="22"/>
      <c r="M61" s="21">
        <f>Tabela1[[#This Row],[1ª QZ]]-Tabela1[[#This Row],[SALDO FINAL]]-Tabela1[[#This Row],[SALDO CARTAO]]-Tabela1[[#This Row],[Adiantamento ]]</f>
        <v>527.66999999999462</v>
      </c>
      <c r="N61" s="21">
        <f>Tabela1[[#This Row],[SALDO REEMBOLSAR]]*$N$4</f>
        <v>0</v>
      </c>
      <c r="O61" s="21">
        <f>IF(Tabela1[[#This Row],[CARGA PARCIAL]]&lt;0,0,Tabela1[[#This Row],[CARGA PARCIAL]])+Tabela1[[#This Row],[REEMBOLSO]]</f>
        <v>527.66999999999462</v>
      </c>
      <c r="Q61" t="s">
        <v>24</v>
      </c>
    </row>
    <row r="62" spans="1:17">
      <c r="A62" s="3" t="s">
        <v>197</v>
      </c>
      <c r="B62" s="3" t="s">
        <v>198</v>
      </c>
      <c r="C62" s="5" t="s">
        <v>19</v>
      </c>
      <c r="D62" s="3" t="s">
        <v>44</v>
      </c>
      <c r="E62" s="3" t="s">
        <v>45</v>
      </c>
      <c r="F62" s="3" t="s">
        <v>46</v>
      </c>
      <c r="G62" s="3" t="s">
        <v>47</v>
      </c>
      <c r="H62" s="21">
        <v>0</v>
      </c>
      <c r="I62" s="21">
        <v>1661.0000000000009</v>
      </c>
      <c r="J62" s="21">
        <v>1000</v>
      </c>
      <c r="K62" s="21">
        <v>3</v>
      </c>
      <c r="L62" s="22"/>
      <c r="M62" s="21">
        <f>Tabela1[[#This Row],[1ª QZ]]-Tabela1[[#This Row],[SALDO FINAL]]-Tabela1[[#This Row],[SALDO CARTAO]]-Tabela1[[#This Row],[Adiantamento ]]</f>
        <v>-664.00000000000091</v>
      </c>
      <c r="N62" s="21">
        <f>Tabela1[[#This Row],[SALDO REEMBOLSAR]]*$N$4</f>
        <v>0</v>
      </c>
      <c r="O62" s="21">
        <f>IF(Tabela1[[#This Row],[CARGA PARCIAL]]&lt;0,0,Tabela1[[#This Row],[CARGA PARCIAL]])+Tabela1[[#This Row],[REEMBOLSO]]</f>
        <v>0</v>
      </c>
      <c r="Q62" t="s">
        <v>24</v>
      </c>
    </row>
    <row r="63" spans="1:17">
      <c r="A63" s="3" t="s">
        <v>199</v>
      </c>
      <c r="B63" s="3" t="s">
        <v>200</v>
      </c>
      <c r="C63" s="5" t="s">
        <v>19</v>
      </c>
      <c r="D63" s="3" t="s">
        <v>50</v>
      </c>
      <c r="E63" s="3" t="s">
        <v>201</v>
      </c>
      <c r="F63" s="3" t="s">
        <v>52</v>
      </c>
      <c r="G63" s="3" t="s">
        <v>33</v>
      </c>
      <c r="H63" s="21">
        <v>0</v>
      </c>
      <c r="I63" s="21">
        <v>1645</v>
      </c>
      <c r="J63" s="21">
        <v>500</v>
      </c>
      <c r="K63" s="21">
        <v>0</v>
      </c>
      <c r="L63" s="22"/>
      <c r="M63" s="21">
        <f>Tabela1[[#This Row],[1ª QZ]]-Tabela1[[#This Row],[SALDO FINAL]]-Tabela1[[#This Row],[SALDO CARTAO]]-Tabela1[[#This Row],[Adiantamento ]]</f>
        <v>-1145</v>
      </c>
      <c r="N63" s="21">
        <f>Tabela1[[#This Row],[SALDO REEMBOLSAR]]*$N$4</f>
        <v>0</v>
      </c>
      <c r="O63" s="21">
        <f>IF(Tabela1[[#This Row],[CARGA PARCIAL]]&lt;0,0,Tabela1[[#This Row],[CARGA PARCIAL]])+Tabela1[[#This Row],[REEMBOLSO]]</f>
        <v>0</v>
      </c>
      <c r="Q63" t="s">
        <v>24</v>
      </c>
    </row>
    <row r="64" spans="1:17">
      <c r="A64" s="3" t="s">
        <v>202</v>
      </c>
      <c r="B64" s="3" t="s">
        <v>203</v>
      </c>
      <c r="C64" s="5" t="s">
        <v>19</v>
      </c>
      <c r="D64" s="3" t="s">
        <v>36</v>
      </c>
      <c r="E64" s="3" t="s">
        <v>185</v>
      </c>
      <c r="F64" s="3" t="s">
        <v>38</v>
      </c>
      <c r="G64" s="3" t="s">
        <v>23</v>
      </c>
      <c r="H64" s="21">
        <v>0</v>
      </c>
      <c r="I64" s="21">
        <v>1643.34</v>
      </c>
      <c r="J64" s="21">
        <v>6000</v>
      </c>
      <c r="K64" s="21">
        <v>761.86</v>
      </c>
      <c r="L64" s="22"/>
      <c r="M64" s="21">
        <f>Tabela1[[#This Row],[1ª QZ]]-Tabela1[[#This Row],[SALDO FINAL]]-Tabela1[[#This Row],[SALDO CARTAO]]-Tabela1[[#This Row],[Adiantamento ]]</f>
        <v>3594.7999999999997</v>
      </c>
      <c r="N64" s="21">
        <f>Tabela1[[#This Row],[SALDO REEMBOLSAR]]*$N$4</f>
        <v>0</v>
      </c>
      <c r="O64" s="21">
        <f>IF(Tabela1[[#This Row],[CARGA PARCIAL]]&lt;0,0,Tabela1[[#This Row],[CARGA PARCIAL]])+Tabela1[[#This Row],[REEMBOLSO]]</f>
        <v>3594.7999999999997</v>
      </c>
      <c r="Q64" t="s">
        <v>24</v>
      </c>
    </row>
    <row r="65" spans="1:17">
      <c r="A65" s="3" t="s">
        <v>204</v>
      </c>
      <c r="B65" s="3" t="s">
        <v>205</v>
      </c>
      <c r="C65" s="5" t="s">
        <v>19</v>
      </c>
      <c r="D65" s="3" t="s">
        <v>30</v>
      </c>
      <c r="E65" s="3" t="s">
        <v>206</v>
      </c>
      <c r="F65" s="3" t="s">
        <v>32</v>
      </c>
      <c r="G65" s="3" t="s">
        <v>33</v>
      </c>
      <c r="H65" s="21">
        <v>0</v>
      </c>
      <c r="I65" s="21">
        <v>1593.0000000000036</v>
      </c>
      <c r="J65" s="21">
        <v>1600</v>
      </c>
      <c r="K65" s="21">
        <v>0</v>
      </c>
      <c r="L65" s="22"/>
      <c r="M65" s="21">
        <f>Tabela1[[#This Row],[1ª QZ]]-Tabela1[[#This Row],[SALDO FINAL]]-Tabela1[[#This Row],[SALDO CARTAO]]-Tabela1[[#This Row],[Adiantamento ]]</f>
        <v>6.999999999996362</v>
      </c>
      <c r="N65" s="21">
        <f>Tabela1[[#This Row],[SALDO REEMBOLSAR]]*$N$4</f>
        <v>0</v>
      </c>
      <c r="O65" s="21">
        <f>IF(Tabela1[[#This Row],[CARGA PARCIAL]]&lt;0,0,Tabela1[[#This Row],[CARGA PARCIAL]])+Tabela1[[#This Row],[REEMBOLSO]]</f>
        <v>6.999999999996362</v>
      </c>
      <c r="Q65" t="s">
        <v>24</v>
      </c>
    </row>
    <row r="66" spans="1:17">
      <c r="A66" s="3" t="s">
        <v>207</v>
      </c>
      <c r="B66" s="3" t="s">
        <v>208</v>
      </c>
      <c r="C66" s="5" t="s">
        <v>19</v>
      </c>
      <c r="D66" s="3" t="s">
        <v>93</v>
      </c>
      <c r="E66" s="3" t="s">
        <v>209</v>
      </c>
      <c r="F66" s="3" t="s">
        <v>95</v>
      </c>
      <c r="G66" s="3" t="s">
        <v>33</v>
      </c>
      <c r="H66" s="21">
        <v>0</v>
      </c>
      <c r="I66" s="21">
        <v>1540.95999999997</v>
      </c>
      <c r="J66" s="21">
        <v>2700</v>
      </c>
      <c r="K66" s="21">
        <v>9</v>
      </c>
      <c r="L66" s="22"/>
      <c r="M66" s="21">
        <f>Tabela1[[#This Row],[1ª QZ]]-Tabela1[[#This Row],[SALDO FINAL]]-Tabela1[[#This Row],[SALDO CARTAO]]-Tabela1[[#This Row],[Adiantamento ]]</f>
        <v>1150.04000000003</v>
      </c>
      <c r="N66" s="21">
        <f>Tabela1[[#This Row],[SALDO REEMBOLSAR]]*$N$4</f>
        <v>0</v>
      </c>
      <c r="O66" s="21">
        <f>IF(Tabela1[[#This Row],[CARGA PARCIAL]]&lt;0,0,Tabela1[[#This Row],[CARGA PARCIAL]])+Tabela1[[#This Row],[REEMBOLSO]]</f>
        <v>1150.04000000003</v>
      </c>
      <c r="Q66" t="s">
        <v>24</v>
      </c>
    </row>
    <row r="67" spans="1:17">
      <c r="A67" s="3" t="s">
        <v>210</v>
      </c>
      <c r="B67" s="3" t="s">
        <v>211</v>
      </c>
      <c r="C67" s="5" t="s">
        <v>19</v>
      </c>
      <c r="D67" s="3" t="s">
        <v>50</v>
      </c>
      <c r="E67" s="3" t="s">
        <v>212</v>
      </c>
      <c r="F67" s="3" t="s">
        <v>52</v>
      </c>
      <c r="G67" s="3" t="s">
        <v>33</v>
      </c>
      <c r="H67" s="21">
        <v>0</v>
      </c>
      <c r="I67" s="21">
        <v>1499.9999999999991</v>
      </c>
      <c r="J67" s="21">
        <v>1500</v>
      </c>
      <c r="K67" s="21">
        <v>0</v>
      </c>
      <c r="L67" s="22"/>
      <c r="M67" s="21">
        <f>Tabela1[[#This Row],[1ª QZ]]-Tabela1[[#This Row],[SALDO FINAL]]-Tabela1[[#This Row],[SALDO CARTAO]]-Tabela1[[#This Row],[Adiantamento ]]</f>
        <v>9.0949470177292824E-13</v>
      </c>
      <c r="N67" s="21">
        <f>Tabela1[[#This Row],[SALDO REEMBOLSAR]]*$N$4</f>
        <v>0</v>
      </c>
      <c r="O67" s="21">
        <f>IF(Tabela1[[#This Row],[CARGA PARCIAL]]&lt;0,0,Tabela1[[#This Row],[CARGA PARCIAL]])+Tabela1[[#This Row],[REEMBOLSO]]</f>
        <v>9.0949470177292824E-13</v>
      </c>
      <c r="Q67" t="s">
        <v>24</v>
      </c>
    </row>
    <row r="68" spans="1:17">
      <c r="A68" s="3" t="s">
        <v>213</v>
      </c>
      <c r="B68" s="3" t="s">
        <v>214</v>
      </c>
      <c r="C68" s="5" t="s">
        <v>19</v>
      </c>
      <c r="D68" s="3" t="s">
        <v>44</v>
      </c>
      <c r="E68" s="3" t="s">
        <v>170</v>
      </c>
      <c r="F68" s="3" t="s">
        <v>46</v>
      </c>
      <c r="G68" s="3" t="s">
        <v>47</v>
      </c>
      <c r="H68" s="21">
        <v>0</v>
      </c>
      <c r="I68" s="21">
        <v>1497.399999999999</v>
      </c>
      <c r="J68" s="21">
        <v>750</v>
      </c>
      <c r="K68" s="21">
        <v>43</v>
      </c>
      <c r="L68" s="22"/>
      <c r="M68" s="21">
        <f>Tabela1[[#This Row],[1ª QZ]]-Tabela1[[#This Row],[SALDO FINAL]]-Tabela1[[#This Row],[SALDO CARTAO]]-Tabela1[[#This Row],[Adiantamento ]]</f>
        <v>-790.39999999999895</v>
      </c>
      <c r="N68" s="21">
        <f>Tabela1[[#This Row],[SALDO REEMBOLSAR]]*$N$4</f>
        <v>0</v>
      </c>
      <c r="O68" s="21">
        <f>IF(Tabela1[[#This Row],[CARGA PARCIAL]]&lt;0,0,Tabela1[[#This Row],[CARGA PARCIAL]])+Tabela1[[#This Row],[REEMBOLSO]]</f>
        <v>0</v>
      </c>
      <c r="Q68" t="s">
        <v>24</v>
      </c>
    </row>
    <row r="69" spans="1:17">
      <c r="A69" s="3" t="s">
        <v>215</v>
      </c>
      <c r="B69" s="3" t="s">
        <v>216</v>
      </c>
      <c r="C69" s="5" t="s">
        <v>19</v>
      </c>
      <c r="D69" s="3" t="s">
        <v>50</v>
      </c>
      <c r="E69" s="3" t="s">
        <v>165</v>
      </c>
      <c r="F69" s="3" t="s">
        <v>52</v>
      </c>
      <c r="G69" s="3" t="s">
        <v>33</v>
      </c>
      <c r="H69" s="21">
        <v>0</v>
      </c>
      <c r="I69" s="21">
        <v>1473.8700000000008</v>
      </c>
      <c r="J69" s="21">
        <v>1500</v>
      </c>
      <c r="K69" s="21">
        <v>5.13</v>
      </c>
      <c r="L69" s="22"/>
      <c r="M69" s="21">
        <f>Tabela1[[#This Row],[1ª QZ]]-Tabela1[[#This Row],[SALDO FINAL]]-Tabela1[[#This Row],[SALDO CARTAO]]-Tabela1[[#This Row],[Adiantamento ]]</f>
        <v>20.999999999999201</v>
      </c>
      <c r="N69" s="21">
        <f>Tabela1[[#This Row],[SALDO REEMBOLSAR]]*$N$4</f>
        <v>0</v>
      </c>
      <c r="O69" s="21">
        <f>IF(Tabela1[[#This Row],[CARGA PARCIAL]]&lt;0,0,Tabela1[[#This Row],[CARGA PARCIAL]])+Tabela1[[#This Row],[REEMBOLSO]]</f>
        <v>20.999999999999201</v>
      </c>
      <c r="Q69" t="s">
        <v>24</v>
      </c>
    </row>
    <row r="70" spans="1:17">
      <c r="A70" s="3" t="s">
        <v>217</v>
      </c>
      <c r="B70" s="3" t="s">
        <v>218</v>
      </c>
      <c r="C70" s="5" t="s">
        <v>19</v>
      </c>
      <c r="D70" s="3" t="s">
        <v>44</v>
      </c>
      <c r="E70" s="3" t="s">
        <v>219</v>
      </c>
      <c r="F70" s="3" t="s">
        <v>46</v>
      </c>
      <c r="G70" s="3" t="s">
        <v>47</v>
      </c>
      <c r="H70" s="21">
        <v>0</v>
      </c>
      <c r="I70" s="21">
        <v>1453.5700000000015</v>
      </c>
      <c r="J70" s="21">
        <v>1000</v>
      </c>
      <c r="K70" s="21">
        <v>4.71</v>
      </c>
      <c r="L70" s="22"/>
      <c r="M70" s="21">
        <f>Tabela1[[#This Row],[1ª QZ]]-Tabela1[[#This Row],[SALDO FINAL]]-Tabela1[[#This Row],[SALDO CARTAO]]-Tabela1[[#This Row],[Adiantamento ]]</f>
        <v>-458.28000000000151</v>
      </c>
      <c r="N70" s="21">
        <f>Tabela1[[#This Row],[SALDO REEMBOLSAR]]*$N$4</f>
        <v>0</v>
      </c>
      <c r="O70" s="21">
        <f>IF(Tabela1[[#This Row],[CARGA PARCIAL]]&lt;0,0,Tabela1[[#This Row],[CARGA PARCIAL]])+Tabela1[[#This Row],[REEMBOLSO]]</f>
        <v>0</v>
      </c>
      <c r="Q70" t="s">
        <v>24</v>
      </c>
    </row>
    <row r="71" spans="1:17">
      <c r="A71" s="3" t="s">
        <v>220</v>
      </c>
      <c r="B71" s="3" t="s">
        <v>221</v>
      </c>
      <c r="C71" s="5" t="s">
        <v>19</v>
      </c>
      <c r="D71" s="3" t="s">
        <v>50</v>
      </c>
      <c r="E71" s="3" t="s">
        <v>222</v>
      </c>
      <c r="F71" s="3" t="s">
        <v>52</v>
      </c>
      <c r="G71" s="3" t="s">
        <v>33</v>
      </c>
      <c r="H71" s="21">
        <v>0</v>
      </c>
      <c r="I71" s="21">
        <v>1440.3000000000002</v>
      </c>
      <c r="J71" s="21">
        <v>1500</v>
      </c>
      <c r="K71" s="21">
        <v>0</v>
      </c>
      <c r="L71" s="22"/>
      <c r="M71" s="21">
        <f>Tabela1[[#This Row],[1ª QZ]]-Tabela1[[#This Row],[SALDO FINAL]]-Tabela1[[#This Row],[SALDO CARTAO]]-Tabela1[[#This Row],[Adiantamento ]]</f>
        <v>59.699999999999818</v>
      </c>
      <c r="N71" s="21">
        <f>Tabela1[[#This Row],[SALDO REEMBOLSAR]]*$N$4</f>
        <v>0</v>
      </c>
      <c r="O71" s="21">
        <f>IF(Tabela1[[#This Row],[CARGA PARCIAL]]&lt;0,0,Tabela1[[#This Row],[CARGA PARCIAL]])+Tabela1[[#This Row],[REEMBOLSO]]</f>
        <v>59.699999999999818</v>
      </c>
      <c r="Q71" t="s">
        <v>24</v>
      </c>
    </row>
    <row r="72" spans="1:17">
      <c r="A72" s="3" t="s">
        <v>223</v>
      </c>
      <c r="B72" s="3" t="s">
        <v>224</v>
      </c>
      <c r="C72" s="5" t="s">
        <v>19</v>
      </c>
      <c r="D72" s="3" t="s">
        <v>50</v>
      </c>
      <c r="E72" s="3" t="s">
        <v>225</v>
      </c>
      <c r="F72" s="3" t="s">
        <v>52</v>
      </c>
      <c r="G72" s="3" t="s">
        <v>33</v>
      </c>
      <c r="H72" s="21">
        <v>0</v>
      </c>
      <c r="I72" s="21">
        <v>1437.5600000000268</v>
      </c>
      <c r="J72" s="21">
        <v>3000</v>
      </c>
      <c r="K72" s="21">
        <v>29</v>
      </c>
      <c r="L72" s="22"/>
      <c r="M72" s="21">
        <f>Tabela1[[#This Row],[1ª QZ]]-Tabela1[[#This Row],[SALDO FINAL]]-Tabela1[[#This Row],[SALDO CARTAO]]-Tabela1[[#This Row],[Adiantamento ]]</f>
        <v>1533.4399999999732</v>
      </c>
      <c r="N72" s="21">
        <f>Tabela1[[#This Row],[SALDO REEMBOLSAR]]*$N$4</f>
        <v>0</v>
      </c>
      <c r="O72" s="21">
        <f>IF(Tabela1[[#This Row],[CARGA PARCIAL]]&lt;0,0,Tabela1[[#This Row],[CARGA PARCIAL]])+Tabela1[[#This Row],[REEMBOLSO]]</f>
        <v>1533.4399999999732</v>
      </c>
      <c r="Q72" t="s">
        <v>24</v>
      </c>
    </row>
    <row r="73" spans="1:17">
      <c r="A73" s="3" t="s">
        <v>226</v>
      </c>
      <c r="B73" s="3" t="s">
        <v>227</v>
      </c>
      <c r="C73" s="5" t="s">
        <v>19</v>
      </c>
      <c r="D73" s="3" t="s">
        <v>44</v>
      </c>
      <c r="E73" s="3" t="s">
        <v>228</v>
      </c>
      <c r="F73" s="3" t="s">
        <v>46</v>
      </c>
      <c r="G73" s="3" t="s">
        <v>47</v>
      </c>
      <c r="H73" s="21">
        <v>0</v>
      </c>
      <c r="I73" s="21">
        <v>1417.5499999999884</v>
      </c>
      <c r="J73" s="21">
        <v>1500</v>
      </c>
      <c r="K73" s="21">
        <v>6</v>
      </c>
      <c r="L73" s="22"/>
      <c r="M73" s="21">
        <f>Tabela1[[#This Row],[1ª QZ]]-Tabela1[[#This Row],[SALDO FINAL]]-Tabela1[[#This Row],[SALDO CARTAO]]-Tabela1[[#This Row],[Adiantamento ]]</f>
        <v>76.450000000011642</v>
      </c>
      <c r="N73" s="21">
        <f>Tabela1[[#This Row],[SALDO REEMBOLSAR]]*$N$4</f>
        <v>0</v>
      </c>
      <c r="O73" s="21">
        <f>IF(Tabela1[[#This Row],[CARGA PARCIAL]]&lt;0,0,Tabela1[[#This Row],[CARGA PARCIAL]])+Tabela1[[#This Row],[REEMBOLSO]]</f>
        <v>76.450000000011642</v>
      </c>
      <c r="Q73" t="s">
        <v>24</v>
      </c>
    </row>
    <row r="74" spans="1:17">
      <c r="A74" s="3" t="s">
        <v>229</v>
      </c>
      <c r="B74" s="3" t="s">
        <v>230</v>
      </c>
      <c r="C74" s="5" t="s">
        <v>19</v>
      </c>
      <c r="D74" s="3" t="s">
        <v>50</v>
      </c>
      <c r="E74" s="3" t="s">
        <v>134</v>
      </c>
      <c r="F74" s="3" t="s">
        <v>52</v>
      </c>
      <c r="G74" s="3" t="s">
        <v>33</v>
      </c>
      <c r="H74" s="21">
        <v>0</v>
      </c>
      <c r="I74" s="21">
        <v>1389.58</v>
      </c>
      <c r="J74" s="21">
        <v>1500</v>
      </c>
      <c r="K74" s="21">
        <v>16</v>
      </c>
      <c r="L74" s="22"/>
      <c r="M74" s="21">
        <f>Tabela1[[#This Row],[1ª QZ]]-Tabela1[[#This Row],[SALDO FINAL]]-Tabela1[[#This Row],[SALDO CARTAO]]-Tabela1[[#This Row],[Adiantamento ]]</f>
        <v>94.420000000000073</v>
      </c>
      <c r="N74" s="21">
        <f>Tabela1[[#This Row],[SALDO REEMBOLSAR]]*$N$4</f>
        <v>0</v>
      </c>
      <c r="O74" s="21">
        <f>IF(Tabela1[[#This Row],[CARGA PARCIAL]]&lt;0,0,Tabela1[[#This Row],[CARGA PARCIAL]])+Tabela1[[#This Row],[REEMBOLSO]]</f>
        <v>94.420000000000073</v>
      </c>
      <c r="Q74" t="s">
        <v>24</v>
      </c>
    </row>
    <row r="75" spans="1:17">
      <c r="A75" s="3" t="s">
        <v>231</v>
      </c>
      <c r="B75" s="3" t="s">
        <v>232</v>
      </c>
      <c r="C75" s="5" t="s">
        <v>19</v>
      </c>
      <c r="D75" s="3" t="s">
        <v>93</v>
      </c>
      <c r="E75" s="3" t="s">
        <v>233</v>
      </c>
      <c r="F75" s="3" t="s">
        <v>95</v>
      </c>
      <c r="G75" s="3" t="s">
        <v>33</v>
      </c>
      <c r="H75" s="21">
        <v>0</v>
      </c>
      <c r="I75" s="21">
        <v>1370.7299999999996</v>
      </c>
      <c r="J75" s="21">
        <v>800</v>
      </c>
      <c r="K75" s="21">
        <v>43</v>
      </c>
      <c r="L75" s="22"/>
      <c r="M75" s="21">
        <f>Tabela1[[#This Row],[1ª QZ]]-Tabela1[[#This Row],[SALDO FINAL]]-Tabela1[[#This Row],[SALDO CARTAO]]-Tabela1[[#This Row],[Adiantamento ]]</f>
        <v>-613.72999999999956</v>
      </c>
      <c r="N75" s="21">
        <f>Tabela1[[#This Row],[SALDO REEMBOLSAR]]*$N$4</f>
        <v>0</v>
      </c>
      <c r="O75" s="21">
        <f>IF(Tabela1[[#This Row],[CARGA PARCIAL]]&lt;0,0,Tabela1[[#This Row],[CARGA PARCIAL]])+Tabela1[[#This Row],[REEMBOLSO]]</f>
        <v>0</v>
      </c>
      <c r="Q75" t="s">
        <v>24</v>
      </c>
    </row>
    <row r="76" spans="1:17">
      <c r="A76" s="3" t="s">
        <v>234</v>
      </c>
      <c r="B76" s="3" t="s">
        <v>235</v>
      </c>
      <c r="C76" s="5" t="s">
        <v>19</v>
      </c>
      <c r="D76" s="3" t="s">
        <v>50</v>
      </c>
      <c r="E76" s="3" t="s">
        <v>236</v>
      </c>
      <c r="F76" s="3" t="s">
        <v>52</v>
      </c>
      <c r="G76" s="3" t="s">
        <v>33</v>
      </c>
      <c r="H76" s="21">
        <v>0</v>
      </c>
      <c r="I76" s="21">
        <v>1341.6499999999287</v>
      </c>
      <c r="J76" s="21">
        <v>2300</v>
      </c>
      <c r="K76" s="21">
        <v>5</v>
      </c>
      <c r="L76" s="22"/>
      <c r="M76" s="21">
        <f>Tabela1[[#This Row],[1ª QZ]]-Tabela1[[#This Row],[SALDO FINAL]]-Tabela1[[#This Row],[SALDO CARTAO]]-Tabela1[[#This Row],[Adiantamento ]]</f>
        <v>953.3500000000713</v>
      </c>
      <c r="N76" s="21">
        <f>Tabela1[[#This Row],[SALDO REEMBOLSAR]]*$N$4</f>
        <v>0</v>
      </c>
      <c r="O76" s="21">
        <f>IF(Tabela1[[#This Row],[CARGA PARCIAL]]&lt;0,0,Tabela1[[#This Row],[CARGA PARCIAL]])+Tabela1[[#This Row],[REEMBOLSO]]</f>
        <v>953.3500000000713</v>
      </c>
      <c r="Q76" t="s">
        <v>24</v>
      </c>
    </row>
    <row r="77" spans="1:17">
      <c r="A77" s="3" t="s">
        <v>237</v>
      </c>
      <c r="B77" s="3" t="s">
        <v>238</v>
      </c>
      <c r="C77" s="5" t="s">
        <v>19</v>
      </c>
      <c r="D77" s="3" t="s">
        <v>50</v>
      </c>
      <c r="E77" s="3" t="s">
        <v>134</v>
      </c>
      <c r="F77" s="3" t="s">
        <v>52</v>
      </c>
      <c r="G77" s="3" t="s">
        <v>33</v>
      </c>
      <c r="H77" s="21">
        <v>0</v>
      </c>
      <c r="I77" s="21">
        <v>1259.3399999999999</v>
      </c>
      <c r="J77" s="21">
        <v>1500</v>
      </c>
      <c r="K77" s="21">
        <v>6</v>
      </c>
      <c r="L77" s="22"/>
      <c r="M77" s="21">
        <f>Tabela1[[#This Row],[1ª QZ]]-Tabela1[[#This Row],[SALDO FINAL]]-Tabela1[[#This Row],[SALDO CARTAO]]-Tabela1[[#This Row],[Adiantamento ]]</f>
        <v>234.66000000000008</v>
      </c>
      <c r="N77" s="21">
        <f>Tabela1[[#This Row],[SALDO REEMBOLSAR]]*$N$4</f>
        <v>0</v>
      </c>
      <c r="O77" s="21">
        <f>IF(Tabela1[[#This Row],[CARGA PARCIAL]]&lt;0,0,Tabela1[[#This Row],[CARGA PARCIAL]])+Tabela1[[#This Row],[REEMBOLSO]]</f>
        <v>234.66000000000008</v>
      </c>
      <c r="Q77" t="s">
        <v>24</v>
      </c>
    </row>
    <row r="78" spans="1:17">
      <c r="A78" s="3" t="s">
        <v>239</v>
      </c>
      <c r="B78" s="3" t="s">
        <v>240</v>
      </c>
      <c r="C78" s="5" t="s">
        <v>19</v>
      </c>
      <c r="D78" s="3" t="s">
        <v>50</v>
      </c>
      <c r="E78" s="3" t="s">
        <v>241</v>
      </c>
      <c r="F78" s="3" t="s">
        <v>52</v>
      </c>
      <c r="G78" s="3" t="s">
        <v>33</v>
      </c>
      <c r="H78" s="21">
        <v>0</v>
      </c>
      <c r="I78" s="21">
        <v>1256.7599999999534</v>
      </c>
      <c r="J78" s="21">
        <v>4000</v>
      </c>
      <c r="K78" s="21">
        <v>443.69</v>
      </c>
      <c r="L78" s="22"/>
      <c r="M78" s="21">
        <f>Tabela1[[#This Row],[1ª QZ]]-Tabela1[[#This Row],[SALDO FINAL]]-Tabela1[[#This Row],[SALDO CARTAO]]-Tabela1[[#This Row],[Adiantamento ]]</f>
        <v>2299.5500000000466</v>
      </c>
      <c r="N78" s="21">
        <f>Tabela1[[#This Row],[SALDO REEMBOLSAR]]*$N$4</f>
        <v>0</v>
      </c>
      <c r="O78" s="21">
        <f>IF(Tabela1[[#This Row],[CARGA PARCIAL]]&lt;0,0,Tabela1[[#This Row],[CARGA PARCIAL]])+Tabela1[[#This Row],[REEMBOLSO]]</f>
        <v>2299.5500000000466</v>
      </c>
      <c r="Q78" t="s">
        <v>24</v>
      </c>
    </row>
    <row r="79" spans="1:17">
      <c r="A79" s="3" t="s">
        <v>242</v>
      </c>
      <c r="B79" s="3" t="s">
        <v>243</v>
      </c>
      <c r="C79" s="5" t="s">
        <v>19</v>
      </c>
      <c r="D79" s="3" t="s">
        <v>30</v>
      </c>
      <c r="E79" s="3" t="s">
        <v>117</v>
      </c>
      <c r="F79" s="3" t="s">
        <v>32</v>
      </c>
      <c r="G79" s="3" t="s">
        <v>33</v>
      </c>
      <c r="H79" s="21">
        <v>0</v>
      </c>
      <c r="I79" s="21">
        <v>1250.8000000000002</v>
      </c>
      <c r="J79" s="21">
        <v>800</v>
      </c>
      <c r="K79" s="21">
        <v>0</v>
      </c>
      <c r="L79" s="22"/>
      <c r="M79" s="21">
        <f>Tabela1[[#This Row],[1ª QZ]]-Tabela1[[#This Row],[SALDO FINAL]]-Tabela1[[#This Row],[SALDO CARTAO]]-Tabela1[[#This Row],[Adiantamento ]]</f>
        <v>-450.80000000000018</v>
      </c>
      <c r="N79" s="21">
        <f>Tabela1[[#This Row],[SALDO REEMBOLSAR]]*$N$4</f>
        <v>0</v>
      </c>
      <c r="O79" s="21">
        <f>IF(Tabela1[[#This Row],[CARGA PARCIAL]]&lt;0,0,Tabela1[[#This Row],[CARGA PARCIAL]])+Tabela1[[#This Row],[REEMBOLSO]]</f>
        <v>0</v>
      </c>
      <c r="Q79" t="s">
        <v>24</v>
      </c>
    </row>
    <row r="80" spans="1:17">
      <c r="A80" s="3" t="s">
        <v>244</v>
      </c>
      <c r="B80" s="3" t="s">
        <v>245</v>
      </c>
      <c r="C80" s="5" t="s">
        <v>19</v>
      </c>
      <c r="D80" s="3" t="s">
        <v>44</v>
      </c>
      <c r="E80" s="3" t="s">
        <v>170</v>
      </c>
      <c r="F80" s="3" t="s">
        <v>46</v>
      </c>
      <c r="G80" s="3" t="s">
        <v>47</v>
      </c>
      <c r="H80" s="21">
        <v>0</v>
      </c>
      <c r="I80" s="21">
        <v>1238.67</v>
      </c>
      <c r="J80" s="21">
        <v>1000</v>
      </c>
      <c r="K80" s="21">
        <v>0</v>
      </c>
      <c r="L80" s="22"/>
      <c r="M80" s="21">
        <f>Tabela1[[#This Row],[1ª QZ]]-Tabela1[[#This Row],[SALDO FINAL]]-Tabela1[[#This Row],[SALDO CARTAO]]-Tabela1[[#This Row],[Adiantamento ]]</f>
        <v>-238.67000000000007</v>
      </c>
      <c r="N80" s="21">
        <f>Tabela1[[#This Row],[SALDO REEMBOLSAR]]*$N$4</f>
        <v>0</v>
      </c>
      <c r="O80" s="21">
        <f>IF(Tabela1[[#This Row],[CARGA PARCIAL]]&lt;0,0,Tabela1[[#This Row],[CARGA PARCIAL]])+Tabela1[[#This Row],[REEMBOLSO]]</f>
        <v>0</v>
      </c>
      <c r="Q80" t="s">
        <v>24</v>
      </c>
    </row>
    <row r="81" spans="1:17">
      <c r="A81" s="3" t="s">
        <v>246</v>
      </c>
      <c r="B81" s="3" t="s">
        <v>247</v>
      </c>
      <c r="C81" s="5" t="s">
        <v>19</v>
      </c>
      <c r="D81" s="3" t="s">
        <v>30</v>
      </c>
      <c r="E81" s="3" t="s">
        <v>248</v>
      </c>
      <c r="F81" s="3" t="s">
        <v>32</v>
      </c>
      <c r="G81" s="3" t="s">
        <v>33</v>
      </c>
      <c r="H81" s="21">
        <v>0</v>
      </c>
      <c r="I81" s="21">
        <v>1216.8499999999622</v>
      </c>
      <c r="J81" s="21">
        <v>4000</v>
      </c>
      <c r="K81" s="21">
        <v>1586</v>
      </c>
      <c r="L81" s="22"/>
      <c r="M81" s="21">
        <f>Tabela1[[#This Row],[1ª QZ]]-Tabela1[[#This Row],[SALDO FINAL]]-Tabela1[[#This Row],[SALDO CARTAO]]-Tabela1[[#This Row],[Adiantamento ]]</f>
        <v>1197.1500000000378</v>
      </c>
      <c r="N81" s="21">
        <f>Tabela1[[#This Row],[SALDO REEMBOLSAR]]*$N$4</f>
        <v>0</v>
      </c>
      <c r="O81" s="21">
        <f>IF(Tabela1[[#This Row],[CARGA PARCIAL]]&lt;0,0,Tabela1[[#This Row],[CARGA PARCIAL]])+Tabela1[[#This Row],[REEMBOLSO]]</f>
        <v>1197.1500000000378</v>
      </c>
      <c r="Q81" t="s">
        <v>24</v>
      </c>
    </row>
    <row r="82" spans="1:17">
      <c r="A82" s="3" t="s">
        <v>249</v>
      </c>
      <c r="B82" s="3" t="s">
        <v>250</v>
      </c>
      <c r="C82" s="5" t="s">
        <v>19</v>
      </c>
      <c r="D82" s="3" t="s">
        <v>44</v>
      </c>
      <c r="E82" s="3" t="s">
        <v>251</v>
      </c>
      <c r="F82" s="3" t="s">
        <v>46</v>
      </c>
      <c r="G82" s="3" t="s">
        <v>47</v>
      </c>
      <c r="H82" s="21">
        <v>0</v>
      </c>
      <c r="I82" s="21">
        <v>1176.8600000000022</v>
      </c>
      <c r="J82" s="21">
        <v>750</v>
      </c>
      <c r="K82" s="21">
        <v>0</v>
      </c>
      <c r="L82" s="22"/>
      <c r="M82" s="21">
        <f>Tabela1[[#This Row],[1ª QZ]]-Tabela1[[#This Row],[SALDO FINAL]]-Tabela1[[#This Row],[SALDO CARTAO]]-Tabela1[[#This Row],[Adiantamento ]]</f>
        <v>-426.86000000000217</v>
      </c>
      <c r="N82" s="21">
        <f>Tabela1[[#This Row],[SALDO REEMBOLSAR]]*$N$4</f>
        <v>0</v>
      </c>
      <c r="O82" s="21">
        <f>IF(Tabela1[[#This Row],[CARGA PARCIAL]]&lt;0,0,Tabela1[[#This Row],[CARGA PARCIAL]])+Tabela1[[#This Row],[REEMBOLSO]]</f>
        <v>0</v>
      </c>
      <c r="Q82" t="s">
        <v>24</v>
      </c>
    </row>
    <row r="83" spans="1:17">
      <c r="A83" s="3" t="s">
        <v>252</v>
      </c>
      <c r="B83" s="3" t="s">
        <v>253</v>
      </c>
      <c r="C83" s="5" t="s">
        <v>19</v>
      </c>
      <c r="D83" s="3" t="s">
        <v>30</v>
      </c>
      <c r="E83" s="3" t="s">
        <v>117</v>
      </c>
      <c r="F83" s="3" t="s">
        <v>32</v>
      </c>
      <c r="G83" s="3" t="s">
        <v>33</v>
      </c>
      <c r="H83" s="21">
        <v>0</v>
      </c>
      <c r="I83" s="21">
        <v>1169.3500000000031</v>
      </c>
      <c r="J83" s="21">
        <v>800</v>
      </c>
      <c r="K83" s="21">
        <v>12.54</v>
      </c>
      <c r="L83" s="22"/>
      <c r="M83" s="21">
        <f>Tabela1[[#This Row],[1ª QZ]]-Tabela1[[#This Row],[SALDO FINAL]]-Tabela1[[#This Row],[SALDO CARTAO]]-Tabela1[[#This Row],[Adiantamento ]]</f>
        <v>-381.89000000000311</v>
      </c>
      <c r="N83" s="21">
        <f>Tabela1[[#This Row],[SALDO REEMBOLSAR]]*$N$4</f>
        <v>0</v>
      </c>
      <c r="O83" s="21">
        <f>IF(Tabela1[[#This Row],[CARGA PARCIAL]]&lt;0,0,Tabela1[[#This Row],[CARGA PARCIAL]])+Tabela1[[#This Row],[REEMBOLSO]]</f>
        <v>0</v>
      </c>
      <c r="Q83" t="s">
        <v>24</v>
      </c>
    </row>
    <row r="84" spans="1:17">
      <c r="A84" s="3" t="s">
        <v>254</v>
      </c>
      <c r="B84" s="3" t="s">
        <v>255</v>
      </c>
      <c r="C84" s="5" t="s">
        <v>19</v>
      </c>
      <c r="D84" s="3" t="s">
        <v>93</v>
      </c>
      <c r="E84" s="3" t="s">
        <v>256</v>
      </c>
      <c r="F84" s="3" t="s">
        <v>95</v>
      </c>
      <c r="G84" s="3" t="s">
        <v>33</v>
      </c>
      <c r="H84" s="21">
        <v>0</v>
      </c>
      <c r="I84" s="21">
        <v>1155.6699999999037</v>
      </c>
      <c r="J84" s="21">
        <v>2800</v>
      </c>
      <c r="K84" s="21">
        <v>29</v>
      </c>
      <c r="L84" s="22"/>
      <c r="M84" s="21">
        <f>Tabela1[[#This Row],[1ª QZ]]-Tabela1[[#This Row],[SALDO FINAL]]-Tabela1[[#This Row],[SALDO CARTAO]]-Tabela1[[#This Row],[Adiantamento ]]</f>
        <v>1615.3300000000963</v>
      </c>
      <c r="N84" s="21">
        <f>Tabela1[[#This Row],[SALDO REEMBOLSAR]]*$N$4</f>
        <v>0</v>
      </c>
      <c r="O84" s="21">
        <f>IF(Tabela1[[#This Row],[CARGA PARCIAL]]&lt;0,0,Tabela1[[#This Row],[CARGA PARCIAL]])+Tabela1[[#This Row],[REEMBOLSO]]</f>
        <v>1615.3300000000963</v>
      </c>
      <c r="Q84" t="s">
        <v>24</v>
      </c>
    </row>
    <row r="85" spans="1:17">
      <c r="A85" s="3" t="s">
        <v>257</v>
      </c>
      <c r="B85" s="3" t="s">
        <v>258</v>
      </c>
      <c r="C85" s="5" t="s">
        <v>19</v>
      </c>
      <c r="D85" s="3" t="s">
        <v>50</v>
      </c>
      <c r="E85" s="3" t="s">
        <v>134</v>
      </c>
      <c r="F85" s="3" t="s">
        <v>52</v>
      </c>
      <c r="G85" s="3" t="s">
        <v>33</v>
      </c>
      <c r="H85" s="21">
        <v>0</v>
      </c>
      <c r="I85" s="21">
        <v>1101.25</v>
      </c>
      <c r="J85" s="21">
        <v>1500</v>
      </c>
      <c r="K85" s="21">
        <v>9</v>
      </c>
      <c r="L85" s="22"/>
      <c r="M85" s="21">
        <f>Tabela1[[#This Row],[1ª QZ]]-Tabela1[[#This Row],[SALDO FINAL]]-Tabela1[[#This Row],[SALDO CARTAO]]-Tabela1[[#This Row],[Adiantamento ]]</f>
        <v>389.75</v>
      </c>
      <c r="N85" s="21">
        <f>Tabela1[[#This Row],[SALDO REEMBOLSAR]]*$N$4</f>
        <v>0</v>
      </c>
      <c r="O85" s="21">
        <f>IF(Tabela1[[#This Row],[CARGA PARCIAL]]&lt;0,0,Tabela1[[#This Row],[CARGA PARCIAL]])+Tabela1[[#This Row],[REEMBOLSO]]</f>
        <v>389.75</v>
      </c>
      <c r="Q85" t="s">
        <v>24</v>
      </c>
    </row>
    <row r="86" spans="1:17">
      <c r="A86" s="3" t="s">
        <v>259</v>
      </c>
      <c r="B86" s="3" t="s">
        <v>260</v>
      </c>
      <c r="C86" s="5" t="s">
        <v>19</v>
      </c>
      <c r="D86" s="3" t="s">
        <v>30</v>
      </c>
      <c r="E86" s="3" t="s">
        <v>206</v>
      </c>
      <c r="F86" s="3" t="s">
        <v>32</v>
      </c>
      <c r="G86" s="3" t="s">
        <v>33</v>
      </c>
      <c r="H86" s="21">
        <v>0</v>
      </c>
      <c r="I86" s="21">
        <v>1092.1399999999599</v>
      </c>
      <c r="J86" s="21">
        <v>1680</v>
      </c>
      <c r="K86" s="21">
        <v>9.52</v>
      </c>
      <c r="L86" s="22"/>
      <c r="M86" s="21">
        <f>Tabela1[[#This Row],[1ª QZ]]-Tabela1[[#This Row],[SALDO FINAL]]-Tabela1[[#This Row],[SALDO CARTAO]]-Tabela1[[#This Row],[Adiantamento ]]</f>
        <v>578.34000000004016</v>
      </c>
      <c r="N86" s="21">
        <f>Tabela1[[#This Row],[SALDO REEMBOLSAR]]*$N$4</f>
        <v>0</v>
      </c>
      <c r="O86" s="21">
        <f>IF(Tabela1[[#This Row],[CARGA PARCIAL]]&lt;0,0,Tabela1[[#This Row],[CARGA PARCIAL]])+Tabela1[[#This Row],[REEMBOLSO]]</f>
        <v>578.34000000004016</v>
      </c>
      <c r="Q86" t="s">
        <v>24</v>
      </c>
    </row>
    <row r="87" spans="1:17">
      <c r="A87" s="3" t="s">
        <v>261</v>
      </c>
      <c r="B87" s="3" t="s">
        <v>262</v>
      </c>
      <c r="C87" s="5" t="s">
        <v>19</v>
      </c>
      <c r="D87" s="3" t="s">
        <v>50</v>
      </c>
      <c r="E87" s="3" t="s">
        <v>236</v>
      </c>
      <c r="F87" s="3" t="s">
        <v>52</v>
      </c>
      <c r="G87" s="3" t="s">
        <v>33</v>
      </c>
      <c r="H87" s="21">
        <v>0</v>
      </c>
      <c r="I87" s="21">
        <v>1072.1799999999985</v>
      </c>
      <c r="J87" s="21">
        <v>1000</v>
      </c>
      <c r="K87" s="21">
        <v>3</v>
      </c>
      <c r="L87" s="22"/>
      <c r="M87" s="21">
        <f>Tabela1[[#This Row],[1ª QZ]]-Tabela1[[#This Row],[SALDO FINAL]]-Tabela1[[#This Row],[SALDO CARTAO]]-Tabela1[[#This Row],[Adiantamento ]]</f>
        <v>-75.179999999998472</v>
      </c>
      <c r="N87" s="21">
        <f>Tabela1[[#This Row],[SALDO REEMBOLSAR]]*$N$4</f>
        <v>0</v>
      </c>
      <c r="O87" s="21">
        <f>IF(Tabela1[[#This Row],[CARGA PARCIAL]]&lt;0,0,Tabela1[[#This Row],[CARGA PARCIAL]])+Tabela1[[#This Row],[REEMBOLSO]]</f>
        <v>0</v>
      </c>
      <c r="Q87" t="s">
        <v>24</v>
      </c>
    </row>
    <row r="88" spans="1:17">
      <c r="A88" s="3" t="s">
        <v>263</v>
      </c>
      <c r="B88" s="3" t="s">
        <v>264</v>
      </c>
      <c r="C88" s="5" t="s">
        <v>19</v>
      </c>
      <c r="D88" s="3" t="s">
        <v>93</v>
      </c>
      <c r="E88" s="3" t="s">
        <v>265</v>
      </c>
      <c r="F88" s="3" t="s">
        <v>95</v>
      </c>
      <c r="G88" s="3" t="s">
        <v>33</v>
      </c>
      <c r="H88" s="21">
        <v>0</v>
      </c>
      <c r="I88" s="21">
        <v>1040.8599999999788</v>
      </c>
      <c r="J88" s="21">
        <v>3000</v>
      </c>
      <c r="K88" s="21">
        <v>8</v>
      </c>
      <c r="L88" s="22"/>
      <c r="M88" s="21">
        <f>Tabela1[[#This Row],[1ª QZ]]-Tabela1[[#This Row],[SALDO FINAL]]-Tabela1[[#This Row],[SALDO CARTAO]]-Tabela1[[#This Row],[Adiantamento ]]</f>
        <v>1951.1400000000212</v>
      </c>
      <c r="N88" s="21">
        <f>Tabela1[[#This Row],[SALDO REEMBOLSAR]]*$N$4</f>
        <v>0</v>
      </c>
      <c r="O88" s="21">
        <f>IF(Tabela1[[#This Row],[CARGA PARCIAL]]&lt;0,0,Tabela1[[#This Row],[CARGA PARCIAL]])+Tabela1[[#This Row],[REEMBOLSO]]</f>
        <v>1951.1400000000212</v>
      </c>
      <c r="Q88" t="s">
        <v>24</v>
      </c>
    </row>
    <row r="89" spans="1:17">
      <c r="A89" s="3" t="s">
        <v>266</v>
      </c>
      <c r="B89" s="3" t="s">
        <v>267</v>
      </c>
      <c r="C89" s="5" t="s">
        <v>19</v>
      </c>
      <c r="D89" s="3" t="s">
        <v>36</v>
      </c>
      <c r="E89" s="3" t="s">
        <v>162</v>
      </c>
      <c r="F89" s="3" t="s">
        <v>38</v>
      </c>
      <c r="G89" s="3" t="s">
        <v>23</v>
      </c>
      <c r="H89" s="21">
        <v>0</v>
      </c>
      <c r="I89" s="21">
        <v>1036.390000000004</v>
      </c>
      <c r="J89" s="21">
        <v>3000</v>
      </c>
      <c r="K89" s="21">
        <v>4.54</v>
      </c>
      <c r="L89" s="22"/>
      <c r="M89" s="21">
        <f>Tabela1[[#This Row],[1ª QZ]]-Tabela1[[#This Row],[SALDO FINAL]]-Tabela1[[#This Row],[SALDO CARTAO]]-Tabela1[[#This Row],[Adiantamento ]]</f>
        <v>1959.0699999999961</v>
      </c>
      <c r="N89" s="21">
        <f>Tabela1[[#This Row],[SALDO REEMBOLSAR]]*$N$4</f>
        <v>0</v>
      </c>
      <c r="O89" s="21">
        <f>IF(Tabela1[[#This Row],[CARGA PARCIAL]]&lt;0,0,Tabela1[[#This Row],[CARGA PARCIAL]])+Tabela1[[#This Row],[REEMBOLSO]]</f>
        <v>1959.0699999999961</v>
      </c>
      <c r="Q89" t="s">
        <v>24</v>
      </c>
    </row>
    <row r="90" spans="1:17">
      <c r="A90" s="3" t="s">
        <v>268</v>
      </c>
      <c r="B90" s="3" t="s">
        <v>269</v>
      </c>
      <c r="C90" s="5" t="s">
        <v>19</v>
      </c>
      <c r="D90" s="3" t="s">
        <v>20</v>
      </c>
      <c r="E90" s="3" t="s">
        <v>270</v>
      </c>
      <c r="F90" s="3" t="s">
        <v>22</v>
      </c>
      <c r="G90" s="3" t="s">
        <v>23</v>
      </c>
      <c r="H90" s="21">
        <v>0</v>
      </c>
      <c r="I90" s="21">
        <v>999.99999999999955</v>
      </c>
      <c r="J90" s="21">
        <v>1000</v>
      </c>
      <c r="K90" s="21">
        <v>0</v>
      </c>
      <c r="L90" s="22"/>
      <c r="M90" s="21">
        <f>Tabela1[[#This Row],[1ª QZ]]-Tabela1[[#This Row],[SALDO FINAL]]-Tabela1[[#This Row],[SALDO CARTAO]]-Tabela1[[#This Row],[Adiantamento ]]</f>
        <v>4.5474735088646412E-13</v>
      </c>
      <c r="N90" s="21">
        <f>Tabela1[[#This Row],[SALDO REEMBOLSAR]]*$N$4</f>
        <v>0</v>
      </c>
      <c r="O90" s="21">
        <f>IF(Tabela1[[#This Row],[CARGA PARCIAL]]&lt;0,0,Tabela1[[#This Row],[CARGA PARCIAL]])+Tabela1[[#This Row],[REEMBOLSO]]</f>
        <v>4.5474735088646412E-13</v>
      </c>
      <c r="Q90" t="s">
        <v>24</v>
      </c>
    </row>
    <row r="91" spans="1:17">
      <c r="A91" s="3" t="s">
        <v>271</v>
      </c>
      <c r="B91" s="3" t="s">
        <v>272</v>
      </c>
      <c r="C91" s="5" t="s">
        <v>19</v>
      </c>
      <c r="D91" s="3" t="s">
        <v>30</v>
      </c>
      <c r="E91" s="3" t="s">
        <v>117</v>
      </c>
      <c r="F91" s="3" t="s">
        <v>32</v>
      </c>
      <c r="G91" s="3" t="s">
        <v>33</v>
      </c>
      <c r="H91" s="21">
        <v>0</v>
      </c>
      <c r="I91" s="21">
        <v>999.89999999999986</v>
      </c>
      <c r="J91" s="21">
        <v>800</v>
      </c>
      <c r="K91" s="21">
        <v>0.3</v>
      </c>
      <c r="L91" s="22"/>
      <c r="M91" s="21">
        <f>Tabela1[[#This Row],[1ª QZ]]-Tabela1[[#This Row],[SALDO FINAL]]-Tabela1[[#This Row],[SALDO CARTAO]]-Tabela1[[#This Row],[Adiantamento ]]</f>
        <v>-200.19999999999987</v>
      </c>
      <c r="N91" s="21">
        <f>Tabela1[[#This Row],[SALDO REEMBOLSAR]]*$N$4</f>
        <v>0</v>
      </c>
      <c r="O91" s="21">
        <f>IF(Tabela1[[#This Row],[CARGA PARCIAL]]&lt;0,0,Tabela1[[#This Row],[CARGA PARCIAL]])+Tabela1[[#This Row],[REEMBOLSO]]</f>
        <v>0</v>
      </c>
      <c r="Q91" t="s">
        <v>24</v>
      </c>
    </row>
    <row r="92" spans="1:17">
      <c r="A92" s="3" t="s">
        <v>273</v>
      </c>
      <c r="B92" s="3" t="s">
        <v>274</v>
      </c>
      <c r="C92" s="5" t="s">
        <v>19</v>
      </c>
      <c r="D92" s="3" t="s">
        <v>30</v>
      </c>
      <c r="E92" s="3" t="s">
        <v>275</v>
      </c>
      <c r="F92" s="3" t="s">
        <v>32</v>
      </c>
      <c r="G92" s="3" t="s">
        <v>33</v>
      </c>
      <c r="H92" s="21">
        <v>0</v>
      </c>
      <c r="I92" s="21">
        <v>963.28000000000247</v>
      </c>
      <c r="J92" s="21">
        <v>1000</v>
      </c>
      <c r="K92" s="21">
        <v>1038.75</v>
      </c>
      <c r="L92" s="22"/>
      <c r="M92" s="21">
        <f>Tabela1[[#This Row],[1ª QZ]]-Tabela1[[#This Row],[SALDO FINAL]]-Tabela1[[#This Row],[SALDO CARTAO]]-Tabela1[[#This Row],[Adiantamento ]]</f>
        <v>-1002.0300000000025</v>
      </c>
      <c r="N92" s="21">
        <f>Tabela1[[#This Row],[SALDO REEMBOLSAR]]*$N$4</f>
        <v>0</v>
      </c>
      <c r="O92" s="21">
        <f>IF(Tabela1[[#This Row],[CARGA PARCIAL]]&lt;0,0,Tabela1[[#This Row],[CARGA PARCIAL]])+Tabela1[[#This Row],[REEMBOLSO]]</f>
        <v>0</v>
      </c>
      <c r="Q92" t="s">
        <v>24</v>
      </c>
    </row>
    <row r="93" spans="1:17">
      <c r="A93" s="3" t="s">
        <v>276</v>
      </c>
      <c r="B93" s="3" t="s">
        <v>277</v>
      </c>
      <c r="C93" s="5" t="s">
        <v>19</v>
      </c>
      <c r="D93" s="3" t="s">
        <v>36</v>
      </c>
      <c r="E93" s="3" t="s">
        <v>142</v>
      </c>
      <c r="F93" s="3" t="s">
        <v>38</v>
      </c>
      <c r="G93" s="3" t="s">
        <v>23</v>
      </c>
      <c r="H93" s="21">
        <v>0</v>
      </c>
      <c r="I93" s="21">
        <v>354.05000000000501</v>
      </c>
      <c r="J93" s="21">
        <v>1700</v>
      </c>
      <c r="K93" s="21">
        <v>2.35</v>
      </c>
      <c r="L93" s="22"/>
      <c r="M93" s="21">
        <f>Tabela1[[#This Row],[1ª QZ]]-Tabela1[[#This Row],[SALDO FINAL]]-Tabela1[[#This Row],[SALDO CARTAO]]-Tabela1[[#This Row],[Adiantamento ]]</f>
        <v>1343.5999999999951</v>
      </c>
      <c r="N93" s="21">
        <f>Tabela1[[#This Row],[SALDO REEMBOLSAR]]*$N$4</f>
        <v>0</v>
      </c>
      <c r="O93" s="21">
        <f>IF(Tabela1[[#This Row],[CARGA PARCIAL]]&lt;0,0,Tabela1[[#This Row],[CARGA PARCIAL]])+Tabela1[[#This Row],[REEMBOLSO]]</f>
        <v>1343.5999999999951</v>
      </c>
      <c r="Q93" t="s">
        <v>24</v>
      </c>
    </row>
    <row r="94" spans="1:17">
      <c r="A94" s="3" t="s">
        <v>278</v>
      </c>
      <c r="B94" s="3" t="s">
        <v>279</v>
      </c>
      <c r="C94" s="5" t="s">
        <v>19</v>
      </c>
      <c r="D94" s="3" t="s">
        <v>30</v>
      </c>
      <c r="E94" s="3" t="s">
        <v>60</v>
      </c>
      <c r="F94" s="3" t="s">
        <v>32</v>
      </c>
      <c r="G94" s="3" t="s">
        <v>33</v>
      </c>
      <c r="H94" s="21">
        <v>0</v>
      </c>
      <c r="I94" s="21">
        <v>936.68000000000029</v>
      </c>
      <c r="J94" s="21">
        <v>2000</v>
      </c>
      <c r="K94" s="21">
        <v>6</v>
      </c>
      <c r="L94" s="22"/>
      <c r="M94" s="21">
        <f>Tabela1[[#This Row],[1ª QZ]]-Tabela1[[#This Row],[SALDO FINAL]]-Tabela1[[#This Row],[SALDO CARTAO]]-Tabela1[[#This Row],[Adiantamento ]]</f>
        <v>1057.3199999999997</v>
      </c>
      <c r="N94" s="21">
        <f>Tabela1[[#This Row],[SALDO REEMBOLSAR]]*$N$4</f>
        <v>0</v>
      </c>
      <c r="O94" s="21">
        <f>IF(Tabela1[[#This Row],[CARGA PARCIAL]]&lt;0,0,Tabela1[[#This Row],[CARGA PARCIAL]])+Tabela1[[#This Row],[REEMBOLSO]]</f>
        <v>1057.3199999999997</v>
      </c>
      <c r="Q94" t="s">
        <v>24</v>
      </c>
    </row>
    <row r="95" spans="1:17">
      <c r="A95" s="3" t="s">
        <v>280</v>
      </c>
      <c r="B95" s="3" t="s">
        <v>281</v>
      </c>
      <c r="C95" s="5" t="s">
        <v>19</v>
      </c>
      <c r="D95" s="3" t="s">
        <v>50</v>
      </c>
      <c r="E95" s="3" t="s">
        <v>134</v>
      </c>
      <c r="F95" s="3" t="s">
        <v>52</v>
      </c>
      <c r="G95" s="3" t="s">
        <v>33</v>
      </c>
      <c r="H95" s="21">
        <v>0</v>
      </c>
      <c r="I95" s="21">
        <v>911.0200000000001</v>
      </c>
      <c r="J95" s="21">
        <v>1500</v>
      </c>
      <c r="K95" s="21">
        <v>581.4</v>
      </c>
      <c r="L95" s="22"/>
      <c r="M95" s="21">
        <f>Tabela1[[#This Row],[1ª QZ]]-Tabela1[[#This Row],[SALDO FINAL]]-Tabela1[[#This Row],[SALDO CARTAO]]-Tabela1[[#This Row],[Adiantamento ]]</f>
        <v>7.5799999999999272</v>
      </c>
      <c r="N95" s="21">
        <f>Tabela1[[#This Row],[SALDO REEMBOLSAR]]*$N$4</f>
        <v>0</v>
      </c>
      <c r="O95" s="21">
        <f>IF(Tabela1[[#This Row],[CARGA PARCIAL]]&lt;0,0,Tabela1[[#This Row],[CARGA PARCIAL]])+Tabela1[[#This Row],[REEMBOLSO]]</f>
        <v>7.5799999999999272</v>
      </c>
      <c r="Q95" t="s">
        <v>24</v>
      </c>
    </row>
    <row r="96" spans="1:17">
      <c r="A96" s="3" t="s">
        <v>282</v>
      </c>
      <c r="B96" s="3" t="s">
        <v>283</v>
      </c>
      <c r="C96" s="5" t="s">
        <v>19</v>
      </c>
      <c r="D96" s="3" t="s">
        <v>93</v>
      </c>
      <c r="E96" s="3" t="s">
        <v>284</v>
      </c>
      <c r="F96" s="3" t="s">
        <v>95</v>
      </c>
      <c r="G96" s="3" t="s">
        <v>33</v>
      </c>
      <c r="H96" s="21">
        <v>0</v>
      </c>
      <c r="I96" s="21">
        <v>898.12000000000057</v>
      </c>
      <c r="J96" s="21">
        <v>500</v>
      </c>
      <c r="K96" s="21">
        <v>2.4900000000000002</v>
      </c>
      <c r="L96" s="22"/>
      <c r="M96" s="21">
        <f>Tabela1[[#This Row],[1ª QZ]]-Tabela1[[#This Row],[SALDO FINAL]]-Tabela1[[#This Row],[SALDO CARTAO]]-Tabela1[[#This Row],[Adiantamento ]]</f>
        <v>-400.61000000000058</v>
      </c>
      <c r="N96" s="21">
        <f>Tabela1[[#This Row],[SALDO REEMBOLSAR]]*$N$4</f>
        <v>0</v>
      </c>
      <c r="O96" s="21">
        <f>IF(Tabela1[[#This Row],[CARGA PARCIAL]]&lt;0,0,Tabela1[[#This Row],[CARGA PARCIAL]])+Tabela1[[#This Row],[REEMBOLSO]]</f>
        <v>0</v>
      </c>
      <c r="Q96" t="s">
        <v>24</v>
      </c>
    </row>
    <row r="97" spans="1:17">
      <c r="A97" s="3" t="s">
        <v>285</v>
      </c>
      <c r="B97" s="3" t="s">
        <v>286</v>
      </c>
      <c r="C97" s="5" t="s">
        <v>19</v>
      </c>
      <c r="D97" s="3" t="s">
        <v>44</v>
      </c>
      <c r="E97" s="3" t="s">
        <v>170</v>
      </c>
      <c r="F97" s="3" t="s">
        <v>46</v>
      </c>
      <c r="G97" s="3" t="s">
        <v>47</v>
      </c>
      <c r="H97" s="21">
        <v>0</v>
      </c>
      <c r="I97" s="21">
        <v>888.83999999999969</v>
      </c>
      <c r="J97" s="21">
        <v>800</v>
      </c>
      <c r="K97" s="21">
        <v>4.8099999999999996</v>
      </c>
      <c r="L97" s="22"/>
      <c r="M97" s="21">
        <f>Tabela1[[#This Row],[1ª QZ]]-Tabela1[[#This Row],[SALDO FINAL]]-Tabela1[[#This Row],[SALDO CARTAO]]-Tabela1[[#This Row],[Adiantamento ]]</f>
        <v>-93.649999999999693</v>
      </c>
      <c r="N97" s="21">
        <f>Tabela1[[#This Row],[SALDO REEMBOLSAR]]*$N$4</f>
        <v>0</v>
      </c>
      <c r="O97" s="21">
        <f>IF(Tabela1[[#This Row],[CARGA PARCIAL]]&lt;0,0,Tabela1[[#This Row],[CARGA PARCIAL]])+Tabela1[[#This Row],[REEMBOLSO]]</f>
        <v>0</v>
      </c>
      <c r="Q97" t="s">
        <v>24</v>
      </c>
    </row>
    <row r="98" spans="1:17">
      <c r="A98" s="3" t="s">
        <v>287</v>
      </c>
      <c r="B98" s="3" t="s">
        <v>288</v>
      </c>
      <c r="C98" s="5" t="s">
        <v>19</v>
      </c>
      <c r="D98" s="3" t="s">
        <v>93</v>
      </c>
      <c r="E98" s="3" t="s">
        <v>289</v>
      </c>
      <c r="F98" s="3" t="s">
        <v>95</v>
      </c>
      <c r="G98" s="3" t="s">
        <v>33</v>
      </c>
      <c r="H98" s="21">
        <v>0</v>
      </c>
      <c r="I98" s="21">
        <v>881</v>
      </c>
      <c r="J98" s="21">
        <v>120</v>
      </c>
      <c r="K98" s="21">
        <v>0</v>
      </c>
      <c r="L98" s="22"/>
      <c r="M98" s="21">
        <f>Tabela1[[#This Row],[1ª QZ]]-Tabela1[[#This Row],[SALDO FINAL]]-Tabela1[[#This Row],[SALDO CARTAO]]-Tabela1[[#This Row],[Adiantamento ]]</f>
        <v>-761</v>
      </c>
      <c r="N98" s="21">
        <f>Tabela1[[#This Row],[SALDO REEMBOLSAR]]*$N$4</f>
        <v>0</v>
      </c>
      <c r="O98" s="21">
        <f>IF(Tabela1[[#This Row],[CARGA PARCIAL]]&lt;0,0,Tabela1[[#This Row],[CARGA PARCIAL]])+Tabela1[[#This Row],[REEMBOLSO]]</f>
        <v>0</v>
      </c>
      <c r="Q98" t="s">
        <v>24</v>
      </c>
    </row>
    <row r="99" spans="1:17">
      <c r="A99" s="3" t="s">
        <v>290</v>
      </c>
      <c r="B99" s="3" t="s">
        <v>291</v>
      </c>
      <c r="C99" s="5" t="s">
        <v>19</v>
      </c>
      <c r="D99" s="3" t="s">
        <v>36</v>
      </c>
      <c r="E99" s="3" t="s">
        <v>142</v>
      </c>
      <c r="F99" s="3" t="s">
        <v>38</v>
      </c>
      <c r="G99" s="3" t="s">
        <v>23</v>
      </c>
      <c r="H99" s="21">
        <v>0</v>
      </c>
      <c r="I99" s="21">
        <v>677.719999999999</v>
      </c>
      <c r="J99" s="21">
        <v>1500</v>
      </c>
      <c r="K99" s="21">
        <v>514.9</v>
      </c>
      <c r="L99" s="22"/>
      <c r="M99" s="21">
        <f>Tabela1[[#This Row],[1ª QZ]]-Tabela1[[#This Row],[SALDO FINAL]]-Tabela1[[#This Row],[SALDO CARTAO]]-Tabela1[[#This Row],[Adiantamento ]]</f>
        <v>307.38000000000102</v>
      </c>
      <c r="N99" s="21">
        <f>Tabela1[[#This Row],[SALDO REEMBOLSAR]]*$N$4</f>
        <v>0</v>
      </c>
      <c r="O99" s="21">
        <f>IF(Tabela1[[#This Row],[CARGA PARCIAL]]&lt;0,0,Tabela1[[#This Row],[CARGA PARCIAL]])+Tabela1[[#This Row],[REEMBOLSO]]</f>
        <v>307.38000000000102</v>
      </c>
      <c r="Q99" t="s">
        <v>24</v>
      </c>
    </row>
    <row r="100" spans="1:17">
      <c r="A100" s="3" t="s">
        <v>292</v>
      </c>
      <c r="B100" s="3" t="s">
        <v>293</v>
      </c>
      <c r="C100" s="5" t="s">
        <v>19</v>
      </c>
      <c r="D100" s="3" t="s">
        <v>30</v>
      </c>
      <c r="E100" s="3" t="s">
        <v>294</v>
      </c>
      <c r="F100" s="3" t="s">
        <v>32</v>
      </c>
      <c r="G100" s="3" t="s">
        <v>33</v>
      </c>
      <c r="H100" s="21">
        <v>0</v>
      </c>
      <c r="I100" s="21">
        <v>873.29999999999939</v>
      </c>
      <c r="J100" s="21">
        <v>700</v>
      </c>
      <c r="K100" s="21">
        <v>0</v>
      </c>
      <c r="L100" s="22"/>
      <c r="M100" s="21">
        <f>Tabela1[[#This Row],[1ª QZ]]-Tabela1[[#This Row],[SALDO FINAL]]-Tabela1[[#This Row],[SALDO CARTAO]]-Tabela1[[#This Row],[Adiantamento ]]</f>
        <v>-173.29999999999939</v>
      </c>
      <c r="N100" s="21">
        <f>Tabela1[[#This Row],[SALDO REEMBOLSAR]]*$N$4</f>
        <v>0</v>
      </c>
      <c r="O100" s="21">
        <f>IF(Tabela1[[#This Row],[CARGA PARCIAL]]&lt;0,0,Tabela1[[#This Row],[CARGA PARCIAL]])+Tabela1[[#This Row],[REEMBOLSO]]</f>
        <v>0</v>
      </c>
      <c r="Q100" t="s">
        <v>24</v>
      </c>
    </row>
    <row r="101" spans="1:17">
      <c r="A101" s="3" t="s">
        <v>295</v>
      </c>
      <c r="B101" s="3" t="s">
        <v>296</v>
      </c>
      <c r="C101" s="5" t="s">
        <v>19</v>
      </c>
      <c r="D101" s="3" t="s">
        <v>20</v>
      </c>
      <c r="E101" s="3" t="s">
        <v>297</v>
      </c>
      <c r="F101" s="3" t="s">
        <v>22</v>
      </c>
      <c r="G101" s="3" t="s">
        <v>23</v>
      </c>
      <c r="H101" s="21">
        <v>0</v>
      </c>
      <c r="I101" s="21">
        <v>847.48000000000081</v>
      </c>
      <c r="J101" s="21">
        <v>2000</v>
      </c>
      <c r="K101" s="21">
        <v>810.93</v>
      </c>
      <c r="L101" s="22"/>
      <c r="M101" s="21">
        <f>Tabela1[[#This Row],[1ª QZ]]-Tabela1[[#This Row],[SALDO FINAL]]-Tabela1[[#This Row],[SALDO CARTAO]]-Tabela1[[#This Row],[Adiantamento ]]</f>
        <v>341.58999999999912</v>
      </c>
      <c r="N101" s="21">
        <f>Tabela1[[#This Row],[SALDO REEMBOLSAR]]*$N$4</f>
        <v>0</v>
      </c>
      <c r="O101" s="21">
        <f>IF(Tabela1[[#This Row],[CARGA PARCIAL]]&lt;0,0,Tabela1[[#This Row],[CARGA PARCIAL]])+Tabela1[[#This Row],[REEMBOLSO]]</f>
        <v>341.58999999999912</v>
      </c>
      <c r="Q101" t="s">
        <v>24</v>
      </c>
    </row>
    <row r="102" spans="1:17">
      <c r="A102" s="3" t="s">
        <v>298</v>
      </c>
      <c r="B102" s="3" t="s">
        <v>299</v>
      </c>
      <c r="C102" s="5" t="s">
        <v>19</v>
      </c>
      <c r="D102" s="3" t="s">
        <v>93</v>
      </c>
      <c r="E102" s="3" t="s">
        <v>300</v>
      </c>
      <c r="F102" s="3" t="s">
        <v>95</v>
      </c>
      <c r="G102" s="3" t="s">
        <v>33</v>
      </c>
      <c r="H102" s="21">
        <v>0</v>
      </c>
      <c r="I102" s="21">
        <v>832.91999999997586</v>
      </c>
      <c r="J102" s="21">
        <v>2800</v>
      </c>
      <c r="K102" s="21">
        <v>3.89</v>
      </c>
      <c r="L102" s="22"/>
      <c r="M102" s="21">
        <f>Tabela1[[#This Row],[1ª QZ]]-Tabela1[[#This Row],[SALDO FINAL]]-Tabela1[[#This Row],[SALDO CARTAO]]-Tabela1[[#This Row],[Adiantamento ]]</f>
        <v>1963.1900000000239</v>
      </c>
      <c r="N102" s="21">
        <f>Tabela1[[#This Row],[SALDO REEMBOLSAR]]*$N$4</f>
        <v>0</v>
      </c>
      <c r="O102" s="21">
        <f>IF(Tabela1[[#This Row],[CARGA PARCIAL]]&lt;0,0,Tabela1[[#This Row],[CARGA PARCIAL]])+Tabela1[[#This Row],[REEMBOLSO]]</f>
        <v>1963.1900000000239</v>
      </c>
      <c r="Q102" t="s">
        <v>24</v>
      </c>
    </row>
    <row r="103" spans="1:17">
      <c r="A103" s="3" t="s">
        <v>301</v>
      </c>
      <c r="B103" s="3" t="s">
        <v>302</v>
      </c>
      <c r="C103" s="5" t="s">
        <v>19</v>
      </c>
      <c r="D103" s="3" t="s">
        <v>66</v>
      </c>
      <c r="E103" s="3" t="s">
        <v>303</v>
      </c>
      <c r="F103" s="3" t="s">
        <v>68</v>
      </c>
      <c r="G103" s="3" t="s">
        <v>23</v>
      </c>
      <c r="H103" s="21">
        <v>0</v>
      </c>
      <c r="I103" s="21">
        <v>800.51000000000568</v>
      </c>
      <c r="J103" s="21">
        <v>2000</v>
      </c>
      <c r="K103" s="21">
        <v>0</v>
      </c>
      <c r="L103" s="22"/>
      <c r="M103" s="21">
        <f>Tabela1[[#This Row],[1ª QZ]]-Tabela1[[#This Row],[SALDO FINAL]]-Tabela1[[#This Row],[SALDO CARTAO]]-Tabela1[[#This Row],[Adiantamento ]]</f>
        <v>1199.4899999999943</v>
      </c>
      <c r="N103" s="21">
        <f>Tabela1[[#This Row],[SALDO REEMBOLSAR]]*$N$4</f>
        <v>0</v>
      </c>
      <c r="O103" s="21">
        <f>IF(Tabela1[[#This Row],[CARGA PARCIAL]]&lt;0,0,Tabela1[[#This Row],[CARGA PARCIAL]])+Tabela1[[#This Row],[REEMBOLSO]]</f>
        <v>1199.4899999999943</v>
      </c>
      <c r="Q103" t="s">
        <v>24</v>
      </c>
    </row>
    <row r="104" spans="1:17">
      <c r="A104" s="3" t="s">
        <v>304</v>
      </c>
      <c r="B104" s="3" t="s">
        <v>305</v>
      </c>
      <c r="C104" s="5" t="s">
        <v>19</v>
      </c>
      <c r="D104" s="3" t="s">
        <v>36</v>
      </c>
      <c r="E104" s="3" t="s">
        <v>142</v>
      </c>
      <c r="F104" s="3" t="s">
        <v>38</v>
      </c>
      <c r="G104" s="3" t="s">
        <v>23</v>
      </c>
      <c r="H104" s="21">
        <v>0</v>
      </c>
      <c r="I104" s="21">
        <v>791.95000000001892</v>
      </c>
      <c r="J104" s="21">
        <v>400</v>
      </c>
      <c r="K104" s="21">
        <v>1770</v>
      </c>
      <c r="L104" s="22"/>
      <c r="M104" s="21">
        <f>Tabela1[[#This Row],[1ª QZ]]-Tabela1[[#This Row],[SALDO FINAL]]-Tabela1[[#This Row],[SALDO CARTAO]]-Tabela1[[#This Row],[Adiantamento ]]</f>
        <v>-2161.9500000000189</v>
      </c>
      <c r="N104" s="21">
        <f>Tabela1[[#This Row],[SALDO REEMBOLSAR]]*$N$4</f>
        <v>0</v>
      </c>
      <c r="O104" s="21">
        <f>IF(Tabela1[[#This Row],[CARGA PARCIAL]]&lt;0,0,Tabela1[[#This Row],[CARGA PARCIAL]])+Tabela1[[#This Row],[REEMBOLSO]]</f>
        <v>0</v>
      </c>
      <c r="Q104" t="s">
        <v>24</v>
      </c>
    </row>
    <row r="105" spans="1:17">
      <c r="A105" s="3" t="s">
        <v>306</v>
      </c>
      <c r="B105" s="3" t="s">
        <v>307</v>
      </c>
      <c r="C105" s="5" t="s">
        <v>19</v>
      </c>
      <c r="D105" s="3" t="s">
        <v>50</v>
      </c>
      <c r="E105" s="3" t="s">
        <v>308</v>
      </c>
      <c r="F105" s="3" t="s">
        <v>52</v>
      </c>
      <c r="G105" s="3" t="s">
        <v>33</v>
      </c>
      <c r="H105" s="21">
        <v>0</v>
      </c>
      <c r="I105" s="21">
        <v>787.51</v>
      </c>
      <c r="J105" s="21">
        <v>1500</v>
      </c>
      <c r="K105" s="21">
        <v>712.49</v>
      </c>
      <c r="L105" s="22"/>
      <c r="M105" s="21">
        <f>Tabela1[[#This Row],[1ª QZ]]-Tabela1[[#This Row],[SALDO FINAL]]-Tabela1[[#This Row],[SALDO CARTAO]]-Tabela1[[#This Row],[Adiantamento ]]</f>
        <v>0</v>
      </c>
      <c r="N105" s="21">
        <f>Tabela1[[#This Row],[SALDO REEMBOLSAR]]*$N$4</f>
        <v>0</v>
      </c>
      <c r="O105" s="21">
        <f>IF(Tabela1[[#This Row],[CARGA PARCIAL]]&lt;0,0,Tabela1[[#This Row],[CARGA PARCIAL]])+Tabela1[[#This Row],[REEMBOLSO]]</f>
        <v>0</v>
      </c>
      <c r="Q105" t="s">
        <v>24</v>
      </c>
    </row>
    <row r="106" spans="1:17">
      <c r="A106" s="3" t="s">
        <v>309</v>
      </c>
      <c r="B106" s="3" t="s">
        <v>310</v>
      </c>
      <c r="C106" s="5" t="s">
        <v>19</v>
      </c>
      <c r="D106" s="3" t="s">
        <v>44</v>
      </c>
      <c r="E106" s="3" t="s">
        <v>170</v>
      </c>
      <c r="F106" s="3" t="s">
        <v>46</v>
      </c>
      <c r="G106" s="3" t="s">
        <v>47</v>
      </c>
      <c r="H106" s="21">
        <v>0</v>
      </c>
      <c r="I106" s="21">
        <v>785.88000000000102</v>
      </c>
      <c r="J106" s="21">
        <v>700</v>
      </c>
      <c r="K106" s="21">
        <v>3</v>
      </c>
      <c r="L106" s="22"/>
      <c r="M106" s="21">
        <f>Tabela1[[#This Row],[1ª QZ]]-Tabela1[[#This Row],[SALDO FINAL]]-Tabela1[[#This Row],[SALDO CARTAO]]-Tabela1[[#This Row],[Adiantamento ]]</f>
        <v>-88.880000000001019</v>
      </c>
      <c r="N106" s="21">
        <f>Tabela1[[#This Row],[SALDO REEMBOLSAR]]*$N$4</f>
        <v>0</v>
      </c>
      <c r="O106" s="21">
        <f>IF(Tabela1[[#This Row],[CARGA PARCIAL]]&lt;0,0,Tabela1[[#This Row],[CARGA PARCIAL]])+Tabela1[[#This Row],[REEMBOLSO]]</f>
        <v>0</v>
      </c>
      <c r="Q106" t="s">
        <v>24</v>
      </c>
    </row>
    <row r="107" spans="1:17">
      <c r="A107" s="3" t="s">
        <v>311</v>
      </c>
      <c r="B107" s="3" t="s">
        <v>312</v>
      </c>
      <c r="C107" s="5" t="s">
        <v>19</v>
      </c>
      <c r="D107" s="3" t="s">
        <v>36</v>
      </c>
      <c r="E107" s="3" t="s">
        <v>142</v>
      </c>
      <c r="F107" s="3" t="s">
        <v>38</v>
      </c>
      <c r="G107" s="3" t="s">
        <v>23</v>
      </c>
      <c r="H107" s="21">
        <v>0</v>
      </c>
      <c r="I107" s="21">
        <v>768.81000000000063</v>
      </c>
      <c r="J107" s="21">
        <v>1200</v>
      </c>
      <c r="K107" s="21">
        <v>8.5500000000000007</v>
      </c>
      <c r="L107" s="22"/>
      <c r="M107" s="21">
        <f>Tabela1[[#This Row],[1ª QZ]]-Tabela1[[#This Row],[SALDO FINAL]]-Tabela1[[#This Row],[SALDO CARTAO]]-Tabela1[[#This Row],[Adiantamento ]]</f>
        <v>422.63999999999936</v>
      </c>
      <c r="N107" s="21">
        <f>Tabela1[[#This Row],[SALDO REEMBOLSAR]]*$N$4</f>
        <v>0</v>
      </c>
      <c r="O107" s="21">
        <f>IF(Tabela1[[#This Row],[CARGA PARCIAL]]&lt;0,0,Tabela1[[#This Row],[CARGA PARCIAL]])+Tabela1[[#This Row],[REEMBOLSO]]</f>
        <v>422.63999999999936</v>
      </c>
      <c r="Q107" t="s">
        <v>24</v>
      </c>
    </row>
    <row r="108" spans="1:17">
      <c r="A108" s="3" t="s">
        <v>313</v>
      </c>
      <c r="B108" s="3" t="s">
        <v>314</v>
      </c>
      <c r="C108" s="5" t="s">
        <v>19</v>
      </c>
      <c r="D108" s="3" t="s">
        <v>44</v>
      </c>
      <c r="E108" s="3" t="s">
        <v>182</v>
      </c>
      <c r="F108" s="3" t="s">
        <v>46</v>
      </c>
      <c r="G108" s="3" t="s">
        <v>47</v>
      </c>
      <c r="H108" s="21">
        <v>0</v>
      </c>
      <c r="I108" s="21">
        <v>766.09000000000015</v>
      </c>
      <c r="J108" s="21">
        <v>1000</v>
      </c>
      <c r="K108" s="21">
        <v>290.44</v>
      </c>
      <c r="L108" s="22"/>
      <c r="M108" s="21">
        <f>Tabela1[[#This Row],[1ª QZ]]-Tabela1[[#This Row],[SALDO FINAL]]-Tabela1[[#This Row],[SALDO CARTAO]]-Tabela1[[#This Row],[Adiantamento ]]</f>
        <v>-56.530000000000143</v>
      </c>
      <c r="N108" s="21">
        <f>Tabela1[[#This Row],[SALDO REEMBOLSAR]]*$N$4</f>
        <v>0</v>
      </c>
      <c r="O108" s="21">
        <f>IF(Tabela1[[#This Row],[CARGA PARCIAL]]&lt;0,0,Tabela1[[#This Row],[CARGA PARCIAL]])+Tabela1[[#This Row],[REEMBOLSO]]</f>
        <v>0</v>
      </c>
      <c r="Q108" t="s">
        <v>24</v>
      </c>
    </row>
    <row r="109" spans="1:17">
      <c r="A109" s="3" t="s">
        <v>315</v>
      </c>
      <c r="B109" s="3" t="s">
        <v>316</v>
      </c>
      <c r="C109" s="5" t="s">
        <v>19</v>
      </c>
      <c r="D109" s="3" t="s">
        <v>20</v>
      </c>
      <c r="E109" s="3" t="s">
        <v>317</v>
      </c>
      <c r="F109" s="3" t="s">
        <v>22</v>
      </c>
      <c r="G109" s="3" t="s">
        <v>23</v>
      </c>
      <c r="H109" s="21">
        <v>0</v>
      </c>
      <c r="I109" s="21">
        <v>749.00000000000045</v>
      </c>
      <c r="J109" s="21">
        <v>800</v>
      </c>
      <c r="K109" s="21">
        <v>10.02</v>
      </c>
      <c r="L109" s="22"/>
      <c r="M109" s="21">
        <f>Tabela1[[#This Row],[1ª QZ]]-Tabela1[[#This Row],[SALDO FINAL]]-Tabela1[[#This Row],[SALDO CARTAO]]-Tabela1[[#This Row],[Adiantamento ]]</f>
        <v>40.979999999999549</v>
      </c>
      <c r="N109" s="21">
        <f>Tabela1[[#This Row],[SALDO REEMBOLSAR]]*$N$4</f>
        <v>0</v>
      </c>
      <c r="O109" s="21">
        <f>IF(Tabela1[[#This Row],[CARGA PARCIAL]]&lt;0,0,Tabela1[[#This Row],[CARGA PARCIAL]])+Tabela1[[#This Row],[REEMBOLSO]]</f>
        <v>40.979999999999549</v>
      </c>
      <c r="Q109" t="s">
        <v>24</v>
      </c>
    </row>
    <row r="110" spans="1:17">
      <c r="A110" s="3" t="s">
        <v>318</v>
      </c>
      <c r="B110" s="3" t="s">
        <v>319</v>
      </c>
      <c r="C110" s="5" t="s">
        <v>19</v>
      </c>
      <c r="D110" s="3" t="s">
        <v>44</v>
      </c>
      <c r="E110" s="3" t="s">
        <v>170</v>
      </c>
      <c r="F110" s="3" t="s">
        <v>46</v>
      </c>
      <c r="G110" s="3" t="s">
        <v>47</v>
      </c>
      <c r="H110" s="21">
        <v>0</v>
      </c>
      <c r="I110" s="21">
        <v>743.38000000000227</v>
      </c>
      <c r="J110" s="21">
        <v>800</v>
      </c>
      <c r="K110" s="21">
        <v>110.64</v>
      </c>
      <c r="L110" s="22"/>
      <c r="M110" s="21">
        <f>Tabela1[[#This Row],[1ª QZ]]-Tabela1[[#This Row],[SALDO FINAL]]-Tabela1[[#This Row],[SALDO CARTAO]]-Tabela1[[#This Row],[Adiantamento ]]</f>
        <v>-54.02000000000227</v>
      </c>
      <c r="N110" s="21">
        <f>Tabela1[[#This Row],[SALDO REEMBOLSAR]]*$N$4</f>
        <v>0</v>
      </c>
      <c r="O110" s="21">
        <f>IF(Tabela1[[#This Row],[CARGA PARCIAL]]&lt;0,0,Tabela1[[#This Row],[CARGA PARCIAL]])+Tabela1[[#This Row],[REEMBOLSO]]</f>
        <v>0</v>
      </c>
      <c r="Q110" t="s">
        <v>24</v>
      </c>
    </row>
    <row r="111" spans="1:17">
      <c r="A111" s="3" t="s">
        <v>320</v>
      </c>
      <c r="B111" s="3" t="s">
        <v>321</v>
      </c>
      <c r="C111" s="5" t="s">
        <v>19</v>
      </c>
      <c r="D111" s="3" t="s">
        <v>36</v>
      </c>
      <c r="E111" s="3" t="s">
        <v>322</v>
      </c>
      <c r="F111" s="3" t="s">
        <v>38</v>
      </c>
      <c r="G111" s="3" t="s">
        <v>23</v>
      </c>
      <c r="H111" s="21">
        <v>0</v>
      </c>
      <c r="I111" s="21">
        <v>738.39999999999986</v>
      </c>
      <c r="J111" s="21">
        <v>350</v>
      </c>
      <c r="K111" s="21">
        <v>0</v>
      </c>
      <c r="L111" s="22"/>
      <c r="M111" s="21">
        <f>Tabela1[[#This Row],[1ª QZ]]-Tabela1[[#This Row],[SALDO FINAL]]-Tabela1[[#This Row],[SALDO CARTAO]]-Tabela1[[#This Row],[Adiantamento ]]</f>
        <v>-388.39999999999986</v>
      </c>
      <c r="N111" s="21">
        <f>Tabela1[[#This Row],[SALDO REEMBOLSAR]]*$N$4</f>
        <v>0</v>
      </c>
      <c r="O111" s="21">
        <f>IF(Tabela1[[#This Row],[CARGA PARCIAL]]&lt;0,0,Tabela1[[#This Row],[CARGA PARCIAL]])+Tabela1[[#This Row],[REEMBOLSO]]</f>
        <v>0</v>
      </c>
      <c r="Q111" t="s">
        <v>24</v>
      </c>
    </row>
    <row r="112" spans="1:17">
      <c r="A112" s="3" t="s">
        <v>323</v>
      </c>
      <c r="B112" s="3" t="s">
        <v>324</v>
      </c>
      <c r="C112" s="5" t="s">
        <v>19</v>
      </c>
      <c r="D112" s="3" t="s">
        <v>88</v>
      </c>
      <c r="E112" s="3" t="s">
        <v>108</v>
      </c>
      <c r="F112" s="3" t="s">
        <v>90</v>
      </c>
      <c r="G112" s="3" t="s">
        <v>47</v>
      </c>
      <c r="H112" s="21">
        <v>0</v>
      </c>
      <c r="I112" s="21">
        <v>734.30999999999676</v>
      </c>
      <c r="J112" s="21">
        <v>6200</v>
      </c>
      <c r="K112" s="21">
        <v>4437.55</v>
      </c>
      <c r="L112" s="22"/>
      <c r="M112" s="21">
        <f>Tabela1[[#This Row],[1ª QZ]]-Tabela1[[#This Row],[SALDO FINAL]]-Tabela1[[#This Row],[SALDO CARTAO]]-Tabela1[[#This Row],[Adiantamento ]]</f>
        <v>1028.1400000000031</v>
      </c>
      <c r="N112" s="21">
        <f>Tabela1[[#This Row],[SALDO REEMBOLSAR]]*$N$4</f>
        <v>0</v>
      </c>
      <c r="O112" s="21">
        <f>IF(Tabela1[[#This Row],[CARGA PARCIAL]]&lt;0,0,Tabela1[[#This Row],[CARGA PARCIAL]])+Tabela1[[#This Row],[REEMBOLSO]]</f>
        <v>1028.1400000000031</v>
      </c>
      <c r="Q112" t="s">
        <v>24</v>
      </c>
    </row>
    <row r="113" spans="1:17">
      <c r="A113" s="3" t="s">
        <v>325</v>
      </c>
      <c r="B113" s="3" t="s">
        <v>326</v>
      </c>
      <c r="C113" s="5" t="s">
        <v>19</v>
      </c>
      <c r="D113" s="3" t="s">
        <v>30</v>
      </c>
      <c r="E113" s="3" t="s">
        <v>327</v>
      </c>
      <c r="F113" s="3" t="s">
        <v>32</v>
      </c>
      <c r="G113" s="3" t="s">
        <v>33</v>
      </c>
      <c r="H113" s="21">
        <v>0</v>
      </c>
      <c r="I113" s="21">
        <v>731.68000000000086</v>
      </c>
      <c r="J113" s="21">
        <v>350</v>
      </c>
      <c r="K113" s="21">
        <v>31.32</v>
      </c>
      <c r="L113" s="22"/>
      <c r="M113" s="21">
        <f>Tabela1[[#This Row],[1ª QZ]]-Tabela1[[#This Row],[SALDO FINAL]]-Tabela1[[#This Row],[SALDO CARTAO]]-Tabela1[[#This Row],[Adiantamento ]]</f>
        <v>-413.00000000000085</v>
      </c>
      <c r="N113" s="21">
        <f>Tabela1[[#This Row],[SALDO REEMBOLSAR]]*$N$4</f>
        <v>0</v>
      </c>
      <c r="O113" s="21">
        <f>IF(Tabela1[[#This Row],[CARGA PARCIAL]]&lt;0,0,Tabela1[[#This Row],[CARGA PARCIAL]])+Tabela1[[#This Row],[REEMBOLSO]]</f>
        <v>0</v>
      </c>
      <c r="Q113" t="s">
        <v>24</v>
      </c>
    </row>
    <row r="114" spans="1:17">
      <c r="A114" s="3" t="s">
        <v>328</v>
      </c>
      <c r="B114" s="3" t="s">
        <v>329</v>
      </c>
      <c r="C114" s="5" t="s">
        <v>19</v>
      </c>
      <c r="D114" s="3" t="s">
        <v>20</v>
      </c>
      <c r="E114" s="3" t="s">
        <v>330</v>
      </c>
      <c r="F114" s="3" t="s">
        <v>22</v>
      </c>
      <c r="G114" s="3" t="s">
        <v>23</v>
      </c>
      <c r="H114" s="21">
        <v>0</v>
      </c>
      <c r="I114" s="21">
        <v>724.77999999999975</v>
      </c>
      <c r="J114" s="21">
        <v>500</v>
      </c>
      <c r="K114" s="21">
        <v>0</v>
      </c>
      <c r="L114" s="22"/>
      <c r="M114" s="21">
        <f>Tabela1[[#This Row],[1ª QZ]]-Tabela1[[#This Row],[SALDO FINAL]]-Tabela1[[#This Row],[SALDO CARTAO]]-Tabela1[[#This Row],[Adiantamento ]]</f>
        <v>-224.77999999999975</v>
      </c>
      <c r="N114" s="21">
        <f>Tabela1[[#This Row],[SALDO REEMBOLSAR]]*$N$4</f>
        <v>0</v>
      </c>
      <c r="O114" s="21">
        <f>IF(Tabela1[[#This Row],[CARGA PARCIAL]]&lt;0,0,Tabela1[[#This Row],[CARGA PARCIAL]])+Tabela1[[#This Row],[REEMBOLSO]]</f>
        <v>0</v>
      </c>
      <c r="Q114" t="s">
        <v>24</v>
      </c>
    </row>
    <row r="115" spans="1:17">
      <c r="A115" s="3" t="s">
        <v>331</v>
      </c>
      <c r="B115" s="3" t="s">
        <v>332</v>
      </c>
      <c r="C115" s="5" t="s">
        <v>19</v>
      </c>
      <c r="D115" s="3" t="s">
        <v>36</v>
      </c>
      <c r="E115" s="3" t="s">
        <v>37</v>
      </c>
      <c r="F115" s="3" t="s">
        <v>38</v>
      </c>
      <c r="G115" s="3" t="s">
        <v>23</v>
      </c>
      <c r="H115" s="21">
        <v>0</v>
      </c>
      <c r="I115" s="21">
        <v>718.03999999998894</v>
      </c>
      <c r="J115" s="21">
        <v>4000</v>
      </c>
      <c r="K115" s="21">
        <v>454.62</v>
      </c>
      <c r="L115" s="22"/>
      <c r="M115" s="21">
        <f>Tabela1[[#This Row],[1ª QZ]]-Tabela1[[#This Row],[SALDO FINAL]]-Tabela1[[#This Row],[SALDO CARTAO]]-Tabela1[[#This Row],[Adiantamento ]]</f>
        <v>2827.3400000000111</v>
      </c>
      <c r="N115" s="21">
        <f>Tabela1[[#This Row],[SALDO REEMBOLSAR]]*$N$4</f>
        <v>0</v>
      </c>
      <c r="O115" s="21">
        <f>IF(Tabela1[[#This Row],[CARGA PARCIAL]]&lt;0,0,Tabela1[[#This Row],[CARGA PARCIAL]])+Tabela1[[#This Row],[REEMBOLSO]]</f>
        <v>2827.3400000000111</v>
      </c>
      <c r="Q115" t="s">
        <v>24</v>
      </c>
    </row>
    <row r="116" spans="1:17">
      <c r="A116" s="3" t="s">
        <v>333</v>
      </c>
      <c r="B116" s="3" t="s">
        <v>334</v>
      </c>
      <c r="C116" s="5" t="s">
        <v>19</v>
      </c>
      <c r="D116" s="3" t="s">
        <v>20</v>
      </c>
      <c r="E116" s="3" t="s">
        <v>335</v>
      </c>
      <c r="F116" s="3" t="s">
        <v>22</v>
      </c>
      <c r="G116" s="3" t="s">
        <v>23</v>
      </c>
      <c r="H116" s="21">
        <v>0</v>
      </c>
      <c r="I116" s="21">
        <v>701.4700000000048</v>
      </c>
      <c r="J116" s="21">
        <v>1500</v>
      </c>
      <c r="K116" s="21">
        <v>6</v>
      </c>
      <c r="L116" s="22"/>
      <c r="M116" s="21">
        <f>Tabela1[[#This Row],[1ª QZ]]-Tabela1[[#This Row],[SALDO FINAL]]-Tabela1[[#This Row],[SALDO CARTAO]]-Tabela1[[#This Row],[Adiantamento ]]</f>
        <v>792.5299999999952</v>
      </c>
      <c r="N116" s="21">
        <f>Tabela1[[#This Row],[SALDO REEMBOLSAR]]*$N$4</f>
        <v>0</v>
      </c>
      <c r="O116" s="21">
        <f>IF(Tabela1[[#This Row],[CARGA PARCIAL]]&lt;0,0,Tabela1[[#This Row],[CARGA PARCIAL]])+Tabela1[[#This Row],[REEMBOLSO]]</f>
        <v>792.5299999999952</v>
      </c>
      <c r="Q116" t="s">
        <v>24</v>
      </c>
    </row>
    <row r="117" spans="1:17">
      <c r="A117" s="3" t="s">
        <v>336</v>
      </c>
      <c r="B117" s="3" t="s">
        <v>337</v>
      </c>
      <c r="C117" s="5" t="s">
        <v>19</v>
      </c>
      <c r="D117" s="3" t="s">
        <v>44</v>
      </c>
      <c r="E117" s="3" t="s">
        <v>338</v>
      </c>
      <c r="F117" s="3" t="s">
        <v>46</v>
      </c>
      <c r="G117" s="3" t="s">
        <v>47</v>
      </c>
      <c r="H117" s="21">
        <v>0</v>
      </c>
      <c r="I117" s="21">
        <v>699.80999999991798</v>
      </c>
      <c r="J117" s="21">
        <v>5000</v>
      </c>
      <c r="K117" s="21">
        <v>0.18</v>
      </c>
      <c r="L117" s="22"/>
      <c r="M117" s="21">
        <f>Tabela1[[#This Row],[1ª QZ]]-Tabela1[[#This Row],[SALDO FINAL]]-Tabela1[[#This Row],[SALDO CARTAO]]-Tabela1[[#This Row],[Adiantamento ]]</f>
        <v>4300.0100000000821</v>
      </c>
      <c r="N117" s="21">
        <f>Tabela1[[#This Row],[SALDO REEMBOLSAR]]*$N$4</f>
        <v>0</v>
      </c>
      <c r="O117" s="21">
        <f>IF(Tabela1[[#This Row],[CARGA PARCIAL]]&lt;0,0,Tabela1[[#This Row],[CARGA PARCIAL]])+Tabela1[[#This Row],[REEMBOLSO]]</f>
        <v>4300.0100000000821</v>
      </c>
      <c r="Q117" t="s">
        <v>24</v>
      </c>
    </row>
    <row r="118" spans="1:17">
      <c r="A118" s="3" t="s">
        <v>339</v>
      </c>
      <c r="B118" s="3" t="s">
        <v>340</v>
      </c>
      <c r="C118" s="5" t="s">
        <v>19</v>
      </c>
      <c r="D118" s="3" t="s">
        <v>30</v>
      </c>
      <c r="E118" s="3" t="s">
        <v>341</v>
      </c>
      <c r="F118" s="3" t="s">
        <v>32</v>
      </c>
      <c r="G118" s="3" t="s">
        <v>33</v>
      </c>
      <c r="H118" s="21">
        <v>0</v>
      </c>
      <c r="I118" s="21">
        <v>671.43000000000961</v>
      </c>
      <c r="J118" s="21">
        <v>1500</v>
      </c>
      <c r="K118" s="21">
        <v>227.76</v>
      </c>
      <c r="L118" s="22"/>
      <c r="M118" s="21">
        <f>Tabela1[[#This Row],[1ª QZ]]-Tabela1[[#This Row],[SALDO FINAL]]-Tabela1[[#This Row],[SALDO CARTAO]]-Tabela1[[#This Row],[Adiantamento ]]</f>
        <v>600.8099999999904</v>
      </c>
      <c r="N118" s="21">
        <f>Tabela1[[#This Row],[SALDO REEMBOLSAR]]*$N$4</f>
        <v>0</v>
      </c>
      <c r="O118" s="21">
        <f>IF(Tabela1[[#This Row],[CARGA PARCIAL]]&lt;0,0,Tabela1[[#This Row],[CARGA PARCIAL]])+Tabela1[[#This Row],[REEMBOLSO]]</f>
        <v>600.8099999999904</v>
      </c>
      <c r="Q118" t="s">
        <v>24</v>
      </c>
    </row>
    <row r="119" spans="1:17">
      <c r="A119" s="3" t="s">
        <v>342</v>
      </c>
      <c r="B119" s="3" t="s">
        <v>343</v>
      </c>
      <c r="C119" s="5" t="s">
        <v>19</v>
      </c>
      <c r="D119" s="3" t="s">
        <v>101</v>
      </c>
      <c r="E119" s="3" t="s">
        <v>159</v>
      </c>
      <c r="F119" s="3" t="s">
        <v>103</v>
      </c>
      <c r="G119" s="3" t="s">
        <v>33</v>
      </c>
      <c r="H119" s="21">
        <v>0</v>
      </c>
      <c r="I119" s="21">
        <v>662.74999999999989</v>
      </c>
      <c r="J119" s="21">
        <v>120</v>
      </c>
      <c r="K119" s="21">
        <v>0</v>
      </c>
      <c r="L119" s="22"/>
      <c r="M119" s="21">
        <f>Tabela1[[#This Row],[1ª QZ]]-Tabela1[[#This Row],[SALDO FINAL]]-Tabela1[[#This Row],[SALDO CARTAO]]-Tabela1[[#This Row],[Adiantamento ]]</f>
        <v>-542.74999999999989</v>
      </c>
      <c r="N119" s="21">
        <f>Tabela1[[#This Row],[SALDO REEMBOLSAR]]*$N$4</f>
        <v>0</v>
      </c>
      <c r="O119" s="21">
        <f>IF(Tabela1[[#This Row],[CARGA PARCIAL]]&lt;0,0,Tabela1[[#This Row],[CARGA PARCIAL]])+Tabela1[[#This Row],[REEMBOLSO]]</f>
        <v>0</v>
      </c>
      <c r="Q119" t="s">
        <v>24</v>
      </c>
    </row>
    <row r="120" spans="1:17">
      <c r="A120" s="3" t="s">
        <v>344</v>
      </c>
      <c r="B120" s="3" t="s">
        <v>345</v>
      </c>
      <c r="C120" s="5" t="s">
        <v>19</v>
      </c>
      <c r="D120" s="3" t="s">
        <v>36</v>
      </c>
      <c r="E120" s="3" t="s">
        <v>79</v>
      </c>
      <c r="F120" s="3" t="s">
        <v>38</v>
      </c>
      <c r="G120" s="3" t="s">
        <v>23</v>
      </c>
      <c r="H120" s="21">
        <v>0</v>
      </c>
      <c r="I120" s="21">
        <v>649.04000000000292</v>
      </c>
      <c r="J120" s="21">
        <v>800</v>
      </c>
      <c r="K120" s="21">
        <v>157.30000000000001</v>
      </c>
      <c r="L120" s="22"/>
      <c r="M120" s="21">
        <f>Tabela1[[#This Row],[1ª QZ]]-Tabela1[[#This Row],[SALDO FINAL]]-Tabela1[[#This Row],[SALDO CARTAO]]-Tabela1[[#This Row],[Adiantamento ]]</f>
        <v>-6.3400000000029308</v>
      </c>
      <c r="N120" s="21">
        <f>Tabela1[[#This Row],[SALDO REEMBOLSAR]]*$N$4</f>
        <v>0</v>
      </c>
      <c r="O120" s="21">
        <f>IF(Tabela1[[#This Row],[CARGA PARCIAL]]&lt;0,0,Tabela1[[#This Row],[CARGA PARCIAL]])+Tabela1[[#This Row],[REEMBOLSO]]</f>
        <v>0</v>
      </c>
      <c r="Q120" t="s">
        <v>24</v>
      </c>
    </row>
    <row r="121" spans="1:17">
      <c r="A121" s="3" t="s">
        <v>346</v>
      </c>
      <c r="B121" s="3" t="s">
        <v>347</v>
      </c>
      <c r="C121" s="5" t="s">
        <v>19</v>
      </c>
      <c r="D121" s="3" t="s">
        <v>50</v>
      </c>
      <c r="E121" s="3" t="s">
        <v>348</v>
      </c>
      <c r="F121" s="3" t="s">
        <v>52</v>
      </c>
      <c r="G121" s="3" t="s">
        <v>33</v>
      </c>
      <c r="H121" s="21">
        <v>0</v>
      </c>
      <c r="I121" s="21">
        <v>647</v>
      </c>
      <c r="J121" s="21">
        <v>500</v>
      </c>
      <c r="K121" s="21">
        <v>4</v>
      </c>
      <c r="L121" s="22"/>
      <c r="M121" s="21">
        <f>Tabela1[[#This Row],[1ª QZ]]-Tabela1[[#This Row],[SALDO FINAL]]-Tabela1[[#This Row],[SALDO CARTAO]]-Tabela1[[#This Row],[Adiantamento ]]</f>
        <v>-151</v>
      </c>
      <c r="N121" s="21">
        <f>Tabela1[[#This Row],[SALDO REEMBOLSAR]]*$N$4</f>
        <v>0</v>
      </c>
      <c r="O121" s="21">
        <f>IF(Tabela1[[#This Row],[CARGA PARCIAL]]&lt;0,0,Tabela1[[#This Row],[CARGA PARCIAL]])+Tabela1[[#This Row],[REEMBOLSO]]</f>
        <v>0</v>
      </c>
      <c r="Q121" t="s">
        <v>24</v>
      </c>
    </row>
    <row r="122" spans="1:17">
      <c r="A122" s="3" t="s">
        <v>349</v>
      </c>
      <c r="B122" s="3" t="s">
        <v>350</v>
      </c>
      <c r="C122" s="5" t="s">
        <v>19</v>
      </c>
      <c r="D122" s="3" t="s">
        <v>44</v>
      </c>
      <c r="E122" s="3" t="s">
        <v>219</v>
      </c>
      <c r="F122" s="3" t="s">
        <v>46</v>
      </c>
      <c r="G122" s="3" t="s">
        <v>47</v>
      </c>
      <c r="H122" s="21">
        <v>0</v>
      </c>
      <c r="I122" s="21">
        <v>640.5599999999996</v>
      </c>
      <c r="J122" s="21">
        <v>1000</v>
      </c>
      <c r="K122" s="21">
        <v>4.92</v>
      </c>
      <c r="L122" s="22"/>
      <c r="M122" s="21">
        <f>Tabela1[[#This Row],[1ª QZ]]-Tabela1[[#This Row],[SALDO FINAL]]-Tabela1[[#This Row],[SALDO CARTAO]]-Tabela1[[#This Row],[Adiantamento ]]</f>
        <v>354.52000000000038</v>
      </c>
      <c r="N122" s="21">
        <f>Tabela1[[#This Row],[SALDO REEMBOLSAR]]*$N$4</f>
        <v>0</v>
      </c>
      <c r="O122" s="21">
        <f>IF(Tabela1[[#This Row],[CARGA PARCIAL]]&lt;0,0,Tabela1[[#This Row],[CARGA PARCIAL]])+Tabela1[[#This Row],[REEMBOLSO]]</f>
        <v>354.52000000000038</v>
      </c>
      <c r="Q122" t="s">
        <v>24</v>
      </c>
    </row>
    <row r="123" spans="1:17">
      <c r="A123" s="3" t="s">
        <v>351</v>
      </c>
      <c r="B123" s="3" t="s">
        <v>352</v>
      </c>
      <c r="C123" s="5" t="s">
        <v>19</v>
      </c>
      <c r="D123" s="3" t="s">
        <v>50</v>
      </c>
      <c r="E123" s="3" t="s">
        <v>122</v>
      </c>
      <c r="F123" s="3" t="s">
        <v>52</v>
      </c>
      <c r="G123" s="3" t="s">
        <v>33</v>
      </c>
      <c r="H123" s="21">
        <v>0</v>
      </c>
      <c r="I123" s="21">
        <v>614.99999999999898</v>
      </c>
      <c r="J123" s="21">
        <v>800</v>
      </c>
      <c r="K123" s="21">
        <v>4.8499999999999996</v>
      </c>
      <c r="L123" s="22"/>
      <c r="M123" s="21">
        <f>Tabela1[[#This Row],[1ª QZ]]-Tabela1[[#This Row],[SALDO FINAL]]-Tabela1[[#This Row],[SALDO CARTAO]]-Tabela1[[#This Row],[Adiantamento ]]</f>
        <v>180.15000000000103</v>
      </c>
      <c r="N123" s="21">
        <f>Tabela1[[#This Row],[SALDO REEMBOLSAR]]*$N$4</f>
        <v>0</v>
      </c>
      <c r="O123" s="21">
        <f>IF(Tabela1[[#This Row],[CARGA PARCIAL]]&lt;0,0,Tabela1[[#This Row],[CARGA PARCIAL]])+Tabela1[[#This Row],[REEMBOLSO]]</f>
        <v>180.15000000000103</v>
      </c>
      <c r="Q123" t="s">
        <v>24</v>
      </c>
    </row>
    <row r="124" spans="1:17">
      <c r="A124" s="3" t="s">
        <v>353</v>
      </c>
      <c r="B124" s="3" t="s">
        <v>354</v>
      </c>
      <c r="C124" s="5" t="s">
        <v>19</v>
      </c>
      <c r="D124" s="3" t="s">
        <v>74</v>
      </c>
      <c r="E124" s="3" t="s">
        <v>75</v>
      </c>
      <c r="F124" s="3" t="s">
        <v>76</v>
      </c>
      <c r="G124" s="3" t="s">
        <v>23</v>
      </c>
      <c r="H124" s="21">
        <v>0</v>
      </c>
      <c r="I124" s="21">
        <v>610.82000000000085</v>
      </c>
      <c r="J124" s="21">
        <v>1000</v>
      </c>
      <c r="K124" s="21">
        <v>389.18</v>
      </c>
      <c r="L124" s="22"/>
      <c r="M124" s="21">
        <f>Tabela1[[#This Row],[1ª QZ]]-Tabela1[[#This Row],[SALDO FINAL]]-Tabela1[[#This Row],[SALDO CARTAO]]-Tabela1[[#This Row],[Adiantamento ]]</f>
        <v>-8.5265128291212022E-13</v>
      </c>
      <c r="N124" s="21">
        <f>Tabela1[[#This Row],[SALDO REEMBOLSAR]]*$N$4</f>
        <v>0</v>
      </c>
      <c r="O124" s="21">
        <f>IF(Tabela1[[#This Row],[CARGA PARCIAL]]&lt;0,0,Tabela1[[#This Row],[CARGA PARCIAL]])+Tabela1[[#This Row],[REEMBOLSO]]</f>
        <v>0</v>
      </c>
      <c r="Q124" t="s">
        <v>24</v>
      </c>
    </row>
    <row r="125" spans="1:17">
      <c r="A125" s="3" t="s">
        <v>355</v>
      </c>
      <c r="B125" s="3" t="s">
        <v>356</v>
      </c>
      <c r="C125" s="5" t="s">
        <v>19</v>
      </c>
      <c r="D125" s="3" t="s">
        <v>93</v>
      </c>
      <c r="E125" s="3" t="s">
        <v>289</v>
      </c>
      <c r="F125" s="3" t="s">
        <v>95</v>
      </c>
      <c r="G125" s="3" t="s">
        <v>33</v>
      </c>
      <c r="H125" s="21">
        <v>0</v>
      </c>
      <c r="I125" s="21">
        <v>606.10000000000275</v>
      </c>
      <c r="J125" s="21">
        <v>200</v>
      </c>
      <c r="K125" s="21">
        <v>156.59</v>
      </c>
      <c r="L125" s="22"/>
      <c r="M125" s="21">
        <f>Tabela1[[#This Row],[1ª QZ]]-Tabela1[[#This Row],[SALDO FINAL]]-Tabela1[[#This Row],[SALDO CARTAO]]-Tabela1[[#This Row],[Adiantamento ]]</f>
        <v>-562.69000000000278</v>
      </c>
      <c r="N125" s="21">
        <f>Tabela1[[#This Row],[SALDO REEMBOLSAR]]*$N$4</f>
        <v>0</v>
      </c>
      <c r="O125" s="21">
        <f>IF(Tabela1[[#This Row],[CARGA PARCIAL]]&lt;0,0,Tabela1[[#This Row],[CARGA PARCIAL]])+Tabela1[[#This Row],[REEMBOLSO]]</f>
        <v>0</v>
      </c>
      <c r="Q125" t="s">
        <v>24</v>
      </c>
    </row>
    <row r="126" spans="1:17">
      <c r="A126" s="3" t="s">
        <v>357</v>
      </c>
      <c r="B126" s="3" t="s">
        <v>358</v>
      </c>
      <c r="C126" s="5" t="s">
        <v>19</v>
      </c>
      <c r="D126" s="3" t="s">
        <v>44</v>
      </c>
      <c r="E126" s="3" t="s">
        <v>219</v>
      </c>
      <c r="F126" s="3" t="s">
        <v>46</v>
      </c>
      <c r="G126" s="3" t="s">
        <v>47</v>
      </c>
      <c r="H126" s="21">
        <v>0</v>
      </c>
      <c r="I126" s="21">
        <v>568.13999999999942</v>
      </c>
      <c r="J126" s="21">
        <v>500</v>
      </c>
      <c r="K126" s="21">
        <v>0</v>
      </c>
      <c r="L126" s="22"/>
      <c r="M126" s="21">
        <f>Tabela1[[#This Row],[1ª QZ]]-Tabela1[[#This Row],[SALDO FINAL]]-Tabela1[[#This Row],[SALDO CARTAO]]-Tabela1[[#This Row],[Adiantamento ]]</f>
        <v>-68.139999999999418</v>
      </c>
      <c r="N126" s="21">
        <f>Tabela1[[#This Row],[SALDO REEMBOLSAR]]*$N$4</f>
        <v>0</v>
      </c>
      <c r="O126" s="21">
        <f>IF(Tabela1[[#This Row],[CARGA PARCIAL]]&lt;0,0,Tabela1[[#This Row],[CARGA PARCIAL]])+Tabela1[[#This Row],[REEMBOLSO]]</f>
        <v>0</v>
      </c>
      <c r="Q126" t="s">
        <v>24</v>
      </c>
    </row>
    <row r="127" spans="1:17">
      <c r="A127" s="3" t="s">
        <v>359</v>
      </c>
      <c r="B127" s="3" t="s">
        <v>360</v>
      </c>
      <c r="C127" s="5" t="s">
        <v>19</v>
      </c>
      <c r="D127" s="3" t="s">
        <v>101</v>
      </c>
      <c r="E127" s="3" t="s">
        <v>159</v>
      </c>
      <c r="F127" s="3" t="s">
        <v>103</v>
      </c>
      <c r="G127" s="3" t="s">
        <v>33</v>
      </c>
      <c r="H127" s="21">
        <v>0</v>
      </c>
      <c r="I127" s="21">
        <v>565.75999999999988</v>
      </c>
      <c r="J127" s="21">
        <v>160</v>
      </c>
      <c r="K127" s="21">
        <v>2.34</v>
      </c>
      <c r="L127" s="22"/>
      <c r="M127" s="21">
        <f>Tabela1[[#This Row],[1ª QZ]]-Tabela1[[#This Row],[SALDO FINAL]]-Tabela1[[#This Row],[SALDO CARTAO]]-Tabela1[[#This Row],[Adiantamento ]]</f>
        <v>-408.09999999999985</v>
      </c>
      <c r="N127" s="21">
        <f>Tabela1[[#This Row],[SALDO REEMBOLSAR]]*$N$4</f>
        <v>0</v>
      </c>
      <c r="O127" s="21">
        <f>IF(Tabela1[[#This Row],[CARGA PARCIAL]]&lt;0,0,Tabela1[[#This Row],[CARGA PARCIAL]])+Tabela1[[#This Row],[REEMBOLSO]]</f>
        <v>0</v>
      </c>
      <c r="Q127" t="s">
        <v>24</v>
      </c>
    </row>
    <row r="128" spans="1:17">
      <c r="A128" s="3" t="s">
        <v>361</v>
      </c>
      <c r="B128" s="3" t="s">
        <v>362</v>
      </c>
      <c r="C128" s="5" t="s">
        <v>19</v>
      </c>
      <c r="D128" s="3" t="s">
        <v>44</v>
      </c>
      <c r="E128" s="3" t="s">
        <v>363</v>
      </c>
      <c r="F128" s="3" t="s">
        <v>46</v>
      </c>
      <c r="G128" s="3" t="s">
        <v>47</v>
      </c>
      <c r="H128" s="21">
        <v>0</v>
      </c>
      <c r="I128" s="21">
        <v>558.88</v>
      </c>
      <c r="J128" s="21">
        <v>500</v>
      </c>
      <c r="K128" s="21">
        <v>41.18</v>
      </c>
      <c r="L128" s="22"/>
      <c r="M128" s="21">
        <f>Tabela1[[#This Row],[1ª QZ]]-Tabela1[[#This Row],[SALDO FINAL]]-Tabela1[[#This Row],[SALDO CARTAO]]-Tabela1[[#This Row],[Adiantamento ]]</f>
        <v>-100.06</v>
      </c>
      <c r="N128" s="21">
        <f>Tabela1[[#This Row],[SALDO REEMBOLSAR]]*$N$4</f>
        <v>0</v>
      </c>
      <c r="O128" s="21">
        <f>IF(Tabela1[[#This Row],[CARGA PARCIAL]]&lt;0,0,Tabela1[[#This Row],[CARGA PARCIAL]])+Tabela1[[#This Row],[REEMBOLSO]]</f>
        <v>0</v>
      </c>
      <c r="Q128" t="s">
        <v>24</v>
      </c>
    </row>
    <row r="129" spans="1:17">
      <c r="A129" s="3" t="s">
        <v>364</v>
      </c>
      <c r="B129" s="3" t="s">
        <v>365</v>
      </c>
      <c r="C129" s="5" t="s">
        <v>19</v>
      </c>
      <c r="D129" s="3" t="s">
        <v>30</v>
      </c>
      <c r="E129" s="3" t="s">
        <v>117</v>
      </c>
      <c r="F129" s="3" t="s">
        <v>32</v>
      </c>
      <c r="G129" s="3" t="s">
        <v>33</v>
      </c>
      <c r="H129" s="21">
        <v>0</v>
      </c>
      <c r="I129" s="21">
        <v>550.53000000000145</v>
      </c>
      <c r="J129" s="21">
        <v>800</v>
      </c>
      <c r="K129" s="21">
        <v>124.12</v>
      </c>
      <c r="L129" s="22"/>
      <c r="M129" s="21">
        <f>Tabela1[[#This Row],[1ª QZ]]-Tabela1[[#This Row],[SALDO FINAL]]-Tabela1[[#This Row],[SALDO CARTAO]]-Tabela1[[#This Row],[Adiantamento ]]</f>
        <v>125.34999999999854</v>
      </c>
      <c r="N129" s="21">
        <f>Tabela1[[#This Row],[SALDO REEMBOLSAR]]*$N$4</f>
        <v>0</v>
      </c>
      <c r="O129" s="21">
        <f>IF(Tabela1[[#This Row],[CARGA PARCIAL]]&lt;0,0,Tabela1[[#This Row],[CARGA PARCIAL]])+Tabela1[[#This Row],[REEMBOLSO]]</f>
        <v>125.34999999999854</v>
      </c>
      <c r="Q129" t="s">
        <v>24</v>
      </c>
    </row>
    <row r="130" spans="1:17">
      <c r="A130" s="3" t="s">
        <v>366</v>
      </c>
      <c r="B130" s="3" t="s">
        <v>367</v>
      </c>
      <c r="C130" s="5" t="s">
        <v>19</v>
      </c>
      <c r="D130" s="3" t="s">
        <v>93</v>
      </c>
      <c r="E130" s="3" t="s">
        <v>368</v>
      </c>
      <c r="F130" s="3" t="s">
        <v>95</v>
      </c>
      <c r="G130" s="3" t="s">
        <v>33</v>
      </c>
      <c r="H130" s="21">
        <v>0</v>
      </c>
      <c r="I130" s="21">
        <v>547.10999999997148</v>
      </c>
      <c r="J130" s="21">
        <v>2800</v>
      </c>
      <c r="K130" s="21">
        <v>9</v>
      </c>
      <c r="L130" s="22"/>
      <c r="M130" s="21">
        <f>Tabela1[[#This Row],[1ª QZ]]-Tabela1[[#This Row],[SALDO FINAL]]-Tabela1[[#This Row],[SALDO CARTAO]]-Tabela1[[#This Row],[Adiantamento ]]</f>
        <v>2243.8900000000285</v>
      </c>
      <c r="N130" s="21">
        <f>Tabela1[[#This Row],[SALDO REEMBOLSAR]]*$N$4</f>
        <v>0</v>
      </c>
      <c r="O130" s="21">
        <f>IF(Tabela1[[#This Row],[CARGA PARCIAL]]&lt;0,0,Tabela1[[#This Row],[CARGA PARCIAL]])+Tabela1[[#This Row],[REEMBOLSO]]</f>
        <v>2243.8900000000285</v>
      </c>
      <c r="Q130" t="s">
        <v>24</v>
      </c>
    </row>
    <row r="131" spans="1:17">
      <c r="A131" s="3" t="s">
        <v>369</v>
      </c>
      <c r="B131" s="3" t="s">
        <v>370</v>
      </c>
      <c r="C131" s="5" t="s">
        <v>19</v>
      </c>
      <c r="D131" s="3" t="s">
        <v>30</v>
      </c>
      <c r="E131" s="3" t="s">
        <v>117</v>
      </c>
      <c r="F131" s="3" t="s">
        <v>32</v>
      </c>
      <c r="G131" s="3" t="s">
        <v>33</v>
      </c>
      <c r="H131" s="21">
        <v>0</v>
      </c>
      <c r="I131" s="21">
        <v>542.01000000000204</v>
      </c>
      <c r="J131" s="21">
        <v>800</v>
      </c>
      <c r="K131" s="21">
        <v>93</v>
      </c>
      <c r="L131" s="22"/>
      <c r="M131" s="21">
        <f>Tabela1[[#This Row],[1ª QZ]]-Tabela1[[#This Row],[SALDO FINAL]]-Tabela1[[#This Row],[SALDO CARTAO]]-Tabela1[[#This Row],[Adiantamento ]]</f>
        <v>164.98999999999796</v>
      </c>
      <c r="N131" s="21">
        <f>Tabela1[[#This Row],[SALDO REEMBOLSAR]]*$N$4</f>
        <v>0</v>
      </c>
      <c r="O131" s="21">
        <f>IF(Tabela1[[#This Row],[CARGA PARCIAL]]&lt;0,0,Tabela1[[#This Row],[CARGA PARCIAL]])+Tabela1[[#This Row],[REEMBOLSO]]</f>
        <v>164.98999999999796</v>
      </c>
      <c r="Q131" t="s">
        <v>24</v>
      </c>
    </row>
    <row r="132" spans="1:17">
      <c r="A132" s="3" t="s">
        <v>371</v>
      </c>
      <c r="B132" s="3" t="s">
        <v>372</v>
      </c>
      <c r="C132" s="5" t="s">
        <v>19</v>
      </c>
      <c r="D132" s="3" t="s">
        <v>50</v>
      </c>
      <c r="E132" s="3" t="s">
        <v>308</v>
      </c>
      <c r="F132" s="3" t="s">
        <v>52</v>
      </c>
      <c r="G132" s="3" t="s">
        <v>33</v>
      </c>
      <c r="H132" s="21">
        <v>0</v>
      </c>
      <c r="I132" s="21">
        <v>534.30000000000041</v>
      </c>
      <c r="J132" s="21">
        <v>675</v>
      </c>
      <c r="K132" s="21">
        <v>168</v>
      </c>
      <c r="L132" s="22"/>
      <c r="M132" s="21">
        <f>Tabela1[[#This Row],[1ª QZ]]-Tabela1[[#This Row],[SALDO FINAL]]-Tabela1[[#This Row],[SALDO CARTAO]]-Tabela1[[#This Row],[Adiantamento ]]</f>
        <v>-27.300000000000409</v>
      </c>
      <c r="N132" s="21">
        <f>Tabela1[[#This Row],[SALDO REEMBOLSAR]]*$N$4</f>
        <v>0</v>
      </c>
      <c r="O132" s="21">
        <f>IF(Tabela1[[#This Row],[CARGA PARCIAL]]&lt;0,0,Tabela1[[#This Row],[CARGA PARCIAL]])+Tabela1[[#This Row],[REEMBOLSO]]</f>
        <v>0</v>
      </c>
      <c r="Q132" t="s">
        <v>24</v>
      </c>
    </row>
    <row r="133" spans="1:17">
      <c r="A133" s="3" t="s">
        <v>373</v>
      </c>
      <c r="B133" s="3" t="s">
        <v>374</v>
      </c>
      <c r="C133" s="5" t="s">
        <v>19</v>
      </c>
      <c r="D133" s="3" t="s">
        <v>101</v>
      </c>
      <c r="E133" s="3" t="s">
        <v>159</v>
      </c>
      <c r="F133" s="3" t="s">
        <v>103</v>
      </c>
      <c r="G133" s="3" t="s">
        <v>33</v>
      </c>
      <c r="H133" s="21">
        <v>0</v>
      </c>
      <c r="I133" s="21">
        <v>500.00999999999937</v>
      </c>
      <c r="J133" s="21">
        <v>80</v>
      </c>
      <c r="K133" s="21">
        <v>28.2</v>
      </c>
      <c r="L133" s="22"/>
      <c r="M133" s="21">
        <f>Tabela1[[#This Row],[1ª QZ]]-Tabela1[[#This Row],[SALDO FINAL]]-Tabela1[[#This Row],[SALDO CARTAO]]-Tabela1[[#This Row],[Adiantamento ]]</f>
        <v>-448.20999999999935</v>
      </c>
      <c r="N133" s="21">
        <f>Tabela1[[#This Row],[SALDO REEMBOLSAR]]*$N$4</f>
        <v>0</v>
      </c>
      <c r="O133" s="21">
        <f>IF(Tabela1[[#This Row],[CARGA PARCIAL]]&lt;0,0,Tabela1[[#This Row],[CARGA PARCIAL]])+Tabela1[[#This Row],[REEMBOLSO]]</f>
        <v>0</v>
      </c>
      <c r="Q133" t="s">
        <v>24</v>
      </c>
    </row>
    <row r="134" spans="1:17">
      <c r="A134" s="3" t="s">
        <v>375</v>
      </c>
      <c r="B134" s="3" t="s">
        <v>376</v>
      </c>
      <c r="C134" s="5" t="s">
        <v>19</v>
      </c>
      <c r="D134" s="3" t="s">
        <v>93</v>
      </c>
      <c r="E134" s="3" t="s">
        <v>377</v>
      </c>
      <c r="F134" s="3" t="s">
        <v>95</v>
      </c>
      <c r="G134" s="3" t="s">
        <v>33</v>
      </c>
      <c r="H134" s="21">
        <v>0</v>
      </c>
      <c r="I134" s="21">
        <v>500</v>
      </c>
      <c r="J134" s="21">
        <v>500</v>
      </c>
      <c r="K134" s="21">
        <v>0</v>
      </c>
      <c r="L134" s="22"/>
      <c r="M134" s="21">
        <f>Tabela1[[#This Row],[1ª QZ]]-Tabela1[[#This Row],[SALDO FINAL]]-Tabela1[[#This Row],[SALDO CARTAO]]-Tabela1[[#This Row],[Adiantamento ]]</f>
        <v>0</v>
      </c>
      <c r="N134" s="21">
        <f>Tabela1[[#This Row],[SALDO REEMBOLSAR]]*$N$4</f>
        <v>0</v>
      </c>
      <c r="O134" s="21">
        <f>IF(Tabela1[[#This Row],[CARGA PARCIAL]]&lt;0,0,Tabela1[[#This Row],[CARGA PARCIAL]])+Tabela1[[#This Row],[REEMBOLSO]]</f>
        <v>0</v>
      </c>
      <c r="Q134" t="s">
        <v>378</v>
      </c>
    </row>
    <row r="135" spans="1:17">
      <c r="A135" s="3" t="s">
        <v>379</v>
      </c>
      <c r="B135" s="3" t="s">
        <v>380</v>
      </c>
      <c r="C135" s="5" t="s">
        <v>19</v>
      </c>
      <c r="D135" s="3" t="s">
        <v>44</v>
      </c>
      <c r="E135" s="3" t="s">
        <v>381</v>
      </c>
      <c r="F135" s="3" t="s">
        <v>46</v>
      </c>
      <c r="G135" s="3" t="s">
        <v>47</v>
      </c>
      <c r="H135" s="21">
        <v>0</v>
      </c>
      <c r="I135" s="21">
        <v>500</v>
      </c>
      <c r="J135" s="21">
        <v>500</v>
      </c>
      <c r="K135" s="21">
        <v>0</v>
      </c>
      <c r="L135" s="22"/>
      <c r="M135" s="21">
        <f>Tabela1[[#This Row],[1ª QZ]]-Tabela1[[#This Row],[SALDO FINAL]]-Tabela1[[#This Row],[SALDO CARTAO]]-Tabela1[[#This Row],[Adiantamento ]]</f>
        <v>0</v>
      </c>
      <c r="N135" s="21">
        <f>Tabela1[[#This Row],[SALDO REEMBOLSAR]]*$N$4</f>
        <v>0</v>
      </c>
      <c r="O135" s="21">
        <f>IF(Tabela1[[#This Row],[CARGA PARCIAL]]&lt;0,0,Tabela1[[#This Row],[CARGA PARCIAL]])+Tabela1[[#This Row],[REEMBOLSO]]</f>
        <v>0</v>
      </c>
      <c r="Q135" t="s">
        <v>24</v>
      </c>
    </row>
    <row r="136" spans="1:17">
      <c r="A136" s="3" t="s">
        <v>382</v>
      </c>
      <c r="B136" s="3" t="s">
        <v>383</v>
      </c>
      <c r="C136" s="5" t="s">
        <v>19</v>
      </c>
      <c r="D136" s="3" t="s">
        <v>93</v>
      </c>
      <c r="E136" s="3" t="s">
        <v>384</v>
      </c>
      <c r="F136" s="3" t="s">
        <v>95</v>
      </c>
      <c r="G136" s="3" t="s">
        <v>33</v>
      </c>
      <c r="H136" s="21">
        <v>0</v>
      </c>
      <c r="I136" s="21">
        <v>500</v>
      </c>
      <c r="J136" s="21">
        <v>500</v>
      </c>
      <c r="K136" s="21">
        <v>0</v>
      </c>
      <c r="L136" s="22"/>
      <c r="M136" s="21">
        <f>Tabela1[[#This Row],[1ª QZ]]-Tabela1[[#This Row],[SALDO FINAL]]-Tabela1[[#This Row],[SALDO CARTAO]]-Tabela1[[#This Row],[Adiantamento ]]</f>
        <v>0</v>
      </c>
      <c r="N136" s="21">
        <f>Tabela1[[#This Row],[SALDO REEMBOLSAR]]*$N$4</f>
        <v>0</v>
      </c>
      <c r="O136" s="21">
        <f>IF(Tabela1[[#This Row],[CARGA PARCIAL]]&lt;0,0,Tabela1[[#This Row],[CARGA PARCIAL]])+Tabela1[[#This Row],[REEMBOLSO]]</f>
        <v>0</v>
      </c>
      <c r="Q136" t="s">
        <v>24</v>
      </c>
    </row>
    <row r="137" spans="1:17">
      <c r="A137" s="3" t="s">
        <v>385</v>
      </c>
      <c r="B137" s="3" t="s">
        <v>386</v>
      </c>
      <c r="C137" s="5" t="s">
        <v>19</v>
      </c>
      <c r="D137" s="3" t="s">
        <v>30</v>
      </c>
      <c r="E137" s="3" t="s">
        <v>387</v>
      </c>
      <c r="F137" s="3" t="s">
        <v>32</v>
      </c>
      <c r="G137" s="3" t="s">
        <v>33</v>
      </c>
      <c r="H137" s="21">
        <v>0</v>
      </c>
      <c r="I137" s="21">
        <v>500</v>
      </c>
      <c r="J137" s="21">
        <v>500</v>
      </c>
      <c r="K137" s="21">
        <v>0</v>
      </c>
      <c r="L137" s="22"/>
      <c r="M137" s="21">
        <f>Tabela1[[#This Row],[1ª QZ]]-Tabela1[[#This Row],[SALDO FINAL]]-Tabela1[[#This Row],[SALDO CARTAO]]-Tabela1[[#This Row],[Adiantamento ]]</f>
        <v>0</v>
      </c>
      <c r="N137" s="21">
        <f>Tabela1[[#This Row],[SALDO REEMBOLSAR]]*$N$4</f>
        <v>0</v>
      </c>
      <c r="O137" s="21">
        <f>IF(Tabela1[[#This Row],[CARGA PARCIAL]]&lt;0,0,Tabela1[[#This Row],[CARGA PARCIAL]])+Tabela1[[#This Row],[REEMBOLSO]]</f>
        <v>0</v>
      </c>
      <c r="Q137" t="s">
        <v>24</v>
      </c>
    </row>
    <row r="138" spans="1:17">
      <c r="A138" s="3" t="s">
        <v>388</v>
      </c>
      <c r="B138" s="3" t="s">
        <v>389</v>
      </c>
      <c r="C138" s="5" t="s">
        <v>19</v>
      </c>
      <c r="D138" s="3" t="s">
        <v>30</v>
      </c>
      <c r="E138" s="3" t="s">
        <v>275</v>
      </c>
      <c r="F138" s="3" t="s">
        <v>32</v>
      </c>
      <c r="G138" s="3" t="s">
        <v>33</v>
      </c>
      <c r="H138" s="21">
        <v>0</v>
      </c>
      <c r="I138" s="21">
        <v>488.44000000000131</v>
      </c>
      <c r="J138" s="21">
        <v>500</v>
      </c>
      <c r="K138" s="21">
        <v>76.12</v>
      </c>
      <c r="L138" s="22"/>
      <c r="M138" s="21">
        <f>Tabela1[[#This Row],[1ª QZ]]-Tabela1[[#This Row],[SALDO FINAL]]-Tabela1[[#This Row],[SALDO CARTAO]]-Tabela1[[#This Row],[Adiantamento ]]</f>
        <v>-64.56000000000131</v>
      </c>
      <c r="N138" s="21">
        <f>Tabela1[[#This Row],[SALDO REEMBOLSAR]]*$N$4</f>
        <v>0</v>
      </c>
      <c r="O138" s="21">
        <f>IF(Tabela1[[#This Row],[CARGA PARCIAL]]&lt;0,0,Tabela1[[#This Row],[CARGA PARCIAL]])+Tabela1[[#This Row],[REEMBOLSO]]</f>
        <v>0</v>
      </c>
      <c r="Q138" t="s">
        <v>24</v>
      </c>
    </row>
    <row r="139" spans="1:17">
      <c r="A139" s="3" t="s">
        <v>390</v>
      </c>
      <c r="B139" s="3" t="s">
        <v>391</v>
      </c>
      <c r="C139" s="5" t="s">
        <v>19</v>
      </c>
      <c r="D139" s="3" t="s">
        <v>44</v>
      </c>
      <c r="E139" s="3" t="s">
        <v>170</v>
      </c>
      <c r="F139" s="3" t="s">
        <v>46</v>
      </c>
      <c r="G139" s="3" t="s">
        <v>47</v>
      </c>
      <c r="H139" s="21">
        <v>0</v>
      </c>
      <c r="I139" s="21">
        <v>480.58</v>
      </c>
      <c r="J139" s="21">
        <v>400</v>
      </c>
      <c r="K139" s="21">
        <v>0</v>
      </c>
      <c r="L139" s="22"/>
      <c r="M139" s="21">
        <f>Tabela1[[#This Row],[1ª QZ]]-Tabela1[[#This Row],[SALDO FINAL]]-Tabela1[[#This Row],[SALDO CARTAO]]-Tabela1[[#This Row],[Adiantamento ]]</f>
        <v>-80.579999999999984</v>
      </c>
      <c r="N139" s="21">
        <f>Tabela1[[#This Row],[SALDO REEMBOLSAR]]*$N$4</f>
        <v>0</v>
      </c>
      <c r="O139" s="21">
        <f>IF(Tabela1[[#This Row],[CARGA PARCIAL]]&lt;0,0,Tabela1[[#This Row],[CARGA PARCIAL]])+Tabela1[[#This Row],[REEMBOLSO]]</f>
        <v>0</v>
      </c>
      <c r="Q139" t="s">
        <v>24</v>
      </c>
    </row>
    <row r="140" spans="1:17">
      <c r="A140" s="3" t="s">
        <v>392</v>
      </c>
      <c r="B140" s="3" t="s">
        <v>393</v>
      </c>
      <c r="C140" s="5" t="s">
        <v>19</v>
      </c>
      <c r="D140" s="3" t="s">
        <v>30</v>
      </c>
      <c r="E140" s="3" t="s">
        <v>394</v>
      </c>
      <c r="F140" s="3" t="s">
        <v>32</v>
      </c>
      <c r="G140" s="3" t="s">
        <v>33</v>
      </c>
      <c r="H140" s="21">
        <v>0</v>
      </c>
      <c r="I140" s="21">
        <v>476.39999999999054</v>
      </c>
      <c r="J140" s="21">
        <v>400</v>
      </c>
      <c r="K140" s="21">
        <v>0</v>
      </c>
      <c r="L140" s="22"/>
      <c r="M140" s="21">
        <f>Tabela1[[#This Row],[1ª QZ]]-Tabela1[[#This Row],[SALDO FINAL]]-Tabela1[[#This Row],[SALDO CARTAO]]-Tabela1[[#This Row],[Adiantamento ]]</f>
        <v>-76.399999999990541</v>
      </c>
      <c r="N140" s="21">
        <f>Tabela1[[#This Row],[SALDO REEMBOLSAR]]*$N$4</f>
        <v>0</v>
      </c>
      <c r="O140" s="21">
        <f>IF(Tabela1[[#This Row],[CARGA PARCIAL]]&lt;0,0,Tabela1[[#This Row],[CARGA PARCIAL]])+Tabela1[[#This Row],[REEMBOLSO]]</f>
        <v>0</v>
      </c>
      <c r="Q140" t="s">
        <v>24</v>
      </c>
    </row>
    <row r="141" spans="1:17">
      <c r="A141" s="3" t="s">
        <v>395</v>
      </c>
      <c r="B141" s="3" t="s">
        <v>396</v>
      </c>
      <c r="C141" s="5" t="s">
        <v>19</v>
      </c>
      <c r="D141" s="3" t="s">
        <v>44</v>
      </c>
      <c r="E141" s="3" t="s">
        <v>397</v>
      </c>
      <c r="F141" s="3" t="s">
        <v>46</v>
      </c>
      <c r="G141" s="3" t="s">
        <v>47</v>
      </c>
      <c r="H141" s="21">
        <v>0</v>
      </c>
      <c r="I141" s="21">
        <v>459.6</v>
      </c>
      <c r="J141" s="21">
        <v>750</v>
      </c>
      <c r="K141" s="21">
        <v>187.1</v>
      </c>
      <c r="L141" s="22"/>
      <c r="M141" s="21">
        <f>Tabela1[[#This Row],[1ª QZ]]-Tabela1[[#This Row],[SALDO FINAL]]-Tabela1[[#This Row],[SALDO CARTAO]]-Tabela1[[#This Row],[Adiantamento ]]</f>
        <v>103.29999999999998</v>
      </c>
      <c r="N141" s="21">
        <f>Tabela1[[#This Row],[SALDO REEMBOLSAR]]*$N$4</f>
        <v>0</v>
      </c>
      <c r="O141" s="21">
        <f>IF(Tabela1[[#This Row],[CARGA PARCIAL]]&lt;0,0,Tabela1[[#This Row],[CARGA PARCIAL]])+Tabela1[[#This Row],[REEMBOLSO]]</f>
        <v>103.29999999999998</v>
      </c>
      <c r="Q141" t="s">
        <v>24</v>
      </c>
    </row>
    <row r="142" spans="1:17">
      <c r="A142" s="3" t="s">
        <v>398</v>
      </c>
      <c r="B142" s="3" t="s">
        <v>399</v>
      </c>
      <c r="C142" s="5" t="s">
        <v>19</v>
      </c>
      <c r="D142" s="3" t="s">
        <v>30</v>
      </c>
      <c r="E142" s="3" t="s">
        <v>400</v>
      </c>
      <c r="F142" s="3" t="s">
        <v>32</v>
      </c>
      <c r="G142" s="3" t="s">
        <v>33</v>
      </c>
      <c r="H142" s="21">
        <v>0</v>
      </c>
      <c r="I142" s="21">
        <v>458.78000000000003</v>
      </c>
      <c r="J142" s="21">
        <v>300</v>
      </c>
      <c r="K142" s="21">
        <v>24.32</v>
      </c>
      <c r="L142" s="22"/>
      <c r="M142" s="21">
        <f>Tabela1[[#This Row],[1ª QZ]]-Tabela1[[#This Row],[SALDO FINAL]]-Tabela1[[#This Row],[SALDO CARTAO]]-Tabela1[[#This Row],[Adiantamento ]]</f>
        <v>-183.10000000000002</v>
      </c>
      <c r="N142" s="21">
        <f>Tabela1[[#This Row],[SALDO REEMBOLSAR]]*$N$4</f>
        <v>0</v>
      </c>
      <c r="O142" s="21">
        <f>IF(Tabela1[[#This Row],[CARGA PARCIAL]]&lt;0,0,Tabela1[[#This Row],[CARGA PARCIAL]])+Tabela1[[#This Row],[REEMBOLSO]]</f>
        <v>0</v>
      </c>
      <c r="Q142" t="s">
        <v>24</v>
      </c>
    </row>
    <row r="143" spans="1:17">
      <c r="A143" s="3" t="s">
        <v>401</v>
      </c>
      <c r="B143" s="3" t="s">
        <v>402</v>
      </c>
      <c r="C143" s="5" t="s">
        <v>19</v>
      </c>
      <c r="D143" s="3" t="s">
        <v>30</v>
      </c>
      <c r="E143" s="3" t="s">
        <v>206</v>
      </c>
      <c r="F143" s="3" t="s">
        <v>32</v>
      </c>
      <c r="G143" s="3" t="s">
        <v>33</v>
      </c>
      <c r="H143" s="21">
        <v>0</v>
      </c>
      <c r="I143" s="21">
        <v>458.53</v>
      </c>
      <c r="J143" s="21">
        <v>240</v>
      </c>
      <c r="K143" s="21">
        <v>0</v>
      </c>
      <c r="L143" s="22"/>
      <c r="M143" s="21">
        <f>Tabela1[[#This Row],[1ª QZ]]-Tabela1[[#This Row],[SALDO FINAL]]-Tabela1[[#This Row],[SALDO CARTAO]]-Tabela1[[#This Row],[Adiantamento ]]</f>
        <v>-218.52999999999997</v>
      </c>
      <c r="N143" s="21">
        <f>Tabela1[[#This Row],[SALDO REEMBOLSAR]]*$N$4</f>
        <v>0</v>
      </c>
      <c r="O143" s="21">
        <f>IF(Tabela1[[#This Row],[CARGA PARCIAL]]&lt;0,0,Tabela1[[#This Row],[CARGA PARCIAL]])+Tabela1[[#This Row],[REEMBOLSO]]</f>
        <v>0</v>
      </c>
      <c r="Q143" t="s">
        <v>24</v>
      </c>
    </row>
    <row r="144" spans="1:17">
      <c r="A144" s="3" t="s">
        <v>403</v>
      </c>
      <c r="B144" s="3" t="s">
        <v>404</v>
      </c>
      <c r="C144" s="5" t="s">
        <v>19</v>
      </c>
      <c r="D144" s="3" t="s">
        <v>20</v>
      </c>
      <c r="E144" s="3" t="s">
        <v>405</v>
      </c>
      <c r="F144" s="3" t="s">
        <v>22</v>
      </c>
      <c r="G144" s="3" t="s">
        <v>23</v>
      </c>
      <c r="H144" s="21">
        <v>0</v>
      </c>
      <c r="I144" s="21">
        <v>433.30999999998312</v>
      </c>
      <c r="J144" s="21">
        <v>1500</v>
      </c>
      <c r="K144" s="21">
        <v>29</v>
      </c>
      <c r="L144" s="22"/>
      <c r="M144" s="21">
        <f>Tabela1[[#This Row],[1ª QZ]]-Tabela1[[#This Row],[SALDO FINAL]]-Tabela1[[#This Row],[SALDO CARTAO]]-Tabela1[[#This Row],[Adiantamento ]]</f>
        <v>1037.6900000000169</v>
      </c>
      <c r="N144" s="21">
        <f>Tabela1[[#This Row],[SALDO REEMBOLSAR]]*$N$4</f>
        <v>0</v>
      </c>
      <c r="O144" s="21">
        <f>IF(Tabela1[[#This Row],[CARGA PARCIAL]]&lt;0,0,Tabela1[[#This Row],[CARGA PARCIAL]])+Tabela1[[#This Row],[REEMBOLSO]]</f>
        <v>1037.6900000000169</v>
      </c>
      <c r="Q144" t="s">
        <v>24</v>
      </c>
    </row>
    <row r="145" spans="1:17">
      <c r="A145" s="3" t="s">
        <v>406</v>
      </c>
      <c r="B145" s="3" t="s">
        <v>407</v>
      </c>
      <c r="C145" s="5" t="s">
        <v>19</v>
      </c>
      <c r="D145" s="3" t="s">
        <v>101</v>
      </c>
      <c r="E145" s="3" t="s">
        <v>159</v>
      </c>
      <c r="F145" s="3" t="s">
        <v>103</v>
      </c>
      <c r="G145" s="3" t="s">
        <v>33</v>
      </c>
      <c r="H145" s="21">
        <v>0</v>
      </c>
      <c r="I145" s="21">
        <v>402.61000000000456</v>
      </c>
      <c r="J145" s="21">
        <v>2520</v>
      </c>
      <c r="K145" s="21">
        <v>796.91</v>
      </c>
      <c r="L145" s="22"/>
      <c r="M145" s="21">
        <f>Tabela1[[#This Row],[1ª QZ]]-Tabela1[[#This Row],[SALDO FINAL]]-Tabela1[[#This Row],[SALDO CARTAO]]-Tabela1[[#This Row],[Adiantamento ]]</f>
        <v>1320.4799999999955</v>
      </c>
      <c r="N145" s="21">
        <f>Tabela1[[#This Row],[SALDO REEMBOLSAR]]*$N$4</f>
        <v>0</v>
      </c>
      <c r="O145" s="21">
        <f>IF(Tabela1[[#This Row],[CARGA PARCIAL]]&lt;0,0,Tabela1[[#This Row],[CARGA PARCIAL]])+Tabela1[[#This Row],[REEMBOLSO]]</f>
        <v>1320.4799999999955</v>
      </c>
      <c r="Q145" t="s">
        <v>24</v>
      </c>
    </row>
    <row r="146" spans="1:17">
      <c r="A146" s="3" t="s">
        <v>408</v>
      </c>
      <c r="B146" s="3" t="s">
        <v>409</v>
      </c>
      <c r="C146" s="5" t="s">
        <v>19</v>
      </c>
      <c r="D146" s="3" t="s">
        <v>44</v>
      </c>
      <c r="E146" s="3" t="s">
        <v>170</v>
      </c>
      <c r="F146" s="3" t="s">
        <v>46</v>
      </c>
      <c r="G146" s="3" t="s">
        <v>47</v>
      </c>
      <c r="H146" s="21">
        <v>0</v>
      </c>
      <c r="I146" s="21">
        <v>399.88999999999908</v>
      </c>
      <c r="J146" s="21">
        <v>500</v>
      </c>
      <c r="K146" s="21">
        <v>37.11</v>
      </c>
      <c r="L146" s="22"/>
      <c r="M146" s="21">
        <f>Tabela1[[#This Row],[1ª QZ]]-Tabela1[[#This Row],[SALDO FINAL]]-Tabela1[[#This Row],[SALDO CARTAO]]-Tabela1[[#This Row],[Adiantamento ]]</f>
        <v>63.000000000000924</v>
      </c>
      <c r="N146" s="21">
        <f>Tabela1[[#This Row],[SALDO REEMBOLSAR]]*$N$4</f>
        <v>0</v>
      </c>
      <c r="O146" s="21">
        <f>IF(Tabela1[[#This Row],[CARGA PARCIAL]]&lt;0,0,Tabela1[[#This Row],[CARGA PARCIAL]])+Tabela1[[#This Row],[REEMBOLSO]]</f>
        <v>63.000000000000924</v>
      </c>
      <c r="Q146" t="s">
        <v>24</v>
      </c>
    </row>
    <row r="147" spans="1:17">
      <c r="A147" s="3" t="s">
        <v>410</v>
      </c>
      <c r="B147" s="3" t="s">
        <v>411</v>
      </c>
      <c r="C147" s="5" t="s">
        <v>19</v>
      </c>
      <c r="D147" s="3" t="s">
        <v>20</v>
      </c>
      <c r="E147" s="3" t="s">
        <v>412</v>
      </c>
      <c r="F147" s="3" t="s">
        <v>22</v>
      </c>
      <c r="G147" s="3" t="s">
        <v>23</v>
      </c>
      <c r="H147" s="21">
        <v>0</v>
      </c>
      <c r="I147" s="21">
        <v>396.99999999999881</v>
      </c>
      <c r="J147" s="21">
        <v>500</v>
      </c>
      <c r="K147" s="21">
        <v>92.3</v>
      </c>
      <c r="L147" s="22"/>
      <c r="M147" s="21">
        <f>Tabela1[[#This Row],[1ª QZ]]-Tabela1[[#This Row],[SALDO FINAL]]-Tabela1[[#This Row],[SALDO CARTAO]]-Tabela1[[#This Row],[Adiantamento ]]</f>
        <v>10.700000000001197</v>
      </c>
      <c r="N147" s="21">
        <f>Tabela1[[#This Row],[SALDO REEMBOLSAR]]*$N$4</f>
        <v>0</v>
      </c>
      <c r="O147" s="21">
        <f>IF(Tabela1[[#This Row],[CARGA PARCIAL]]&lt;0,0,Tabela1[[#This Row],[CARGA PARCIAL]])+Tabela1[[#This Row],[REEMBOLSO]]</f>
        <v>10.700000000001197</v>
      </c>
      <c r="Q147" t="s">
        <v>24</v>
      </c>
    </row>
    <row r="148" spans="1:17">
      <c r="A148" s="3" t="s">
        <v>413</v>
      </c>
      <c r="B148" s="3" t="s">
        <v>414</v>
      </c>
      <c r="C148" s="5" t="s">
        <v>19</v>
      </c>
      <c r="D148" s="3" t="s">
        <v>50</v>
      </c>
      <c r="E148" s="3" t="s">
        <v>152</v>
      </c>
      <c r="F148" s="3" t="s">
        <v>52</v>
      </c>
      <c r="G148" s="3" t="s">
        <v>33</v>
      </c>
      <c r="H148" s="21">
        <v>0</v>
      </c>
      <c r="I148" s="21">
        <v>368.84000000000287</v>
      </c>
      <c r="J148" s="21">
        <v>1000</v>
      </c>
      <c r="K148" s="21">
        <v>661.71</v>
      </c>
      <c r="L148" s="22"/>
      <c r="M148" s="21">
        <f>Tabela1[[#This Row],[1ª QZ]]-Tabela1[[#This Row],[SALDO FINAL]]-Tabela1[[#This Row],[SALDO CARTAO]]-Tabela1[[#This Row],[Adiantamento ]]</f>
        <v>-30.55000000000291</v>
      </c>
      <c r="N148" s="21">
        <f>Tabela1[[#This Row],[SALDO REEMBOLSAR]]*$N$4</f>
        <v>0</v>
      </c>
      <c r="O148" s="21">
        <f>IF(Tabela1[[#This Row],[CARGA PARCIAL]]&lt;0,0,Tabela1[[#This Row],[CARGA PARCIAL]])+Tabela1[[#This Row],[REEMBOLSO]]</f>
        <v>0</v>
      </c>
      <c r="Q148" t="s">
        <v>24</v>
      </c>
    </row>
    <row r="149" spans="1:17">
      <c r="A149" s="3" t="s">
        <v>415</v>
      </c>
      <c r="B149" s="3" t="s">
        <v>416</v>
      </c>
      <c r="C149" s="5" t="s">
        <v>19</v>
      </c>
      <c r="D149" s="3" t="s">
        <v>20</v>
      </c>
      <c r="E149" s="3" t="s">
        <v>417</v>
      </c>
      <c r="F149" s="3" t="s">
        <v>22</v>
      </c>
      <c r="G149" s="3" t="s">
        <v>23</v>
      </c>
      <c r="H149" s="21">
        <v>0</v>
      </c>
      <c r="I149" s="21">
        <v>358.95999999999981</v>
      </c>
      <c r="J149" s="21">
        <v>750</v>
      </c>
      <c r="K149" s="21">
        <v>18.28</v>
      </c>
      <c r="L149" s="22"/>
      <c r="M149" s="21">
        <f>Tabela1[[#This Row],[1ª QZ]]-Tabela1[[#This Row],[SALDO FINAL]]-Tabela1[[#This Row],[SALDO CARTAO]]-Tabela1[[#This Row],[Adiantamento ]]</f>
        <v>372.76000000000022</v>
      </c>
      <c r="N149" s="21">
        <f>Tabela1[[#This Row],[SALDO REEMBOLSAR]]*$N$4</f>
        <v>0</v>
      </c>
      <c r="O149" s="21">
        <f>IF(Tabela1[[#This Row],[CARGA PARCIAL]]&lt;0,0,Tabela1[[#This Row],[CARGA PARCIAL]])+Tabela1[[#This Row],[REEMBOLSO]]</f>
        <v>372.76000000000022</v>
      </c>
      <c r="Q149" t="s">
        <v>24</v>
      </c>
    </row>
    <row r="150" spans="1:17">
      <c r="A150" s="3" t="s">
        <v>418</v>
      </c>
      <c r="B150" s="3" t="s">
        <v>419</v>
      </c>
      <c r="C150" s="5" t="s">
        <v>19</v>
      </c>
      <c r="D150" s="3" t="s">
        <v>66</v>
      </c>
      <c r="E150" s="3" t="s">
        <v>420</v>
      </c>
      <c r="F150" s="3" t="s">
        <v>68</v>
      </c>
      <c r="G150" s="3" t="s">
        <v>23</v>
      </c>
      <c r="H150" s="21">
        <v>0</v>
      </c>
      <c r="I150" s="21">
        <v>354.84000000000196</v>
      </c>
      <c r="J150" s="21">
        <v>700</v>
      </c>
      <c r="K150" s="21">
        <v>3</v>
      </c>
      <c r="L150" s="22"/>
      <c r="M150" s="21">
        <f>Tabela1[[#This Row],[1ª QZ]]-Tabela1[[#This Row],[SALDO FINAL]]-Tabela1[[#This Row],[SALDO CARTAO]]-Tabela1[[#This Row],[Adiantamento ]]</f>
        <v>342.15999999999804</v>
      </c>
      <c r="N150" s="21">
        <f>Tabela1[[#This Row],[SALDO REEMBOLSAR]]*$N$4</f>
        <v>0</v>
      </c>
      <c r="O150" s="21">
        <f>IF(Tabela1[[#This Row],[CARGA PARCIAL]]&lt;0,0,Tabela1[[#This Row],[CARGA PARCIAL]])+Tabela1[[#This Row],[REEMBOLSO]]</f>
        <v>342.15999999999804</v>
      </c>
      <c r="Q150" t="s">
        <v>24</v>
      </c>
    </row>
    <row r="151" spans="1:17">
      <c r="A151" s="3" t="s">
        <v>421</v>
      </c>
      <c r="B151" s="3" t="s">
        <v>422</v>
      </c>
      <c r="C151" s="5" t="s">
        <v>19</v>
      </c>
      <c r="D151" s="3" t="s">
        <v>101</v>
      </c>
      <c r="E151" s="3" t="s">
        <v>159</v>
      </c>
      <c r="F151" s="3" t="s">
        <v>103</v>
      </c>
      <c r="G151" s="3" t="s">
        <v>33</v>
      </c>
      <c r="H151" s="21">
        <v>0</v>
      </c>
      <c r="I151" s="21">
        <v>353.00000000000006</v>
      </c>
      <c r="J151" s="21">
        <v>120</v>
      </c>
      <c r="K151" s="21">
        <v>30.16</v>
      </c>
      <c r="L151" s="22"/>
      <c r="M151" s="21">
        <f>Tabela1[[#This Row],[1ª QZ]]-Tabela1[[#This Row],[SALDO FINAL]]-Tabela1[[#This Row],[SALDO CARTAO]]-Tabela1[[#This Row],[Adiantamento ]]</f>
        <v>-263.16000000000008</v>
      </c>
      <c r="N151" s="21">
        <f>Tabela1[[#This Row],[SALDO REEMBOLSAR]]*$N$4</f>
        <v>0</v>
      </c>
      <c r="O151" s="21">
        <f>IF(Tabela1[[#This Row],[CARGA PARCIAL]]&lt;0,0,Tabela1[[#This Row],[CARGA PARCIAL]])+Tabela1[[#This Row],[REEMBOLSO]]</f>
        <v>0</v>
      </c>
      <c r="Q151" t="s">
        <v>24</v>
      </c>
    </row>
    <row r="152" spans="1:17">
      <c r="A152" s="3" t="s">
        <v>423</v>
      </c>
      <c r="B152" s="3" t="s">
        <v>424</v>
      </c>
      <c r="C152" s="5" t="s">
        <v>19</v>
      </c>
      <c r="D152" s="3" t="s">
        <v>74</v>
      </c>
      <c r="E152" s="3" t="s">
        <v>75</v>
      </c>
      <c r="F152" s="3" t="s">
        <v>76</v>
      </c>
      <c r="G152" s="3" t="s">
        <v>23</v>
      </c>
      <c r="H152" s="21">
        <v>0</v>
      </c>
      <c r="I152" s="21">
        <v>349.30999999999403</v>
      </c>
      <c r="J152" s="21">
        <v>1600</v>
      </c>
      <c r="K152" s="21">
        <v>6</v>
      </c>
      <c r="L152" s="22"/>
      <c r="M152" s="21">
        <f>Tabela1[[#This Row],[1ª QZ]]-Tabela1[[#This Row],[SALDO FINAL]]-Tabela1[[#This Row],[SALDO CARTAO]]-Tabela1[[#This Row],[Adiantamento ]]</f>
        <v>1244.690000000006</v>
      </c>
      <c r="N152" s="21">
        <f>Tabela1[[#This Row],[SALDO REEMBOLSAR]]*$N$4</f>
        <v>0</v>
      </c>
      <c r="O152" s="21">
        <f>IF(Tabela1[[#This Row],[CARGA PARCIAL]]&lt;0,0,Tabela1[[#This Row],[CARGA PARCIAL]])+Tabela1[[#This Row],[REEMBOLSO]]</f>
        <v>1244.690000000006</v>
      </c>
      <c r="Q152" t="s">
        <v>24</v>
      </c>
    </row>
    <row r="153" spans="1:17">
      <c r="A153" s="3" t="s">
        <v>425</v>
      </c>
      <c r="B153" s="3" t="s">
        <v>426</v>
      </c>
      <c r="C153" s="5" t="s">
        <v>19</v>
      </c>
      <c r="D153" s="3" t="s">
        <v>74</v>
      </c>
      <c r="E153" s="3" t="s">
        <v>75</v>
      </c>
      <c r="F153" s="3" t="s">
        <v>76</v>
      </c>
      <c r="G153" s="3" t="s">
        <v>23</v>
      </c>
      <c r="H153" s="21">
        <v>0</v>
      </c>
      <c r="I153" s="21">
        <v>347.68999999999983</v>
      </c>
      <c r="J153" s="21">
        <v>1000</v>
      </c>
      <c r="K153" s="21">
        <v>12.72</v>
      </c>
      <c r="L153" s="22"/>
      <c r="M153" s="21">
        <f>Tabela1[[#This Row],[1ª QZ]]-Tabela1[[#This Row],[SALDO FINAL]]-Tabela1[[#This Row],[SALDO CARTAO]]-Tabela1[[#This Row],[Adiantamento ]]</f>
        <v>639.59000000000015</v>
      </c>
      <c r="N153" s="21">
        <f>Tabela1[[#This Row],[SALDO REEMBOLSAR]]*$N$4</f>
        <v>0</v>
      </c>
      <c r="O153" s="21">
        <f>IF(Tabela1[[#This Row],[CARGA PARCIAL]]&lt;0,0,Tabela1[[#This Row],[CARGA PARCIAL]])+Tabela1[[#This Row],[REEMBOLSO]]</f>
        <v>639.59000000000015</v>
      </c>
      <c r="Q153" t="s">
        <v>24</v>
      </c>
    </row>
    <row r="154" spans="1:17">
      <c r="A154" s="3" t="s">
        <v>427</v>
      </c>
      <c r="B154" s="3" t="s">
        <v>428</v>
      </c>
      <c r="C154" s="5" t="s">
        <v>19</v>
      </c>
      <c r="D154" s="3" t="s">
        <v>30</v>
      </c>
      <c r="E154" s="3" t="s">
        <v>327</v>
      </c>
      <c r="F154" s="3" t="s">
        <v>32</v>
      </c>
      <c r="G154" s="3" t="s">
        <v>33</v>
      </c>
      <c r="H154" s="21">
        <v>0</v>
      </c>
      <c r="I154" s="21">
        <v>337.07999999999925</v>
      </c>
      <c r="J154" s="21">
        <v>2000</v>
      </c>
      <c r="K154" s="21">
        <v>0</v>
      </c>
      <c r="L154" s="22"/>
      <c r="M154" s="21">
        <f>Tabela1[[#This Row],[1ª QZ]]-Tabela1[[#This Row],[SALDO FINAL]]-Tabela1[[#This Row],[SALDO CARTAO]]-Tabela1[[#This Row],[Adiantamento ]]</f>
        <v>1662.9200000000008</v>
      </c>
      <c r="N154" s="21">
        <f>Tabela1[[#This Row],[SALDO REEMBOLSAR]]*$N$4</f>
        <v>0</v>
      </c>
      <c r="O154" s="21">
        <f>IF(Tabela1[[#This Row],[CARGA PARCIAL]]&lt;0,0,Tabela1[[#This Row],[CARGA PARCIAL]])+Tabela1[[#This Row],[REEMBOLSO]]</f>
        <v>1662.9200000000008</v>
      </c>
      <c r="Q154" t="s">
        <v>24</v>
      </c>
    </row>
    <row r="155" spans="1:17">
      <c r="A155" s="3" t="s">
        <v>429</v>
      </c>
      <c r="B155" s="3" t="s">
        <v>430</v>
      </c>
      <c r="C155" s="5" t="s">
        <v>19</v>
      </c>
      <c r="D155" s="3" t="s">
        <v>30</v>
      </c>
      <c r="E155" s="3" t="s">
        <v>431</v>
      </c>
      <c r="F155" s="3" t="s">
        <v>32</v>
      </c>
      <c r="G155" s="3" t="s">
        <v>33</v>
      </c>
      <c r="H155" s="21">
        <v>0</v>
      </c>
      <c r="I155" s="21">
        <v>336.2</v>
      </c>
      <c r="J155" s="21">
        <v>400</v>
      </c>
      <c r="K155" s="21">
        <v>89.3</v>
      </c>
      <c r="L155" s="22"/>
      <c r="M155" s="21">
        <f>Tabela1[[#This Row],[1ª QZ]]-Tabela1[[#This Row],[SALDO FINAL]]-Tabela1[[#This Row],[SALDO CARTAO]]-Tabela1[[#This Row],[Adiantamento ]]</f>
        <v>-25.499999999999986</v>
      </c>
      <c r="N155" s="21">
        <f>Tabela1[[#This Row],[SALDO REEMBOLSAR]]*$N$4</f>
        <v>0</v>
      </c>
      <c r="O155" s="21">
        <f>IF(Tabela1[[#This Row],[CARGA PARCIAL]]&lt;0,0,Tabela1[[#This Row],[CARGA PARCIAL]])+Tabela1[[#This Row],[REEMBOLSO]]</f>
        <v>0</v>
      </c>
      <c r="Q155" t="s">
        <v>24</v>
      </c>
    </row>
    <row r="156" spans="1:17">
      <c r="A156" s="3" t="s">
        <v>432</v>
      </c>
      <c r="B156" s="3" t="s">
        <v>433</v>
      </c>
      <c r="C156" s="5" t="s">
        <v>19</v>
      </c>
      <c r="D156" s="3" t="s">
        <v>50</v>
      </c>
      <c r="E156" s="3" t="s">
        <v>122</v>
      </c>
      <c r="F156" s="3" t="s">
        <v>52</v>
      </c>
      <c r="G156" s="3" t="s">
        <v>33</v>
      </c>
      <c r="H156" s="21">
        <v>0</v>
      </c>
      <c r="I156" s="21">
        <v>328.66000000000327</v>
      </c>
      <c r="J156" s="21">
        <v>1600</v>
      </c>
      <c r="K156" s="21">
        <v>89.99</v>
      </c>
      <c r="L156" s="22"/>
      <c r="M156" s="21">
        <f>Tabela1[[#This Row],[1ª QZ]]-Tabela1[[#This Row],[SALDO FINAL]]-Tabela1[[#This Row],[SALDO CARTAO]]-Tabela1[[#This Row],[Adiantamento ]]</f>
        <v>1181.3499999999967</v>
      </c>
      <c r="N156" s="21">
        <f>Tabela1[[#This Row],[SALDO REEMBOLSAR]]*$N$4</f>
        <v>0</v>
      </c>
      <c r="O156" s="21">
        <f>IF(Tabela1[[#This Row],[CARGA PARCIAL]]&lt;0,0,Tabela1[[#This Row],[CARGA PARCIAL]])+Tabela1[[#This Row],[REEMBOLSO]]</f>
        <v>1181.3499999999967</v>
      </c>
      <c r="Q156" t="s">
        <v>24</v>
      </c>
    </row>
    <row r="157" spans="1:17">
      <c r="A157" s="3" t="s">
        <v>434</v>
      </c>
      <c r="B157" s="3" t="s">
        <v>435</v>
      </c>
      <c r="C157" s="5" t="s">
        <v>19</v>
      </c>
      <c r="D157" s="3" t="s">
        <v>50</v>
      </c>
      <c r="E157" s="3" t="s">
        <v>134</v>
      </c>
      <c r="F157" s="3" t="s">
        <v>52</v>
      </c>
      <c r="G157" s="3" t="s">
        <v>33</v>
      </c>
      <c r="H157" s="21">
        <v>0</v>
      </c>
      <c r="I157" s="21">
        <v>327.32999999999993</v>
      </c>
      <c r="J157" s="21">
        <v>1500</v>
      </c>
      <c r="K157" s="21">
        <v>6</v>
      </c>
      <c r="L157" s="22"/>
      <c r="M157" s="21">
        <f>Tabela1[[#This Row],[1ª QZ]]-Tabela1[[#This Row],[SALDO FINAL]]-Tabela1[[#This Row],[SALDO CARTAO]]-Tabela1[[#This Row],[Adiantamento ]]</f>
        <v>1166.67</v>
      </c>
      <c r="N157" s="21">
        <f>Tabela1[[#This Row],[SALDO REEMBOLSAR]]*$N$4</f>
        <v>0</v>
      </c>
      <c r="O157" s="21">
        <f>IF(Tabela1[[#This Row],[CARGA PARCIAL]]&lt;0,0,Tabela1[[#This Row],[CARGA PARCIAL]])+Tabela1[[#This Row],[REEMBOLSO]]</f>
        <v>1166.67</v>
      </c>
      <c r="Q157" t="s">
        <v>24</v>
      </c>
    </row>
    <row r="158" spans="1:17">
      <c r="A158" s="3" t="s">
        <v>436</v>
      </c>
      <c r="B158" s="3" t="s">
        <v>437</v>
      </c>
      <c r="C158" s="5" t="s">
        <v>19</v>
      </c>
      <c r="D158" s="3" t="s">
        <v>30</v>
      </c>
      <c r="E158" s="3" t="s">
        <v>438</v>
      </c>
      <c r="F158" s="3" t="s">
        <v>32</v>
      </c>
      <c r="G158" s="3" t="s">
        <v>33</v>
      </c>
      <c r="H158" s="21">
        <v>0</v>
      </c>
      <c r="I158" s="21">
        <v>320.44999999999891</v>
      </c>
      <c r="J158" s="21">
        <v>2710</v>
      </c>
      <c r="K158" s="21">
        <v>969.02</v>
      </c>
      <c r="L158" s="22"/>
      <c r="M158" s="21">
        <f>Tabela1[[#This Row],[1ª QZ]]-Tabela1[[#This Row],[SALDO FINAL]]-Tabela1[[#This Row],[SALDO CARTAO]]-Tabela1[[#This Row],[Adiantamento ]]</f>
        <v>1420.5300000000011</v>
      </c>
      <c r="N158" s="21">
        <f>Tabela1[[#This Row],[SALDO REEMBOLSAR]]*$N$4</f>
        <v>0</v>
      </c>
      <c r="O158" s="21">
        <f>IF(Tabela1[[#This Row],[CARGA PARCIAL]]&lt;0,0,Tabela1[[#This Row],[CARGA PARCIAL]])+Tabela1[[#This Row],[REEMBOLSO]]</f>
        <v>1420.5300000000011</v>
      </c>
      <c r="Q158" t="s">
        <v>24</v>
      </c>
    </row>
    <row r="159" spans="1:17">
      <c r="A159" s="3" t="s">
        <v>439</v>
      </c>
      <c r="B159" s="3" t="s">
        <v>440</v>
      </c>
      <c r="C159" s="5" t="s">
        <v>19</v>
      </c>
      <c r="D159" s="3" t="s">
        <v>36</v>
      </c>
      <c r="E159" s="3" t="s">
        <v>142</v>
      </c>
      <c r="F159" s="3" t="s">
        <v>38</v>
      </c>
      <c r="G159" s="3" t="s">
        <v>23</v>
      </c>
      <c r="H159" s="21">
        <v>0</v>
      </c>
      <c r="I159" s="21">
        <v>314.10999999999876</v>
      </c>
      <c r="J159" s="21">
        <v>1500</v>
      </c>
      <c r="K159" s="21">
        <v>586</v>
      </c>
      <c r="L159" s="22"/>
      <c r="M159" s="21">
        <f>Tabela1[[#This Row],[1ª QZ]]-Tabela1[[#This Row],[SALDO FINAL]]-Tabela1[[#This Row],[SALDO CARTAO]]-Tabela1[[#This Row],[Adiantamento ]]</f>
        <v>599.89000000000124</v>
      </c>
      <c r="N159" s="21">
        <f>Tabela1[[#This Row],[SALDO REEMBOLSAR]]*$N$4</f>
        <v>0</v>
      </c>
      <c r="O159" s="21">
        <f>IF(Tabela1[[#This Row],[CARGA PARCIAL]]&lt;0,0,Tabela1[[#This Row],[CARGA PARCIAL]])+Tabela1[[#This Row],[REEMBOLSO]]</f>
        <v>599.89000000000124</v>
      </c>
      <c r="Q159" t="s">
        <v>24</v>
      </c>
    </row>
    <row r="160" spans="1:17">
      <c r="A160" s="3" t="s">
        <v>441</v>
      </c>
      <c r="B160" s="3" t="s">
        <v>442</v>
      </c>
      <c r="C160" s="5" t="s">
        <v>19</v>
      </c>
      <c r="D160" s="3" t="s">
        <v>44</v>
      </c>
      <c r="E160" s="3" t="s">
        <v>182</v>
      </c>
      <c r="F160" s="3" t="s">
        <v>46</v>
      </c>
      <c r="G160" s="3" t="s">
        <v>47</v>
      </c>
      <c r="H160" s="21">
        <v>0</v>
      </c>
      <c r="I160" s="21">
        <v>307</v>
      </c>
      <c r="J160" s="21">
        <v>750</v>
      </c>
      <c r="K160" s="21">
        <v>0</v>
      </c>
      <c r="L160" s="22"/>
      <c r="M160" s="21">
        <f>Tabela1[[#This Row],[1ª QZ]]-Tabela1[[#This Row],[SALDO FINAL]]-Tabela1[[#This Row],[SALDO CARTAO]]-Tabela1[[#This Row],[Adiantamento ]]</f>
        <v>443</v>
      </c>
      <c r="N160" s="21">
        <f>Tabela1[[#This Row],[SALDO REEMBOLSAR]]*$N$4</f>
        <v>0</v>
      </c>
      <c r="O160" s="21">
        <f>IF(Tabela1[[#This Row],[CARGA PARCIAL]]&lt;0,0,Tabela1[[#This Row],[CARGA PARCIAL]])+Tabela1[[#This Row],[REEMBOLSO]]</f>
        <v>443</v>
      </c>
      <c r="Q160" t="s">
        <v>24</v>
      </c>
    </row>
    <row r="161" spans="1:17">
      <c r="A161" s="3" t="s">
        <v>443</v>
      </c>
      <c r="B161" s="3" t="s">
        <v>444</v>
      </c>
      <c r="C161" s="5" t="s">
        <v>19</v>
      </c>
      <c r="D161" s="3" t="s">
        <v>44</v>
      </c>
      <c r="E161" s="3" t="s">
        <v>445</v>
      </c>
      <c r="F161" s="3" t="s">
        <v>46</v>
      </c>
      <c r="G161" s="3" t="s">
        <v>47</v>
      </c>
      <c r="H161" s="21">
        <v>0</v>
      </c>
      <c r="I161" s="21">
        <v>305.76999999999623</v>
      </c>
      <c r="J161" s="21">
        <v>1000</v>
      </c>
      <c r="K161" s="21">
        <v>707.64</v>
      </c>
      <c r="L161" s="22"/>
      <c r="M161" s="21">
        <f>Tabela1[[#This Row],[1ª QZ]]-Tabela1[[#This Row],[SALDO FINAL]]-Tabela1[[#This Row],[SALDO CARTAO]]-Tabela1[[#This Row],[Adiantamento ]]</f>
        <v>-13.409999999996217</v>
      </c>
      <c r="N161" s="21">
        <f>Tabela1[[#This Row],[SALDO REEMBOLSAR]]*$N$4</f>
        <v>0</v>
      </c>
      <c r="O161" s="21">
        <f>IF(Tabela1[[#This Row],[CARGA PARCIAL]]&lt;0,0,Tabela1[[#This Row],[CARGA PARCIAL]])+Tabela1[[#This Row],[REEMBOLSO]]</f>
        <v>0</v>
      </c>
      <c r="Q161" t="s">
        <v>24</v>
      </c>
    </row>
    <row r="162" spans="1:17">
      <c r="A162" s="3" t="s">
        <v>446</v>
      </c>
      <c r="B162" s="3" t="s">
        <v>447</v>
      </c>
      <c r="C162" s="5" t="s">
        <v>19</v>
      </c>
      <c r="D162" s="3" t="s">
        <v>30</v>
      </c>
      <c r="E162" s="3" t="s">
        <v>117</v>
      </c>
      <c r="F162" s="3" t="s">
        <v>32</v>
      </c>
      <c r="G162" s="3" t="s">
        <v>33</v>
      </c>
      <c r="H162" s="21">
        <v>0</v>
      </c>
      <c r="I162" s="21">
        <v>302.64999999999992</v>
      </c>
      <c r="J162" s="21">
        <v>800</v>
      </c>
      <c r="K162" s="21">
        <v>96.43</v>
      </c>
      <c r="L162" s="22"/>
      <c r="M162" s="21">
        <f>Tabela1[[#This Row],[1ª QZ]]-Tabela1[[#This Row],[SALDO FINAL]]-Tabela1[[#This Row],[SALDO CARTAO]]-Tabela1[[#This Row],[Adiantamento ]]</f>
        <v>400.92000000000007</v>
      </c>
      <c r="N162" s="21">
        <f>Tabela1[[#This Row],[SALDO REEMBOLSAR]]*$N$4</f>
        <v>0</v>
      </c>
      <c r="O162" s="21">
        <f>IF(Tabela1[[#This Row],[CARGA PARCIAL]]&lt;0,0,Tabela1[[#This Row],[CARGA PARCIAL]])+Tabela1[[#This Row],[REEMBOLSO]]</f>
        <v>400.92000000000007</v>
      </c>
      <c r="Q162" t="s">
        <v>24</v>
      </c>
    </row>
    <row r="163" spans="1:17">
      <c r="A163" s="3" t="s">
        <v>448</v>
      </c>
      <c r="B163" s="3" t="s">
        <v>449</v>
      </c>
      <c r="C163" s="5" t="s">
        <v>19</v>
      </c>
      <c r="D163" s="3" t="s">
        <v>50</v>
      </c>
      <c r="E163" s="3" t="s">
        <v>122</v>
      </c>
      <c r="F163" s="3" t="s">
        <v>52</v>
      </c>
      <c r="G163" s="3" t="s">
        <v>33</v>
      </c>
      <c r="H163" s="21">
        <v>0</v>
      </c>
      <c r="I163" s="21">
        <v>302.31000000000427</v>
      </c>
      <c r="J163" s="21">
        <v>800</v>
      </c>
      <c r="K163" s="21">
        <v>102.22</v>
      </c>
      <c r="L163" s="22"/>
      <c r="M163" s="21">
        <f>Tabela1[[#This Row],[1ª QZ]]-Tabela1[[#This Row],[SALDO FINAL]]-Tabela1[[#This Row],[SALDO CARTAO]]-Tabela1[[#This Row],[Adiantamento ]]</f>
        <v>395.46999999999571</v>
      </c>
      <c r="N163" s="21">
        <f>Tabela1[[#This Row],[SALDO REEMBOLSAR]]*$N$4</f>
        <v>0</v>
      </c>
      <c r="O163" s="21">
        <f>IF(Tabela1[[#This Row],[CARGA PARCIAL]]&lt;0,0,Tabela1[[#This Row],[CARGA PARCIAL]])+Tabela1[[#This Row],[REEMBOLSO]]</f>
        <v>395.46999999999571</v>
      </c>
      <c r="Q163" t="s">
        <v>24</v>
      </c>
    </row>
    <row r="164" spans="1:17">
      <c r="A164" s="3" t="s">
        <v>450</v>
      </c>
      <c r="B164" s="3" t="s">
        <v>451</v>
      </c>
      <c r="C164" s="5" t="s">
        <v>452</v>
      </c>
      <c r="D164" s="3" t="s">
        <v>101</v>
      </c>
      <c r="E164" s="3" t="s">
        <v>159</v>
      </c>
      <c r="F164" s="3" t="s">
        <v>103</v>
      </c>
      <c r="G164" s="3" t="s">
        <v>33</v>
      </c>
      <c r="H164" s="21">
        <v>0</v>
      </c>
      <c r="I164" s="21">
        <v>300.00000000000011</v>
      </c>
      <c r="J164" s="21">
        <v>120</v>
      </c>
      <c r="K164" s="21">
        <v>0</v>
      </c>
      <c r="L164" s="22"/>
      <c r="M164" s="21">
        <f>Tabela1[[#This Row],[1ª QZ]]-Tabela1[[#This Row],[SALDO FINAL]]-Tabela1[[#This Row],[SALDO CARTAO]]-Tabela1[[#This Row],[Adiantamento ]]</f>
        <v>-180.00000000000011</v>
      </c>
      <c r="N164" s="21">
        <f>Tabela1[[#This Row],[SALDO REEMBOLSAR]]*$N$4</f>
        <v>0</v>
      </c>
      <c r="O164" s="21">
        <f>IF(Tabela1[[#This Row],[CARGA PARCIAL]]&lt;0,0,Tabela1[[#This Row],[CARGA PARCIAL]])+Tabela1[[#This Row],[REEMBOLSO]]</f>
        <v>0</v>
      </c>
      <c r="Q164" t="s">
        <v>24</v>
      </c>
    </row>
    <row r="165" spans="1:17">
      <c r="A165" s="3" t="s">
        <v>453</v>
      </c>
      <c r="B165" s="3" t="s">
        <v>454</v>
      </c>
      <c r="C165" s="5" t="s">
        <v>19</v>
      </c>
      <c r="D165" s="3" t="s">
        <v>44</v>
      </c>
      <c r="E165" s="3" t="s">
        <v>455</v>
      </c>
      <c r="F165" s="3" t="s">
        <v>46</v>
      </c>
      <c r="G165" s="3" t="s">
        <v>47</v>
      </c>
      <c r="H165" s="21">
        <v>0</v>
      </c>
      <c r="I165" s="21">
        <v>300</v>
      </c>
      <c r="J165" s="21">
        <v>300</v>
      </c>
      <c r="K165" s="21">
        <v>0</v>
      </c>
      <c r="L165" s="22"/>
      <c r="M165" s="21">
        <f>Tabela1[[#This Row],[1ª QZ]]-Tabela1[[#This Row],[SALDO FINAL]]-Tabela1[[#This Row],[SALDO CARTAO]]-Tabela1[[#This Row],[Adiantamento ]]</f>
        <v>0</v>
      </c>
      <c r="N165" s="21">
        <f>Tabela1[[#This Row],[SALDO REEMBOLSAR]]*$N$4</f>
        <v>0</v>
      </c>
      <c r="O165" s="21">
        <f>IF(Tabela1[[#This Row],[CARGA PARCIAL]]&lt;0,0,Tabela1[[#This Row],[CARGA PARCIAL]])+Tabela1[[#This Row],[REEMBOLSO]]</f>
        <v>0</v>
      </c>
      <c r="Q165" t="s">
        <v>24</v>
      </c>
    </row>
    <row r="166" spans="1:17">
      <c r="A166" s="3" t="s">
        <v>456</v>
      </c>
      <c r="B166" s="3" t="s">
        <v>457</v>
      </c>
      <c r="C166" s="5" t="s">
        <v>19</v>
      </c>
      <c r="D166" s="3" t="s">
        <v>458</v>
      </c>
      <c r="E166" s="3" t="s">
        <v>117</v>
      </c>
      <c r="F166" s="3" t="s">
        <v>32</v>
      </c>
      <c r="G166" s="3" t="s">
        <v>33</v>
      </c>
      <c r="H166" s="21">
        <v>0</v>
      </c>
      <c r="I166" s="21">
        <v>298.60000000000002</v>
      </c>
      <c r="J166" s="21">
        <v>1000</v>
      </c>
      <c r="K166" s="21">
        <v>369</v>
      </c>
      <c r="L166" s="22"/>
      <c r="M166" s="21">
        <f>Tabela1[[#This Row],[1ª QZ]]-Tabela1[[#This Row],[SALDO FINAL]]-Tabela1[[#This Row],[SALDO CARTAO]]-Tabela1[[#This Row],[Adiantamento ]]</f>
        <v>332.4</v>
      </c>
      <c r="N166" s="21">
        <f>Tabela1[[#This Row],[SALDO REEMBOLSAR]]*$N$4</f>
        <v>0</v>
      </c>
      <c r="O166" s="21">
        <f>IF(Tabela1[[#This Row],[CARGA PARCIAL]]&lt;0,0,Tabela1[[#This Row],[CARGA PARCIAL]])+Tabela1[[#This Row],[REEMBOLSO]]</f>
        <v>332.4</v>
      </c>
      <c r="Q166" t="s">
        <v>24</v>
      </c>
    </row>
    <row r="167" spans="1:17">
      <c r="A167" s="3" t="s">
        <v>459</v>
      </c>
      <c r="B167" s="3" t="s">
        <v>460</v>
      </c>
      <c r="C167" s="5" t="s">
        <v>19</v>
      </c>
      <c r="D167" s="3" t="s">
        <v>458</v>
      </c>
      <c r="E167" s="3" t="s">
        <v>117</v>
      </c>
      <c r="F167" s="3" t="s">
        <v>32</v>
      </c>
      <c r="G167" s="3" t="s">
        <v>33</v>
      </c>
      <c r="H167" s="21">
        <v>0</v>
      </c>
      <c r="I167" s="21">
        <v>278.9999999999996</v>
      </c>
      <c r="J167" s="21">
        <v>800</v>
      </c>
      <c r="K167" s="21">
        <v>130.43</v>
      </c>
      <c r="L167" s="22"/>
      <c r="M167" s="21">
        <f>Tabela1[[#This Row],[1ª QZ]]-Tabela1[[#This Row],[SALDO FINAL]]-Tabela1[[#This Row],[SALDO CARTAO]]-Tabela1[[#This Row],[Adiantamento ]]</f>
        <v>390.57000000000045</v>
      </c>
      <c r="N167" s="21">
        <f>Tabela1[[#This Row],[SALDO REEMBOLSAR]]*$N$4</f>
        <v>0</v>
      </c>
      <c r="O167" s="21">
        <f>IF(Tabela1[[#This Row],[CARGA PARCIAL]]&lt;0,0,Tabela1[[#This Row],[CARGA PARCIAL]])+Tabela1[[#This Row],[REEMBOLSO]]</f>
        <v>390.57000000000045</v>
      </c>
      <c r="Q167" t="s">
        <v>24</v>
      </c>
    </row>
    <row r="168" spans="1:17">
      <c r="A168" s="3" t="s">
        <v>461</v>
      </c>
      <c r="B168" s="3" t="s">
        <v>462</v>
      </c>
      <c r="C168" s="5" t="s">
        <v>19</v>
      </c>
      <c r="D168" s="3" t="s">
        <v>101</v>
      </c>
      <c r="E168" s="3" t="s">
        <v>102</v>
      </c>
      <c r="F168" s="3" t="s">
        <v>103</v>
      </c>
      <c r="G168" s="3" t="s">
        <v>33</v>
      </c>
      <c r="H168" s="21">
        <v>0</v>
      </c>
      <c r="I168" s="21">
        <v>274.00000000000057</v>
      </c>
      <c r="J168" s="21">
        <v>240</v>
      </c>
      <c r="K168" s="21">
        <v>198.4</v>
      </c>
      <c r="L168" s="22"/>
      <c r="M168" s="21">
        <f>Tabela1[[#This Row],[1ª QZ]]-Tabela1[[#This Row],[SALDO FINAL]]-Tabela1[[#This Row],[SALDO CARTAO]]-Tabela1[[#This Row],[Adiantamento ]]</f>
        <v>-232.40000000000057</v>
      </c>
      <c r="N168" s="21">
        <f>Tabela1[[#This Row],[SALDO REEMBOLSAR]]*$N$4</f>
        <v>0</v>
      </c>
      <c r="O168" s="21">
        <f>IF(Tabela1[[#This Row],[CARGA PARCIAL]]&lt;0,0,Tabela1[[#This Row],[CARGA PARCIAL]])+Tabela1[[#This Row],[REEMBOLSO]]</f>
        <v>0</v>
      </c>
      <c r="Q168" t="s">
        <v>24</v>
      </c>
    </row>
    <row r="169" spans="1:17">
      <c r="A169" s="3" t="s">
        <v>463</v>
      </c>
      <c r="B169" s="3" t="s">
        <v>464</v>
      </c>
      <c r="C169" s="5" t="s">
        <v>19</v>
      </c>
      <c r="D169" s="3" t="s">
        <v>44</v>
      </c>
      <c r="E169" s="3" t="s">
        <v>170</v>
      </c>
      <c r="F169" s="3" t="s">
        <v>46</v>
      </c>
      <c r="G169" s="3" t="s">
        <v>47</v>
      </c>
      <c r="H169" s="21">
        <v>0</v>
      </c>
      <c r="I169" s="21">
        <v>263.40999999999991</v>
      </c>
      <c r="J169" s="21">
        <v>700</v>
      </c>
      <c r="K169" s="21">
        <v>23.92</v>
      </c>
      <c r="L169" s="22"/>
      <c r="M169" s="21">
        <f>Tabela1[[#This Row],[1ª QZ]]-Tabela1[[#This Row],[SALDO FINAL]]-Tabela1[[#This Row],[SALDO CARTAO]]-Tabela1[[#This Row],[Adiantamento ]]</f>
        <v>412.67000000000007</v>
      </c>
      <c r="N169" s="21">
        <f>Tabela1[[#This Row],[SALDO REEMBOLSAR]]*$N$4</f>
        <v>0</v>
      </c>
      <c r="O169" s="21">
        <f>IF(Tabela1[[#This Row],[CARGA PARCIAL]]&lt;0,0,Tabela1[[#This Row],[CARGA PARCIAL]])+Tabela1[[#This Row],[REEMBOLSO]]</f>
        <v>412.67000000000007</v>
      </c>
      <c r="Q169" t="s">
        <v>24</v>
      </c>
    </row>
    <row r="170" spans="1:17">
      <c r="A170" s="3" t="s">
        <v>465</v>
      </c>
      <c r="B170" s="3" t="s">
        <v>466</v>
      </c>
      <c r="C170" s="5" t="s">
        <v>19</v>
      </c>
      <c r="D170" s="3" t="s">
        <v>44</v>
      </c>
      <c r="E170" s="3" t="s">
        <v>467</v>
      </c>
      <c r="F170" s="3" t="s">
        <v>46</v>
      </c>
      <c r="G170" s="3" t="s">
        <v>47</v>
      </c>
      <c r="H170" s="21">
        <v>0</v>
      </c>
      <c r="I170" s="21">
        <v>260.32000000003609</v>
      </c>
      <c r="J170" s="21">
        <v>2000</v>
      </c>
      <c r="K170" s="21">
        <v>36</v>
      </c>
      <c r="L170" s="22"/>
      <c r="M170" s="21">
        <f>Tabela1[[#This Row],[1ª QZ]]-Tabela1[[#This Row],[SALDO FINAL]]-Tabela1[[#This Row],[SALDO CARTAO]]-Tabela1[[#This Row],[Adiantamento ]]</f>
        <v>1703.6799999999639</v>
      </c>
      <c r="N170" s="21">
        <f>Tabela1[[#This Row],[SALDO REEMBOLSAR]]*$N$4</f>
        <v>0</v>
      </c>
      <c r="O170" s="21">
        <f>IF(Tabela1[[#This Row],[CARGA PARCIAL]]&lt;0,0,Tabela1[[#This Row],[CARGA PARCIAL]])+Tabela1[[#This Row],[REEMBOLSO]]</f>
        <v>1703.6799999999639</v>
      </c>
      <c r="Q170" t="s">
        <v>24</v>
      </c>
    </row>
    <row r="171" spans="1:17">
      <c r="A171" s="3" t="s">
        <v>468</v>
      </c>
      <c r="B171" s="3" t="s">
        <v>469</v>
      </c>
      <c r="C171" s="5" t="s">
        <v>19</v>
      </c>
      <c r="D171" s="3" t="s">
        <v>44</v>
      </c>
      <c r="E171" s="3" t="s">
        <v>170</v>
      </c>
      <c r="F171" s="3" t="s">
        <v>46</v>
      </c>
      <c r="G171" s="3" t="s">
        <v>47</v>
      </c>
      <c r="H171" s="21">
        <v>0</v>
      </c>
      <c r="I171" s="21">
        <v>259.99999999999955</v>
      </c>
      <c r="J171" s="21">
        <v>250</v>
      </c>
      <c r="K171" s="21">
        <v>1016.06</v>
      </c>
      <c r="L171" s="22"/>
      <c r="M171" s="21">
        <f>Tabela1[[#This Row],[1ª QZ]]-Tabela1[[#This Row],[SALDO FINAL]]-Tabela1[[#This Row],[SALDO CARTAO]]-Tabela1[[#This Row],[Adiantamento ]]</f>
        <v>-1026.0599999999995</v>
      </c>
      <c r="N171" s="21">
        <f>Tabela1[[#This Row],[SALDO REEMBOLSAR]]*$N$4</f>
        <v>0</v>
      </c>
      <c r="O171" s="21">
        <f>IF(Tabela1[[#This Row],[CARGA PARCIAL]]&lt;0,0,Tabela1[[#This Row],[CARGA PARCIAL]])+Tabela1[[#This Row],[REEMBOLSO]]</f>
        <v>0</v>
      </c>
      <c r="Q171" t="s">
        <v>24</v>
      </c>
    </row>
    <row r="172" spans="1:17">
      <c r="A172" s="3" t="s">
        <v>470</v>
      </c>
      <c r="B172" s="3" t="s">
        <v>471</v>
      </c>
      <c r="C172" s="5" t="s">
        <v>19</v>
      </c>
      <c r="D172" s="3" t="s">
        <v>30</v>
      </c>
      <c r="E172" s="3" t="s">
        <v>117</v>
      </c>
      <c r="F172" s="3" t="s">
        <v>32</v>
      </c>
      <c r="G172" s="3" t="s">
        <v>33</v>
      </c>
      <c r="H172" s="21">
        <v>0</v>
      </c>
      <c r="I172" s="21">
        <v>254.90000000000072</v>
      </c>
      <c r="J172" s="21">
        <v>600</v>
      </c>
      <c r="K172" s="21">
        <v>192.8</v>
      </c>
      <c r="L172" s="22"/>
      <c r="M172" s="21">
        <f>Tabela1[[#This Row],[1ª QZ]]-Tabela1[[#This Row],[SALDO FINAL]]-Tabela1[[#This Row],[SALDO CARTAO]]-Tabela1[[#This Row],[Adiantamento ]]</f>
        <v>152.29999999999927</v>
      </c>
      <c r="N172" s="21">
        <f>Tabela1[[#This Row],[SALDO REEMBOLSAR]]*$N$4</f>
        <v>0</v>
      </c>
      <c r="O172" s="21">
        <f>IF(Tabela1[[#This Row],[CARGA PARCIAL]]&lt;0,0,Tabela1[[#This Row],[CARGA PARCIAL]])+Tabela1[[#This Row],[REEMBOLSO]]</f>
        <v>152.29999999999927</v>
      </c>
      <c r="Q172" t="s">
        <v>24</v>
      </c>
    </row>
    <row r="173" spans="1:17">
      <c r="A173" s="3" t="s">
        <v>472</v>
      </c>
      <c r="B173" s="3" t="s">
        <v>473</v>
      </c>
      <c r="C173" s="5" t="s">
        <v>19</v>
      </c>
      <c r="D173" s="3" t="s">
        <v>44</v>
      </c>
      <c r="E173" s="3" t="s">
        <v>219</v>
      </c>
      <c r="F173" s="3" t="s">
        <v>46</v>
      </c>
      <c r="G173" s="3" t="s">
        <v>47</v>
      </c>
      <c r="H173" s="21">
        <v>0</v>
      </c>
      <c r="I173" s="21">
        <v>251.84000000000046</v>
      </c>
      <c r="J173" s="21">
        <v>500</v>
      </c>
      <c r="K173" s="21">
        <v>248.16</v>
      </c>
      <c r="L173" s="22"/>
      <c r="M173" s="21">
        <f>Tabela1[[#This Row],[1ª QZ]]-Tabela1[[#This Row],[SALDO FINAL]]-Tabela1[[#This Row],[SALDO CARTAO]]-Tabela1[[#This Row],[Adiantamento ]]</f>
        <v>-4.5474735088646412E-13</v>
      </c>
      <c r="N173" s="21">
        <f>Tabela1[[#This Row],[SALDO REEMBOLSAR]]*$N$4</f>
        <v>0</v>
      </c>
      <c r="O173" s="21">
        <f>IF(Tabela1[[#This Row],[CARGA PARCIAL]]&lt;0,0,Tabela1[[#This Row],[CARGA PARCIAL]])+Tabela1[[#This Row],[REEMBOLSO]]</f>
        <v>0</v>
      </c>
      <c r="Q173" t="s">
        <v>24</v>
      </c>
    </row>
    <row r="174" spans="1:17">
      <c r="A174" s="3" t="s">
        <v>474</v>
      </c>
      <c r="B174" s="3" t="s">
        <v>475</v>
      </c>
      <c r="C174" s="5" t="s">
        <v>19</v>
      </c>
      <c r="D174" s="3" t="s">
        <v>30</v>
      </c>
      <c r="E174" s="3" t="s">
        <v>117</v>
      </c>
      <c r="F174" s="3" t="s">
        <v>32</v>
      </c>
      <c r="G174" s="3" t="s">
        <v>33</v>
      </c>
      <c r="H174" s="21">
        <v>0</v>
      </c>
      <c r="I174" s="21">
        <v>249.99999999999869</v>
      </c>
      <c r="J174" s="21">
        <v>800</v>
      </c>
      <c r="K174" s="21">
        <v>274.19</v>
      </c>
      <c r="L174" s="22"/>
      <c r="M174" s="21">
        <f>Tabela1[[#This Row],[1ª QZ]]-Tabela1[[#This Row],[SALDO FINAL]]-Tabela1[[#This Row],[SALDO CARTAO]]-Tabela1[[#This Row],[Adiantamento ]]</f>
        <v>275.81000000000137</v>
      </c>
      <c r="N174" s="21">
        <f>Tabela1[[#This Row],[SALDO REEMBOLSAR]]*$N$4</f>
        <v>0</v>
      </c>
      <c r="O174" s="21">
        <f>IF(Tabela1[[#This Row],[CARGA PARCIAL]]&lt;0,0,Tabela1[[#This Row],[CARGA PARCIAL]])+Tabela1[[#This Row],[REEMBOLSO]]</f>
        <v>275.81000000000137</v>
      </c>
      <c r="Q174" t="s">
        <v>24</v>
      </c>
    </row>
    <row r="175" spans="1:17">
      <c r="A175" s="3" t="s">
        <v>476</v>
      </c>
      <c r="B175" s="3" t="s">
        <v>477</v>
      </c>
      <c r="C175" s="5" t="s">
        <v>19</v>
      </c>
      <c r="D175" s="3" t="s">
        <v>101</v>
      </c>
      <c r="E175" s="3" t="s">
        <v>478</v>
      </c>
      <c r="F175" s="3" t="s">
        <v>103</v>
      </c>
      <c r="G175" s="3" t="s">
        <v>33</v>
      </c>
      <c r="H175" s="21">
        <v>0</v>
      </c>
      <c r="I175" s="21">
        <v>243.44999999999993</v>
      </c>
      <c r="J175" s="21">
        <v>150</v>
      </c>
      <c r="K175" s="21">
        <v>6.55</v>
      </c>
      <c r="L175" s="22"/>
      <c r="M175" s="21">
        <f>Tabela1[[#This Row],[1ª QZ]]-Tabela1[[#This Row],[SALDO FINAL]]-Tabela1[[#This Row],[SALDO CARTAO]]-Tabela1[[#This Row],[Adiantamento ]]</f>
        <v>-99.999999999999929</v>
      </c>
      <c r="N175" s="21">
        <f>Tabela1[[#This Row],[SALDO REEMBOLSAR]]*$N$4</f>
        <v>0</v>
      </c>
      <c r="O175" s="21">
        <f>IF(Tabela1[[#This Row],[CARGA PARCIAL]]&lt;0,0,Tabela1[[#This Row],[CARGA PARCIAL]])+Tabela1[[#This Row],[REEMBOLSO]]</f>
        <v>0</v>
      </c>
      <c r="Q175" t="s">
        <v>24</v>
      </c>
    </row>
    <row r="176" spans="1:17">
      <c r="A176" s="3" t="s">
        <v>479</v>
      </c>
      <c r="B176" s="3" t="s">
        <v>480</v>
      </c>
      <c r="C176" s="5" t="s">
        <v>19</v>
      </c>
      <c r="D176" s="3" t="s">
        <v>101</v>
      </c>
      <c r="E176" s="3" t="s">
        <v>159</v>
      </c>
      <c r="F176" s="3" t="s">
        <v>103</v>
      </c>
      <c r="G176" s="3" t="s">
        <v>33</v>
      </c>
      <c r="H176" s="21">
        <v>0</v>
      </c>
      <c r="I176" s="21">
        <v>235</v>
      </c>
      <c r="J176" s="21">
        <v>120</v>
      </c>
      <c r="K176" s="21">
        <v>0</v>
      </c>
      <c r="L176" s="22"/>
      <c r="M176" s="21">
        <f>Tabela1[[#This Row],[1ª QZ]]-Tabela1[[#This Row],[SALDO FINAL]]-Tabela1[[#This Row],[SALDO CARTAO]]-Tabela1[[#This Row],[Adiantamento ]]</f>
        <v>-115</v>
      </c>
      <c r="N176" s="21">
        <f>Tabela1[[#This Row],[SALDO REEMBOLSAR]]*$N$4</f>
        <v>0</v>
      </c>
      <c r="O176" s="21">
        <f>IF(Tabela1[[#This Row],[CARGA PARCIAL]]&lt;0,0,Tabela1[[#This Row],[CARGA PARCIAL]])+Tabela1[[#This Row],[REEMBOLSO]]</f>
        <v>0</v>
      </c>
      <c r="Q176" t="s">
        <v>24</v>
      </c>
    </row>
    <row r="177" spans="1:17">
      <c r="A177" s="3" t="s">
        <v>481</v>
      </c>
      <c r="B177" s="3" t="s">
        <v>482</v>
      </c>
      <c r="C177" s="5" t="s">
        <v>19</v>
      </c>
      <c r="D177" s="3" t="s">
        <v>30</v>
      </c>
      <c r="E177" s="3" t="s">
        <v>117</v>
      </c>
      <c r="F177" s="3" t="s">
        <v>32</v>
      </c>
      <c r="G177" s="3" t="s">
        <v>33</v>
      </c>
      <c r="H177" s="21">
        <v>0</v>
      </c>
      <c r="I177" s="21">
        <v>230.56000000004198</v>
      </c>
      <c r="J177" s="21">
        <v>800</v>
      </c>
      <c r="K177" s="21">
        <v>214.78</v>
      </c>
      <c r="L177" s="22"/>
      <c r="M177" s="21">
        <f>Tabela1[[#This Row],[1ª QZ]]-Tabela1[[#This Row],[SALDO FINAL]]-Tabela1[[#This Row],[SALDO CARTAO]]-Tabela1[[#This Row],[Adiantamento ]]</f>
        <v>354.65999999995802</v>
      </c>
      <c r="N177" s="21">
        <f>Tabela1[[#This Row],[SALDO REEMBOLSAR]]*$N$4</f>
        <v>0</v>
      </c>
      <c r="O177" s="21">
        <f>IF(Tabela1[[#This Row],[CARGA PARCIAL]]&lt;0,0,Tabela1[[#This Row],[CARGA PARCIAL]])+Tabela1[[#This Row],[REEMBOLSO]]</f>
        <v>354.65999999995802</v>
      </c>
      <c r="Q177" t="s">
        <v>24</v>
      </c>
    </row>
    <row r="178" spans="1:17">
      <c r="A178" s="3" t="s">
        <v>483</v>
      </c>
      <c r="B178" s="3" t="s">
        <v>484</v>
      </c>
      <c r="C178" s="5" t="s">
        <v>19</v>
      </c>
      <c r="D178" s="3" t="s">
        <v>30</v>
      </c>
      <c r="E178" s="3" t="s">
        <v>117</v>
      </c>
      <c r="F178" s="3" t="s">
        <v>32</v>
      </c>
      <c r="G178" s="3" t="s">
        <v>33</v>
      </c>
      <c r="H178" s="21">
        <v>0</v>
      </c>
      <c r="I178" s="21">
        <v>229.79999999999364</v>
      </c>
      <c r="J178" s="21">
        <v>800</v>
      </c>
      <c r="K178" s="21">
        <v>121.7</v>
      </c>
      <c r="L178" s="22"/>
      <c r="M178" s="21">
        <f>Tabela1[[#This Row],[1ª QZ]]-Tabela1[[#This Row],[SALDO FINAL]]-Tabela1[[#This Row],[SALDO CARTAO]]-Tabela1[[#This Row],[Adiantamento ]]</f>
        <v>448.50000000000642</v>
      </c>
      <c r="N178" s="21">
        <f>Tabela1[[#This Row],[SALDO REEMBOLSAR]]*$N$4</f>
        <v>0</v>
      </c>
      <c r="O178" s="21">
        <f>IF(Tabela1[[#This Row],[CARGA PARCIAL]]&lt;0,0,Tabela1[[#This Row],[CARGA PARCIAL]])+Tabela1[[#This Row],[REEMBOLSO]]</f>
        <v>448.50000000000642</v>
      </c>
      <c r="Q178" t="s">
        <v>24</v>
      </c>
    </row>
    <row r="179" spans="1:17">
      <c r="A179" s="3" t="s">
        <v>485</v>
      </c>
      <c r="B179" s="3" t="s">
        <v>486</v>
      </c>
      <c r="C179" s="5" t="s">
        <v>19</v>
      </c>
      <c r="D179" s="3" t="s">
        <v>30</v>
      </c>
      <c r="E179" s="3" t="s">
        <v>487</v>
      </c>
      <c r="F179" s="3" t="s">
        <v>32</v>
      </c>
      <c r="G179" s="3" t="s">
        <v>33</v>
      </c>
      <c r="H179" s="21">
        <v>0</v>
      </c>
      <c r="I179" s="21">
        <v>227</v>
      </c>
      <c r="J179" s="21">
        <v>500</v>
      </c>
      <c r="K179" s="21">
        <v>354</v>
      </c>
      <c r="L179" s="22"/>
      <c r="M179" s="21">
        <f>Tabela1[[#This Row],[1ª QZ]]-Tabela1[[#This Row],[SALDO FINAL]]-Tabela1[[#This Row],[SALDO CARTAO]]-Tabela1[[#This Row],[Adiantamento ]]</f>
        <v>-81</v>
      </c>
      <c r="N179" s="21">
        <f>Tabela1[[#This Row],[SALDO REEMBOLSAR]]*$N$4</f>
        <v>0</v>
      </c>
      <c r="O179" s="21">
        <f>IF(Tabela1[[#This Row],[CARGA PARCIAL]]&lt;0,0,Tabela1[[#This Row],[CARGA PARCIAL]])+Tabela1[[#This Row],[REEMBOLSO]]</f>
        <v>0</v>
      </c>
      <c r="Q179" t="s">
        <v>24</v>
      </c>
    </row>
    <row r="180" spans="1:17">
      <c r="A180" s="3" t="s">
        <v>488</v>
      </c>
      <c r="B180" s="3" t="s">
        <v>489</v>
      </c>
      <c r="C180" s="5" t="s">
        <v>19</v>
      </c>
      <c r="D180" s="3" t="s">
        <v>101</v>
      </c>
      <c r="E180" s="3" t="s">
        <v>159</v>
      </c>
      <c r="F180" s="3" t="s">
        <v>103</v>
      </c>
      <c r="G180" s="3" t="s">
        <v>33</v>
      </c>
      <c r="H180" s="21">
        <v>0</v>
      </c>
      <c r="I180" s="21">
        <v>222.42999999999989</v>
      </c>
      <c r="J180" s="21">
        <v>160</v>
      </c>
      <c r="K180" s="21">
        <v>0.2</v>
      </c>
      <c r="L180" s="22"/>
      <c r="M180" s="21">
        <f>Tabela1[[#This Row],[1ª QZ]]-Tabela1[[#This Row],[SALDO FINAL]]-Tabela1[[#This Row],[SALDO CARTAO]]-Tabela1[[#This Row],[Adiantamento ]]</f>
        <v>-62.629999999999896</v>
      </c>
      <c r="N180" s="21">
        <f>Tabela1[[#This Row],[SALDO REEMBOLSAR]]*$N$4</f>
        <v>0</v>
      </c>
      <c r="O180" s="21">
        <f>IF(Tabela1[[#This Row],[CARGA PARCIAL]]&lt;0,0,Tabela1[[#This Row],[CARGA PARCIAL]])+Tabela1[[#This Row],[REEMBOLSO]]</f>
        <v>0</v>
      </c>
      <c r="Q180" t="s">
        <v>24</v>
      </c>
    </row>
    <row r="181" spans="1:17">
      <c r="A181" s="3" t="s">
        <v>490</v>
      </c>
      <c r="B181" s="3" t="s">
        <v>491</v>
      </c>
      <c r="C181" s="5" t="s">
        <v>19</v>
      </c>
      <c r="D181" s="3" t="s">
        <v>30</v>
      </c>
      <c r="E181" s="3" t="s">
        <v>117</v>
      </c>
      <c r="F181" s="3" t="s">
        <v>32</v>
      </c>
      <c r="G181" s="3" t="s">
        <v>33</v>
      </c>
      <c r="H181" s="21">
        <v>0</v>
      </c>
      <c r="I181" s="21">
        <v>219.80000000000618</v>
      </c>
      <c r="J181" s="21">
        <v>800</v>
      </c>
      <c r="K181" s="21">
        <v>72.900000000000006</v>
      </c>
      <c r="L181" s="22"/>
      <c r="M181" s="21">
        <f>Tabela1[[#This Row],[1ª QZ]]-Tabela1[[#This Row],[SALDO FINAL]]-Tabela1[[#This Row],[SALDO CARTAO]]-Tabela1[[#This Row],[Adiantamento ]]</f>
        <v>507.29999999999382</v>
      </c>
      <c r="N181" s="21">
        <f>Tabela1[[#This Row],[SALDO REEMBOLSAR]]*$N$4</f>
        <v>0</v>
      </c>
      <c r="O181" s="21">
        <f>IF(Tabela1[[#This Row],[CARGA PARCIAL]]&lt;0,0,Tabela1[[#This Row],[CARGA PARCIAL]])+Tabela1[[#This Row],[REEMBOLSO]]</f>
        <v>507.29999999999382</v>
      </c>
      <c r="Q181" t="s">
        <v>24</v>
      </c>
    </row>
    <row r="182" spans="1:17">
      <c r="A182" s="3" t="s">
        <v>492</v>
      </c>
      <c r="B182" s="3" t="s">
        <v>493</v>
      </c>
      <c r="C182" s="5" t="s">
        <v>19</v>
      </c>
      <c r="D182" s="3" t="s">
        <v>20</v>
      </c>
      <c r="E182" s="3" t="s">
        <v>494</v>
      </c>
      <c r="F182" s="3" t="s">
        <v>22</v>
      </c>
      <c r="G182" s="3" t="s">
        <v>23</v>
      </c>
      <c r="H182" s="21">
        <v>0</v>
      </c>
      <c r="I182" s="21">
        <v>210.75999999999499</v>
      </c>
      <c r="J182" s="21">
        <v>1500</v>
      </c>
      <c r="K182" s="21">
        <v>1503.84</v>
      </c>
      <c r="L182" s="22"/>
      <c r="M182" s="21">
        <f>Tabela1[[#This Row],[1ª QZ]]-Tabela1[[#This Row],[SALDO FINAL]]-Tabela1[[#This Row],[SALDO CARTAO]]-Tabela1[[#This Row],[Adiantamento ]]</f>
        <v>-214.59999999999491</v>
      </c>
      <c r="N182" s="21">
        <f>Tabela1[[#This Row],[SALDO REEMBOLSAR]]*$N$4</f>
        <v>0</v>
      </c>
      <c r="O182" s="21">
        <f>IF(Tabela1[[#This Row],[CARGA PARCIAL]]&lt;0,0,Tabela1[[#This Row],[CARGA PARCIAL]])+Tabela1[[#This Row],[REEMBOLSO]]</f>
        <v>0</v>
      </c>
      <c r="Q182" t="s">
        <v>24</v>
      </c>
    </row>
    <row r="183" spans="1:17">
      <c r="A183" s="3" t="s">
        <v>495</v>
      </c>
      <c r="B183" s="3" t="s">
        <v>496</v>
      </c>
      <c r="C183" s="5" t="s">
        <v>19</v>
      </c>
      <c r="D183" s="3" t="s">
        <v>50</v>
      </c>
      <c r="E183" s="3" t="s">
        <v>134</v>
      </c>
      <c r="F183" s="3" t="s">
        <v>52</v>
      </c>
      <c r="G183" s="3" t="s">
        <v>33</v>
      </c>
      <c r="H183" s="21">
        <v>0</v>
      </c>
      <c r="I183" s="21">
        <v>210.57999999999993</v>
      </c>
      <c r="J183" s="21">
        <v>1500</v>
      </c>
      <c r="K183" s="21">
        <v>6</v>
      </c>
      <c r="L183" s="22"/>
      <c r="M183" s="21">
        <f>Tabela1[[#This Row],[1ª QZ]]-Tabela1[[#This Row],[SALDO FINAL]]-Tabela1[[#This Row],[SALDO CARTAO]]-Tabela1[[#This Row],[Adiantamento ]]</f>
        <v>1283.42</v>
      </c>
      <c r="N183" s="21">
        <f>Tabela1[[#This Row],[SALDO REEMBOLSAR]]*$N$4</f>
        <v>0</v>
      </c>
      <c r="O183" s="21">
        <f>IF(Tabela1[[#This Row],[CARGA PARCIAL]]&lt;0,0,Tabela1[[#This Row],[CARGA PARCIAL]])+Tabela1[[#This Row],[REEMBOLSO]]</f>
        <v>1283.42</v>
      </c>
      <c r="Q183" t="s">
        <v>24</v>
      </c>
    </row>
    <row r="184" spans="1:17">
      <c r="A184" s="3" t="s">
        <v>497</v>
      </c>
      <c r="B184" s="3" t="s">
        <v>498</v>
      </c>
      <c r="C184" s="5" t="s">
        <v>19</v>
      </c>
      <c r="D184" s="3" t="s">
        <v>101</v>
      </c>
      <c r="E184" s="3" t="s">
        <v>159</v>
      </c>
      <c r="F184" s="3" t="s">
        <v>103</v>
      </c>
      <c r="G184" s="3" t="s">
        <v>33</v>
      </c>
      <c r="H184" s="21">
        <v>0</v>
      </c>
      <c r="I184" s="21">
        <v>209.49000000000018</v>
      </c>
      <c r="J184" s="21">
        <v>120</v>
      </c>
      <c r="K184" s="21">
        <v>15.81</v>
      </c>
      <c r="L184" s="22"/>
      <c r="M184" s="21">
        <f>Tabela1[[#This Row],[1ª QZ]]-Tabela1[[#This Row],[SALDO FINAL]]-Tabela1[[#This Row],[SALDO CARTAO]]-Tabela1[[#This Row],[Adiantamento ]]</f>
        <v>-105.30000000000018</v>
      </c>
      <c r="N184" s="21">
        <f>Tabela1[[#This Row],[SALDO REEMBOLSAR]]*$N$4</f>
        <v>0</v>
      </c>
      <c r="O184" s="21">
        <f>IF(Tabela1[[#This Row],[CARGA PARCIAL]]&lt;0,0,Tabela1[[#This Row],[CARGA PARCIAL]])+Tabela1[[#This Row],[REEMBOLSO]]</f>
        <v>0</v>
      </c>
      <c r="Q184" t="s">
        <v>24</v>
      </c>
    </row>
    <row r="185" spans="1:17">
      <c r="A185" s="3" t="s">
        <v>499</v>
      </c>
      <c r="B185" s="3" t="s">
        <v>500</v>
      </c>
      <c r="C185" s="5" t="s">
        <v>19</v>
      </c>
      <c r="D185" s="3" t="s">
        <v>101</v>
      </c>
      <c r="E185" s="3" t="s">
        <v>159</v>
      </c>
      <c r="F185" s="3" t="s">
        <v>103</v>
      </c>
      <c r="G185" s="3" t="s">
        <v>33</v>
      </c>
      <c r="H185" s="21">
        <v>0</v>
      </c>
      <c r="I185" s="21">
        <v>201.08000000000021</v>
      </c>
      <c r="J185" s="21">
        <v>120</v>
      </c>
      <c r="K185" s="21">
        <v>22.57</v>
      </c>
      <c r="L185" s="22"/>
      <c r="M185" s="21">
        <f>Tabela1[[#This Row],[1ª QZ]]-Tabela1[[#This Row],[SALDO FINAL]]-Tabela1[[#This Row],[SALDO CARTAO]]-Tabela1[[#This Row],[Adiantamento ]]</f>
        <v>-103.6500000000002</v>
      </c>
      <c r="N185" s="21">
        <f>Tabela1[[#This Row],[SALDO REEMBOLSAR]]*$N$4</f>
        <v>0</v>
      </c>
      <c r="O185" s="21">
        <f>IF(Tabela1[[#This Row],[CARGA PARCIAL]]&lt;0,0,Tabela1[[#This Row],[CARGA PARCIAL]])+Tabela1[[#This Row],[REEMBOLSO]]</f>
        <v>0</v>
      </c>
      <c r="Q185" t="s">
        <v>24</v>
      </c>
    </row>
    <row r="186" spans="1:17">
      <c r="A186" s="3" t="s">
        <v>501</v>
      </c>
      <c r="B186" s="3" t="s">
        <v>502</v>
      </c>
      <c r="C186" s="5" t="s">
        <v>19</v>
      </c>
      <c r="D186" s="3" t="s">
        <v>36</v>
      </c>
      <c r="E186" s="3" t="s">
        <v>503</v>
      </c>
      <c r="F186" s="3" t="s">
        <v>38</v>
      </c>
      <c r="G186" s="3" t="s">
        <v>23</v>
      </c>
      <c r="H186" s="21">
        <v>0</v>
      </c>
      <c r="I186" s="21">
        <v>200</v>
      </c>
      <c r="J186" s="21">
        <v>250</v>
      </c>
      <c r="K186" s="21">
        <v>0</v>
      </c>
      <c r="L186" s="22"/>
      <c r="M186" s="21">
        <f>Tabela1[[#This Row],[1ª QZ]]-Tabela1[[#This Row],[SALDO FINAL]]-Tabela1[[#This Row],[SALDO CARTAO]]-Tabela1[[#This Row],[Adiantamento ]]</f>
        <v>50</v>
      </c>
      <c r="N186" s="21">
        <f>Tabela1[[#This Row],[SALDO REEMBOLSAR]]*$N$4</f>
        <v>0</v>
      </c>
      <c r="O186" s="21">
        <f>IF(Tabela1[[#This Row],[CARGA PARCIAL]]&lt;0,0,Tabela1[[#This Row],[CARGA PARCIAL]])+Tabela1[[#This Row],[REEMBOLSO]]</f>
        <v>50</v>
      </c>
      <c r="Q186" t="s">
        <v>24</v>
      </c>
    </row>
    <row r="187" spans="1:17">
      <c r="A187" s="3" t="s">
        <v>504</v>
      </c>
      <c r="B187" s="3" t="s">
        <v>505</v>
      </c>
      <c r="C187" s="5" t="s">
        <v>19</v>
      </c>
      <c r="D187" s="3" t="s">
        <v>30</v>
      </c>
      <c r="E187" s="3" t="s">
        <v>117</v>
      </c>
      <c r="F187" s="3" t="s">
        <v>32</v>
      </c>
      <c r="G187" s="3" t="s">
        <v>33</v>
      </c>
      <c r="H187" s="21">
        <v>0</v>
      </c>
      <c r="I187" s="21">
        <v>199.45999999999862</v>
      </c>
      <c r="J187" s="21">
        <v>800</v>
      </c>
      <c r="K187" s="21">
        <v>25.81</v>
      </c>
      <c r="L187" s="22"/>
      <c r="M187" s="21">
        <f>Tabela1[[#This Row],[1ª QZ]]-Tabela1[[#This Row],[SALDO FINAL]]-Tabela1[[#This Row],[SALDO CARTAO]]-Tabela1[[#This Row],[Adiantamento ]]</f>
        <v>574.73000000000138</v>
      </c>
      <c r="N187" s="21">
        <f>Tabela1[[#This Row],[SALDO REEMBOLSAR]]*$N$4</f>
        <v>0</v>
      </c>
      <c r="O187" s="21">
        <f>IF(Tabela1[[#This Row],[CARGA PARCIAL]]&lt;0,0,Tabela1[[#This Row],[CARGA PARCIAL]])+Tabela1[[#This Row],[REEMBOLSO]]</f>
        <v>574.73000000000138</v>
      </c>
      <c r="Q187" t="s">
        <v>24</v>
      </c>
    </row>
    <row r="188" spans="1:17">
      <c r="A188" s="3" t="s">
        <v>506</v>
      </c>
      <c r="B188" s="3" t="s">
        <v>507</v>
      </c>
      <c r="C188" s="5" t="s">
        <v>19</v>
      </c>
      <c r="D188" s="3" t="s">
        <v>93</v>
      </c>
      <c r="E188" s="3" t="s">
        <v>508</v>
      </c>
      <c r="F188" s="3" t="s">
        <v>95</v>
      </c>
      <c r="G188" s="3" t="s">
        <v>33</v>
      </c>
      <c r="H188" s="21">
        <v>0</v>
      </c>
      <c r="I188" s="21">
        <v>192.34</v>
      </c>
      <c r="J188" s="21">
        <v>200</v>
      </c>
      <c r="K188" s="21">
        <v>7.66</v>
      </c>
      <c r="L188" s="22"/>
      <c r="M188" s="21">
        <f>Tabela1[[#This Row],[1ª QZ]]-Tabela1[[#This Row],[SALDO FINAL]]-Tabela1[[#This Row],[SALDO CARTAO]]-Tabela1[[#This Row],[Adiantamento ]]</f>
        <v>-3.5527136788005009E-15</v>
      </c>
      <c r="N188" s="21">
        <f>Tabela1[[#This Row],[SALDO REEMBOLSAR]]*$N$4</f>
        <v>0</v>
      </c>
      <c r="O188" s="21">
        <f>IF(Tabela1[[#This Row],[CARGA PARCIAL]]&lt;0,0,Tabela1[[#This Row],[CARGA PARCIAL]])+Tabela1[[#This Row],[REEMBOLSO]]</f>
        <v>0</v>
      </c>
      <c r="Q188" t="s">
        <v>24</v>
      </c>
    </row>
    <row r="189" spans="1:17">
      <c r="A189" s="3" t="s">
        <v>509</v>
      </c>
      <c r="B189" s="3" t="s">
        <v>510</v>
      </c>
      <c r="C189" s="5" t="s">
        <v>19</v>
      </c>
      <c r="D189" s="3" t="s">
        <v>93</v>
      </c>
      <c r="E189" s="3" t="s">
        <v>289</v>
      </c>
      <c r="F189" s="3" t="s">
        <v>95</v>
      </c>
      <c r="G189" s="3" t="s">
        <v>33</v>
      </c>
      <c r="H189" s="21">
        <v>0</v>
      </c>
      <c r="I189" s="21">
        <v>187.90000000000055</v>
      </c>
      <c r="J189" s="21">
        <v>200</v>
      </c>
      <c r="K189" s="21">
        <v>0</v>
      </c>
      <c r="L189" s="22"/>
      <c r="M189" s="21">
        <f>Tabela1[[#This Row],[1ª QZ]]-Tabela1[[#This Row],[SALDO FINAL]]-Tabela1[[#This Row],[SALDO CARTAO]]-Tabela1[[#This Row],[Adiantamento ]]</f>
        <v>12.099999999999454</v>
      </c>
      <c r="N189" s="21">
        <f>Tabela1[[#This Row],[SALDO REEMBOLSAR]]*$N$4</f>
        <v>0</v>
      </c>
      <c r="O189" s="21">
        <f>IF(Tabela1[[#This Row],[CARGA PARCIAL]]&lt;0,0,Tabela1[[#This Row],[CARGA PARCIAL]])+Tabela1[[#This Row],[REEMBOLSO]]</f>
        <v>12.099999999999454</v>
      </c>
      <c r="Q189" t="s">
        <v>24</v>
      </c>
    </row>
    <row r="190" spans="1:17">
      <c r="A190" s="3" t="s">
        <v>511</v>
      </c>
      <c r="B190" s="3" t="s">
        <v>512</v>
      </c>
      <c r="C190" s="5" t="s">
        <v>19</v>
      </c>
      <c r="D190" s="3" t="s">
        <v>101</v>
      </c>
      <c r="E190" s="3" t="s">
        <v>102</v>
      </c>
      <c r="F190" s="3" t="s">
        <v>103</v>
      </c>
      <c r="G190" s="3" t="s">
        <v>33</v>
      </c>
      <c r="H190" s="21">
        <v>0</v>
      </c>
      <c r="I190" s="21">
        <v>184.01</v>
      </c>
      <c r="J190" s="21">
        <v>180</v>
      </c>
      <c r="K190" s="21">
        <v>0</v>
      </c>
      <c r="L190" s="22"/>
      <c r="M190" s="21">
        <f>Tabela1[[#This Row],[1ª QZ]]-Tabela1[[#This Row],[SALDO FINAL]]-Tabela1[[#This Row],[SALDO CARTAO]]-Tabela1[[#This Row],[Adiantamento ]]</f>
        <v>-4.0099999999999909</v>
      </c>
      <c r="N190" s="21">
        <f>Tabela1[[#This Row],[SALDO REEMBOLSAR]]*$N$4</f>
        <v>0</v>
      </c>
      <c r="O190" s="21">
        <f>IF(Tabela1[[#This Row],[CARGA PARCIAL]]&lt;0,0,Tabela1[[#This Row],[CARGA PARCIAL]])+Tabela1[[#This Row],[REEMBOLSO]]</f>
        <v>0</v>
      </c>
      <c r="Q190" t="s">
        <v>378</v>
      </c>
    </row>
    <row r="191" spans="1:17">
      <c r="A191" s="3" t="s">
        <v>513</v>
      </c>
      <c r="B191" s="3" t="s">
        <v>514</v>
      </c>
      <c r="C191" s="5" t="s">
        <v>19</v>
      </c>
      <c r="D191" s="3" t="s">
        <v>101</v>
      </c>
      <c r="E191" s="3" t="s">
        <v>478</v>
      </c>
      <c r="F191" s="3" t="s">
        <v>103</v>
      </c>
      <c r="G191" s="3" t="s">
        <v>33</v>
      </c>
      <c r="H191" s="21">
        <v>0</v>
      </c>
      <c r="I191" s="21">
        <v>182.6</v>
      </c>
      <c r="J191" s="21">
        <v>100</v>
      </c>
      <c r="K191" s="21">
        <v>0</v>
      </c>
      <c r="L191" s="22"/>
      <c r="M191" s="21">
        <f>Tabela1[[#This Row],[1ª QZ]]-Tabela1[[#This Row],[SALDO FINAL]]-Tabela1[[#This Row],[SALDO CARTAO]]-Tabela1[[#This Row],[Adiantamento ]]</f>
        <v>-82.6</v>
      </c>
      <c r="N191" s="21">
        <f>Tabela1[[#This Row],[SALDO REEMBOLSAR]]*$N$4</f>
        <v>0</v>
      </c>
      <c r="O191" s="21">
        <f>IF(Tabela1[[#This Row],[CARGA PARCIAL]]&lt;0,0,Tabela1[[#This Row],[CARGA PARCIAL]])+Tabela1[[#This Row],[REEMBOLSO]]</f>
        <v>0</v>
      </c>
      <c r="Q191" t="s">
        <v>378</v>
      </c>
    </row>
    <row r="192" spans="1:17">
      <c r="A192" s="3" t="s">
        <v>515</v>
      </c>
      <c r="B192" s="3" t="s">
        <v>516</v>
      </c>
      <c r="C192" s="5" t="s">
        <v>19</v>
      </c>
      <c r="D192" s="3" t="s">
        <v>101</v>
      </c>
      <c r="E192" s="3" t="s">
        <v>478</v>
      </c>
      <c r="F192" s="3" t="s">
        <v>103</v>
      </c>
      <c r="G192" s="3" t="s">
        <v>33</v>
      </c>
      <c r="H192" s="21">
        <v>0</v>
      </c>
      <c r="I192" s="21">
        <v>181.99999999999994</v>
      </c>
      <c r="J192" s="21">
        <v>100</v>
      </c>
      <c r="K192" s="21">
        <v>7.5</v>
      </c>
      <c r="L192" s="22"/>
      <c r="M192" s="21">
        <f>Tabela1[[#This Row],[1ª QZ]]-Tabela1[[#This Row],[SALDO FINAL]]-Tabela1[[#This Row],[SALDO CARTAO]]-Tabela1[[#This Row],[Adiantamento ]]</f>
        <v>-89.499999999999943</v>
      </c>
      <c r="N192" s="21">
        <f>Tabela1[[#This Row],[SALDO REEMBOLSAR]]*$N$4</f>
        <v>0</v>
      </c>
      <c r="O192" s="21">
        <f>IF(Tabela1[[#This Row],[CARGA PARCIAL]]&lt;0,0,Tabela1[[#This Row],[CARGA PARCIAL]])+Tabela1[[#This Row],[REEMBOLSO]]</f>
        <v>0</v>
      </c>
      <c r="Q192" t="s">
        <v>24</v>
      </c>
    </row>
    <row r="193" spans="1:17">
      <c r="A193" s="3" t="s">
        <v>517</v>
      </c>
      <c r="B193" s="3" t="s">
        <v>518</v>
      </c>
      <c r="C193" s="5" t="s">
        <v>19</v>
      </c>
      <c r="D193" s="3" t="s">
        <v>44</v>
      </c>
      <c r="E193" s="3" t="s">
        <v>519</v>
      </c>
      <c r="F193" s="3" t="s">
        <v>46</v>
      </c>
      <c r="G193" s="3" t="s">
        <v>47</v>
      </c>
      <c r="H193" s="21">
        <v>0</v>
      </c>
      <c r="I193" s="21">
        <v>178.59999999999908</v>
      </c>
      <c r="J193" s="21">
        <v>500</v>
      </c>
      <c r="K193" s="21">
        <v>14.4</v>
      </c>
      <c r="L193" s="22"/>
      <c r="M193" s="21">
        <f>Tabela1[[#This Row],[1ª QZ]]-Tabela1[[#This Row],[SALDO FINAL]]-Tabela1[[#This Row],[SALDO CARTAO]]-Tabela1[[#This Row],[Adiantamento ]]</f>
        <v>307.00000000000091</v>
      </c>
      <c r="N193" s="21">
        <f>Tabela1[[#This Row],[SALDO REEMBOLSAR]]*$N$4</f>
        <v>0</v>
      </c>
      <c r="O193" s="21">
        <f>IF(Tabela1[[#This Row],[CARGA PARCIAL]]&lt;0,0,Tabela1[[#This Row],[CARGA PARCIAL]])+Tabela1[[#This Row],[REEMBOLSO]]</f>
        <v>307.00000000000091</v>
      </c>
      <c r="Q193" t="s">
        <v>24</v>
      </c>
    </row>
    <row r="194" spans="1:17">
      <c r="A194" s="3" t="s">
        <v>520</v>
      </c>
      <c r="B194" s="3" t="s">
        <v>521</v>
      </c>
      <c r="C194" s="5" t="s">
        <v>19</v>
      </c>
      <c r="D194" s="3" t="s">
        <v>50</v>
      </c>
      <c r="E194" s="3" t="s">
        <v>122</v>
      </c>
      <c r="F194" s="3" t="s">
        <v>52</v>
      </c>
      <c r="G194" s="3" t="s">
        <v>33</v>
      </c>
      <c r="H194" s="21">
        <v>0</v>
      </c>
      <c r="I194" s="21">
        <v>170.69999999999936</v>
      </c>
      <c r="J194" s="21">
        <v>800</v>
      </c>
      <c r="K194" s="21">
        <v>124.73</v>
      </c>
      <c r="L194" s="22"/>
      <c r="M194" s="21">
        <f>Tabela1[[#This Row],[1ª QZ]]-Tabela1[[#This Row],[SALDO FINAL]]-Tabela1[[#This Row],[SALDO CARTAO]]-Tabela1[[#This Row],[Adiantamento ]]</f>
        <v>504.57000000000062</v>
      </c>
      <c r="N194" s="21">
        <f>Tabela1[[#This Row],[SALDO REEMBOLSAR]]*$N$4</f>
        <v>0</v>
      </c>
      <c r="O194" s="21">
        <f>IF(Tabela1[[#This Row],[CARGA PARCIAL]]&lt;0,0,Tabela1[[#This Row],[CARGA PARCIAL]])+Tabela1[[#This Row],[REEMBOLSO]]</f>
        <v>504.57000000000062</v>
      </c>
      <c r="Q194" t="s">
        <v>24</v>
      </c>
    </row>
    <row r="195" spans="1:17">
      <c r="A195" s="3" t="s">
        <v>522</v>
      </c>
      <c r="B195" s="3" t="s">
        <v>523</v>
      </c>
      <c r="C195" s="5" t="s">
        <v>19</v>
      </c>
      <c r="D195" s="3" t="s">
        <v>50</v>
      </c>
      <c r="E195" s="3" t="s">
        <v>122</v>
      </c>
      <c r="F195" s="3" t="s">
        <v>52</v>
      </c>
      <c r="G195" s="3" t="s">
        <v>33</v>
      </c>
      <c r="H195" s="21">
        <v>0</v>
      </c>
      <c r="I195" s="21">
        <v>166.89999999999998</v>
      </c>
      <c r="J195" s="21">
        <v>800</v>
      </c>
      <c r="K195" s="21">
        <v>731.1</v>
      </c>
      <c r="L195" s="22"/>
      <c r="M195" s="21">
        <f>Tabela1[[#This Row],[1ª QZ]]-Tabela1[[#This Row],[SALDO FINAL]]-Tabela1[[#This Row],[SALDO CARTAO]]-Tabela1[[#This Row],[Adiantamento ]]</f>
        <v>-98</v>
      </c>
      <c r="N195" s="21">
        <f>Tabela1[[#This Row],[SALDO REEMBOLSAR]]*$N$4</f>
        <v>0</v>
      </c>
      <c r="O195" s="21">
        <f>IF(Tabela1[[#This Row],[CARGA PARCIAL]]&lt;0,0,Tabela1[[#This Row],[CARGA PARCIAL]])+Tabela1[[#This Row],[REEMBOLSO]]</f>
        <v>0</v>
      </c>
      <c r="Q195" t="s">
        <v>24</v>
      </c>
    </row>
    <row r="196" spans="1:17">
      <c r="A196" s="3" t="s">
        <v>524</v>
      </c>
      <c r="B196" s="3" t="s">
        <v>525</v>
      </c>
      <c r="C196" s="5" t="s">
        <v>19</v>
      </c>
      <c r="D196" s="3" t="s">
        <v>20</v>
      </c>
      <c r="E196" s="3" t="s">
        <v>526</v>
      </c>
      <c r="F196" s="3" t="s">
        <v>22</v>
      </c>
      <c r="G196" s="3" t="s">
        <v>23</v>
      </c>
      <c r="H196" s="21">
        <v>0</v>
      </c>
      <c r="I196" s="21">
        <v>166.80999999999949</v>
      </c>
      <c r="J196" s="21">
        <v>500</v>
      </c>
      <c r="K196" s="21">
        <v>393</v>
      </c>
      <c r="L196" s="22"/>
      <c r="M196" s="21">
        <f>Tabela1[[#This Row],[1ª QZ]]-Tabela1[[#This Row],[SALDO FINAL]]-Tabela1[[#This Row],[SALDO CARTAO]]-Tabela1[[#This Row],[Adiantamento ]]</f>
        <v>-59.809999999999491</v>
      </c>
      <c r="N196" s="21">
        <f>Tabela1[[#This Row],[SALDO REEMBOLSAR]]*$N$4</f>
        <v>0</v>
      </c>
      <c r="O196" s="21">
        <f>IF(Tabela1[[#This Row],[CARGA PARCIAL]]&lt;0,0,Tabela1[[#This Row],[CARGA PARCIAL]])+Tabela1[[#This Row],[REEMBOLSO]]</f>
        <v>0</v>
      </c>
      <c r="Q196" t="s">
        <v>24</v>
      </c>
    </row>
    <row r="197" spans="1:17">
      <c r="A197" s="3" t="s">
        <v>527</v>
      </c>
      <c r="B197" s="3" t="s">
        <v>528</v>
      </c>
      <c r="C197" s="5" t="s">
        <v>19</v>
      </c>
      <c r="D197" s="3" t="s">
        <v>30</v>
      </c>
      <c r="E197" s="3" t="s">
        <v>117</v>
      </c>
      <c r="F197" s="3" t="s">
        <v>32</v>
      </c>
      <c r="G197" s="3" t="s">
        <v>33</v>
      </c>
      <c r="H197" s="21">
        <v>0</v>
      </c>
      <c r="I197" s="21">
        <v>161.90000000000109</v>
      </c>
      <c r="J197" s="21">
        <v>800</v>
      </c>
      <c r="K197" s="21">
        <v>0.65</v>
      </c>
      <c r="L197" s="22"/>
      <c r="M197" s="21">
        <f>Tabela1[[#This Row],[1ª QZ]]-Tabela1[[#This Row],[SALDO FINAL]]-Tabela1[[#This Row],[SALDO CARTAO]]-Tabela1[[#This Row],[Adiantamento ]]</f>
        <v>637.44999999999891</v>
      </c>
      <c r="N197" s="21">
        <f>Tabela1[[#This Row],[SALDO REEMBOLSAR]]*$N$4</f>
        <v>0</v>
      </c>
      <c r="O197" s="21">
        <f>IF(Tabela1[[#This Row],[CARGA PARCIAL]]&lt;0,0,Tabela1[[#This Row],[CARGA PARCIAL]])+Tabela1[[#This Row],[REEMBOLSO]]</f>
        <v>637.44999999999891</v>
      </c>
      <c r="Q197" t="s">
        <v>24</v>
      </c>
    </row>
    <row r="198" spans="1:17">
      <c r="A198" s="3" t="s">
        <v>529</v>
      </c>
      <c r="B198" s="3" t="s">
        <v>530</v>
      </c>
      <c r="C198" s="5" t="s">
        <v>19</v>
      </c>
      <c r="D198" s="3" t="s">
        <v>50</v>
      </c>
      <c r="E198" s="3" t="s">
        <v>236</v>
      </c>
      <c r="F198" s="3" t="s">
        <v>52</v>
      </c>
      <c r="G198" s="3" t="s">
        <v>33</v>
      </c>
      <c r="H198" s="21">
        <v>0</v>
      </c>
      <c r="I198" s="21">
        <v>159.36000000000422</v>
      </c>
      <c r="J198" s="21">
        <v>800</v>
      </c>
      <c r="K198" s="21">
        <v>3</v>
      </c>
      <c r="L198" s="22"/>
      <c r="M198" s="21">
        <f>Tabela1[[#This Row],[1ª QZ]]-Tabela1[[#This Row],[SALDO FINAL]]-Tabela1[[#This Row],[SALDO CARTAO]]-Tabela1[[#This Row],[Adiantamento ]]</f>
        <v>637.63999999999578</v>
      </c>
      <c r="N198" s="21">
        <f>Tabela1[[#This Row],[SALDO REEMBOLSAR]]*$N$4</f>
        <v>0</v>
      </c>
      <c r="O198" s="21">
        <f>IF(Tabela1[[#This Row],[CARGA PARCIAL]]&lt;0,0,Tabela1[[#This Row],[CARGA PARCIAL]])+Tabela1[[#This Row],[REEMBOLSO]]</f>
        <v>637.63999999999578</v>
      </c>
      <c r="Q198" t="s">
        <v>24</v>
      </c>
    </row>
    <row r="199" spans="1:17">
      <c r="A199" s="3" t="s">
        <v>531</v>
      </c>
      <c r="B199" s="3" t="s">
        <v>532</v>
      </c>
      <c r="C199" s="5" t="s">
        <v>19</v>
      </c>
      <c r="D199" s="3" t="s">
        <v>93</v>
      </c>
      <c r="E199" s="3" t="s">
        <v>533</v>
      </c>
      <c r="F199" s="3" t="s">
        <v>95</v>
      </c>
      <c r="G199" s="3" t="s">
        <v>33</v>
      </c>
      <c r="H199" s="21">
        <v>0</v>
      </c>
      <c r="I199" s="21">
        <v>157.69999999999862</v>
      </c>
      <c r="J199" s="21">
        <v>200</v>
      </c>
      <c r="K199" s="21">
        <v>2.0499999999999998</v>
      </c>
      <c r="L199" s="22"/>
      <c r="M199" s="21">
        <f>Tabela1[[#This Row],[1ª QZ]]-Tabela1[[#This Row],[SALDO FINAL]]-Tabela1[[#This Row],[SALDO CARTAO]]-Tabela1[[#This Row],[Adiantamento ]]</f>
        <v>40.250000000001378</v>
      </c>
      <c r="N199" s="21">
        <f>Tabela1[[#This Row],[SALDO REEMBOLSAR]]*$N$4</f>
        <v>0</v>
      </c>
      <c r="O199" s="21">
        <f>IF(Tabela1[[#This Row],[CARGA PARCIAL]]&lt;0,0,Tabela1[[#This Row],[CARGA PARCIAL]])+Tabela1[[#This Row],[REEMBOLSO]]</f>
        <v>40.250000000001378</v>
      </c>
      <c r="Q199" t="s">
        <v>24</v>
      </c>
    </row>
    <row r="200" spans="1:17">
      <c r="A200" s="3" t="s">
        <v>534</v>
      </c>
      <c r="B200" s="3" t="s">
        <v>535</v>
      </c>
      <c r="C200" s="5" t="s">
        <v>19</v>
      </c>
      <c r="D200" s="3" t="s">
        <v>101</v>
      </c>
      <c r="E200" s="3" t="s">
        <v>478</v>
      </c>
      <c r="F200" s="3" t="s">
        <v>103</v>
      </c>
      <c r="G200" s="3" t="s">
        <v>33</v>
      </c>
      <c r="H200" s="21">
        <v>0</v>
      </c>
      <c r="I200" s="21">
        <v>154.88</v>
      </c>
      <c r="J200" s="21">
        <v>200</v>
      </c>
      <c r="K200" s="21">
        <v>87.24</v>
      </c>
      <c r="L200" s="22"/>
      <c r="M200" s="21">
        <f>Tabela1[[#This Row],[1ª QZ]]-Tabela1[[#This Row],[SALDO FINAL]]-Tabela1[[#This Row],[SALDO CARTAO]]-Tabela1[[#This Row],[Adiantamento ]]</f>
        <v>-42.11999999999999</v>
      </c>
      <c r="N200" s="21">
        <f>Tabela1[[#This Row],[SALDO REEMBOLSAR]]*$N$4</f>
        <v>0</v>
      </c>
      <c r="O200" s="21">
        <f>IF(Tabela1[[#This Row],[CARGA PARCIAL]]&lt;0,0,Tabela1[[#This Row],[CARGA PARCIAL]])+Tabela1[[#This Row],[REEMBOLSO]]</f>
        <v>0</v>
      </c>
      <c r="Q200" t="s">
        <v>24</v>
      </c>
    </row>
    <row r="201" spans="1:17">
      <c r="A201" s="3" t="s">
        <v>536</v>
      </c>
      <c r="B201" s="3" t="s">
        <v>537</v>
      </c>
      <c r="C201" s="5" t="s">
        <v>19</v>
      </c>
      <c r="D201" s="3" t="s">
        <v>50</v>
      </c>
      <c r="E201" s="3" t="s">
        <v>122</v>
      </c>
      <c r="F201" s="3" t="s">
        <v>52</v>
      </c>
      <c r="G201" s="3" t="s">
        <v>33</v>
      </c>
      <c r="H201" s="21">
        <v>0</v>
      </c>
      <c r="I201" s="21">
        <v>150.00000000000045</v>
      </c>
      <c r="J201" s="21">
        <v>800</v>
      </c>
      <c r="K201" s="21">
        <v>800</v>
      </c>
      <c r="L201" s="22"/>
      <c r="M201" s="21">
        <f>Tabela1[[#This Row],[1ª QZ]]-Tabela1[[#This Row],[SALDO FINAL]]-Tabela1[[#This Row],[SALDO CARTAO]]-Tabela1[[#This Row],[Adiantamento ]]</f>
        <v>-150.00000000000045</v>
      </c>
      <c r="N201" s="21">
        <f>Tabela1[[#This Row],[SALDO REEMBOLSAR]]*$N$4</f>
        <v>0</v>
      </c>
      <c r="O201" s="21">
        <f>IF(Tabela1[[#This Row],[CARGA PARCIAL]]&lt;0,0,Tabela1[[#This Row],[CARGA PARCIAL]])+Tabela1[[#This Row],[REEMBOLSO]]</f>
        <v>0</v>
      </c>
      <c r="Q201" t="s">
        <v>24</v>
      </c>
    </row>
    <row r="202" spans="1:17">
      <c r="A202" s="3" t="s">
        <v>538</v>
      </c>
      <c r="B202" s="3" t="s">
        <v>539</v>
      </c>
      <c r="C202" s="5" t="s">
        <v>19</v>
      </c>
      <c r="D202" s="3" t="s">
        <v>30</v>
      </c>
      <c r="E202" s="3" t="s">
        <v>540</v>
      </c>
      <c r="F202" s="3" t="s">
        <v>32</v>
      </c>
      <c r="G202" s="3" t="s">
        <v>33</v>
      </c>
      <c r="H202" s="21">
        <v>0</v>
      </c>
      <c r="I202" s="21">
        <v>140.92999999999475</v>
      </c>
      <c r="J202" s="21">
        <v>1500</v>
      </c>
      <c r="K202" s="21">
        <v>152.83000000000001</v>
      </c>
      <c r="L202" s="22"/>
      <c r="M202" s="21">
        <f>Tabela1[[#This Row],[1ª QZ]]-Tabela1[[#This Row],[SALDO FINAL]]-Tabela1[[#This Row],[SALDO CARTAO]]-Tabela1[[#This Row],[Adiantamento ]]</f>
        <v>1206.2400000000052</v>
      </c>
      <c r="N202" s="21">
        <f>Tabela1[[#This Row],[SALDO REEMBOLSAR]]*$N$4</f>
        <v>0</v>
      </c>
      <c r="O202" s="21">
        <f>IF(Tabela1[[#This Row],[CARGA PARCIAL]]&lt;0,0,Tabela1[[#This Row],[CARGA PARCIAL]])+Tabela1[[#This Row],[REEMBOLSO]]</f>
        <v>1206.2400000000052</v>
      </c>
      <c r="Q202" t="s">
        <v>24</v>
      </c>
    </row>
    <row r="203" spans="1:17">
      <c r="A203" s="3" t="s">
        <v>541</v>
      </c>
      <c r="B203" s="3" t="s">
        <v>542</v>
      </c>
      <c r="C203" s="5" t="s">
        <v>19</v>
      </c>
      <c r="D203" s="3" t="s">
        <v>93</v>
      </c>
      <c r="E203" s="3" t="s">
        <v>289</v>
      </c>
      <c r="F203" s="3" t="s">
        <v>95</v>
      </c>
      <c r="G203" s="3" t="s">
        <v>33</v>
      </c>
      <c r="H203" s="21">
        <v>0</v>
      </c>
      <c r="I203" s="21">
        <v>133.70000000000164</v>
      </c>
      <c r="J203" s="21">
        <v>500</v>
      </c>
      <c r="K203" s="21">
        <v>64</v>
      </c>
      <c r="L203" s="22"/>
      <c r="M203" s="21">
        <f>Tabela1[[#This Row],[1ª QZ]]-Tabela1[[#This Row],[SALDO FINAL]]-Tabela1[[#This Row],[SALDO CARTAO]]-Tabela1[[#This Row],[Adiantamento ]]</f>
        <v>302.29999999999836</v>
      </c>
      <c r="N203" s="21">
        <f>Tabela1[[#This Row],[SALDO REEMBOLSAR]]*$N$4</f>
        <v>0</v>
      </c>
      <c r="O203" s="21">
        <f>IF(Tabela1[[#This Row],[CARGA PARCIAL]]&lt;0,0,Tabela1[[#This Row],[CARGA PARCIAL]])+Tabela1[[#This Row],[REEMBOLSO]]</f>
        <v>302.29999999999836</v>
      </c>
      <c r="Q203" t="s">
        <v>24</v>
      </c>
    </row>
    <row r="204" spans="1:17">
      <c r="A204" s="3" t="s">
        <v>543</v>
      </c>
      <c r="B204" s="3" t="s">
        <v>544</v>
      </c>
      <c r="C204" s="5" t="s">
        <v>19</v>
      </c>
      <c r="D204" s="3" t="s">
        <v>101</v>
      </c>
      <c r="E204" s="3" t="s">
        <v>478</v>
      </c>
      <c r="F204" s="3" t="s">
        <v>103</v>
      </c>
      <c r="G204" s="3" t="s">
        <v>33</v>
      </c>
      <c r="H204" s="21">
        <v>0</v>
      </c>
      <c r="I204" s="21">
        <v>124.39999999999998</v>
      </c>
      <c r="J204" s="21">
        <v>100</v>
      </c>
      <c r="K204" s="21">
        <v>0</v>
      </c>
      <c r="L204" s="22"/>
      <c r="M204" s="21">
        <f>Tabela1[[#This Row],[1ª QZ]]-Tabela1[[#This Row],[SALDO FINAL]]-Tabela1[[#This Row],[SALDO CARTAO]]-Tabela1[[#This Row],[Adiantamento ]]</f>
        <v>-24.399999999999977</v>
      </c>
      <c r="N204" s="21">
        <f>Tabela1[[#This Row],[SALDO REEMBOLSAR]]*$N$4</f>
        <v>0</v>
      </c>
      <c r="O204" s="21">
        <f>IF(Tabela1[[#This Row],[CARGA PARCIAL]]&lt;0,0,Tabela1[[#This Row],[CARGA PARCIAL]])+Tabela1[[#This Row],[REEMBOLSO]]</f>
        <v>0</v>
      </c>
      <c r="Q204" t="s">
        <v>24</v>
      </c>
    </row>
    <row r="205" spans="1:17">
      <c r="A205" s="3" t="s">
        <v>545</v>
      </c>
      <c r="B205" s="3" t="s">
        <v>546</v>
      </c>
      <c r="C205" s="5" t="s">
        <v>19</v>
      </c>
      <c r="D205" s="3" t="s">
        <v>101</v>
      </c>
      <c r="E205" s="3" t="s">
        <v>478</v>
      </c>
      <c r="F205" s="3" t="s">
        <v>103</v>
      </c>
      <c r="G205" s="3" t="s">
        <v>33</v>
      </c>
      <c r="H205" s="21">
        <v>0</v>
      </c>
      <c r="I205" s="21">
        <v>120</v>
      </c>
      <c r="J205" s="21">
        <v>100</v>
      </c>
      <c r="K205" s="21">
        <v>0</v>
      </c>
      <c r="L205" s="22"/>
      <c r="M205" s="21">
        <f>Tabela1[[#This Row],[1ª QZ]]-Tabela1[[#This Row],[SALDO FINAL]]-Tabela1[[#This Row],[SALDO CARTAO]]-Tabela1[[#This Row],[Adiantamento ]]</f>
        <v>-20</v>
      </c>
      <c r="N205" s="21">
        <f>Tabela1[[#This Row],[SALDO REEMBOLSAR]]*$N$4</f>
        <v>0</v>
      </c>
      <c r="O205" s="21">
        <f>IF(Tabela1[[#This Row],[CARGA PARCIAL]]&lt;0,0,Tabela1[[#This Row],[CARGA PARCIAL]])+Tabela1[[#This Row],[REEMBOLSO]]</f>
        <v>0</v>
      </c>
      <c r="Q205" t="s">
        <v>24</v>
      </c>
    </row>
    <row r="206" spans="1:17">
      <c r="A206" s="3" t="s">
        <v>547</v>
      </c>
      <c r="B206" s="3" t="s">
        <v>548</v>
      </c>
      <c r="C206" s="5" t="s">
        <v>19</v>
      </c>
      <c r="D206" s="3" t="s">
        <v>44</v>
      </c>
      <c r="E206" s="3" t="s">
        <v>182</v>
      </c>
      <c r="F206" s="3" t="s">
        <v>46</v>
      </c>
      <c r="G206" s="3" t="s">
        <v>47</v>
      </c>
      <c r="H206" s="21">
        <v>0</v>
      </c>
      <c r="I206" s="21">
        <v>117.89999999999981</v>
      </c>
      <c r="J206" s="21">
        <v>750</v>
      </c>
      <c r="K206" s="21">
        <v>209.05</v>
      </c>
      <c r="L206" s="22"/>
      <c r="M206" s="21">
        <f>Tabela1[[#This Row],[1ª QZ]]-Tabela1[[#This Row],[SALDO FINAL]]-Tabela1[[#This Row],[SALDO CARTAO]]-Tabela1[[#This Row],[Adiantamento ]]</f>
        <v>423.05000000000013</v>
      </c>
      <c r="N206" s="21">
        <f>Tabela1[[#This Row],[SALDO REEMBOLSAR]]*$N$4</f>
        <v>0</v>
      </c>
      <c r="O206" s="21">
        <f>IF(Tabela1[[#This Row],[CARGA PARCIAL]]&lt;0,0,Tabela1[[#This Row],[CARGA PARCIAL]])+Tabela1[[#This Row],[REEMBOLSO]]</f>
        <v>423.05000000000013</v>
      </c>
      <c r="Q206" t="s">
        <v>24</v>
      </c>
    </row>
    <row r="207" spans="1:17">
      <c r="A207" s="3" t="s">
        <v>549</v>
      </c>
      <c r="B207" s="3" t="s">
        <v>550</v>
      </c>
      <c r="C207" s="5" t="s">
        <v>19</v>
      </c>
      <c r="D207" s="3" t="s">
        <v>30</v>
      </c>
      <c r="E207" s="3" t="s">
        <v>117</v>
      </c>
      <c r="F207" s="3" t="s">
        <v>32</v>
      </c>
      <c r="G207" s="3" t="s">
        <v>33</v>
      </c>
      <c r="H207" s="21">
        <v>0</v>
      </c>
      <c r="I207" s="21">
        <v>116.7000000000012</v>
      </c>
      <c r="J207" s="21">
        <v>800</v>
      </c>
      <c r="K207" s="21">
        <v>2.23</v>
      </c>
      <c r="L207" s="22"/>
      <c r="M207" s="21">
        <f>Tabela1[[#This Row],[1ª QZ]]-Tabela1[[#This Row],[SALDO FINAL]]-Tabela1[[#This Row],[SALDO CARTAO]]-Tabela1[[#This Row],[Adiantamento ]]</f>
        <v>681.0699999999988</v>
      </c>
      <c r="N207" s="21">
        <f>Tabela1[[#This Row],[SALDO REEMBOLSAR]]*$N$4</f>
        <v>0</v>
      </c>
      <c r="O207" s="21">
        <f>IF(Tabela1[[#This Row],[CARGA PARCIAL]]&lt;0,0,Tabela1[[#This Row],[CARGA PARCIAL]])+Tabela1[[#This Row],[REEMBOLSO]]</f>
        <v>681.0699999999988</v>
      </c>
      <c r="Q207" t="s">
        <v>24</v>
      </c>
    </row>
    <row r="208" spans="1:17">
      <c r="A208" s="3" t="s">
        <v>551</v>
      </c>
      <c r="B208" s="3" t="s">
        <v>552</v>
      </c>
      <c r="C208" s="5" t="s">
        <v>19</v>
      </c>
      <c r="D208" s="3" t="s">
        <v>66</v>
      </c>
      <c r="E208" s="3" t="s">
        <v>303</v>
      </c>
      <c r="F208" s="3" t="s">
        <v>68</v>
      </c>
      <c r="G208" s="3" t="s">
        <v>23</v>
      </c>
      <c r="H208" s="21">
        <v>0</v>
      </c>
      <c r="I208" s="21">
        <v>113.30000000000291</v>
      </c>
      <c r="J208" s="21">
        <v>500</v>
      </c>
      <c r="K208" s="21">
        <v>3</v>
      </c>
      <c r="L208" s="22"/>
      <c r="M208" s="21">
        <f>Tabela1[[#This Row],[1ª QZ]]-Tabela1[[#This Row],[SALDO FINAL]]-Tabela1[[#This Row],[SALDO CARTAO]]-Tabela1[[#This Row],[Adiantamento ]]</f>
        <v>383.69999999999709</v>
      </c>
      <c r="N208" s="21">
        <f>Tabela1[[#This Row],[SALDO REEMBOLSAR]]*$N$4</f>
        <v>0</v>
      </c>
      <c r="O208" s="21">
        <f>IF(Tabela1[[#This Row],[CARGA PARCIAL]]&lt;0,0,Tabela1[[#This Row],[CARGA PARCIAL]])+Tabela1[[#This Row],[REEMBOLSO]]</f>
        <v>383.69999999999709</v>
      </c>
      <c r="Q208" t="s">
        <v>24</v>
      </c>
    </row>
    <row r="209" spans="1:17">
      <c r="A209" s="3" t="s">
        <v>553</v>
      </c>
      <c r="B209" s="3" t="s">
        <v>554</v>
      </c>
      <c r="C209" s="5" t="s">
        <v>19</v>
      </c>
      <c r="D209" s="3" t="s">
        <v>101</v>
      </c>
      <c r="E209" s="3" t="s">
        <v>478</v>
      </c>
      <c r="F209" s="3" t="s">
        <v>103</v>
      </c>
      <c r="G209" s="3" t="s">
        <v>33</v>
      </c>
      <c r="H209" s="21">
        <v>0</v>
      </c>
      <c r="I209" s="21">
        <v>103.20000000000005</v>
      </c>
      <c r="J209" s="21">
        <v>100</v>
      </c>
      <c r="K209" s="21">
        <v>0</v>
      </c>
      <c r="L209" s="22"/>
      <c r="M209" s="21">
        <f>Tabela1[[#This Row],[1ª QZ]]-Tabela1[[#This Row],[SALDO FINAL]]-Tabela1[[#This Row],[SALDO CARTAO]]-Tabela1[[#This Row],[Adiantamento ]]</f>
        <v>-3.2000000000000455</v>
      </c>
      <c r="N209" s="21">
        <f>Tabela1[[#This Row],[SALDO REEMBOLSAR]]*$N$4</f>
        <v>0</v>
      </c>
      <c r="O209" s="21">
        <f>IF(Tabela1[[#This Row],[CARGA PARCIAL]]&lt;0,0,Tabela1[[#This Row],[CARGA PARCIAL]])+Tabela1[[#This Row],[REEMBOLSO]]</f>
        <v>0</v>
      </c>
      <c r="Q209" t="s">
        <v>24</v>
      </c>
    </row>
    <row r="210" spans="1:17">
      <c r="A210" s="3" t="s">
        <v>555</v>
      </c>
      <c r="B210" s="3" t="s">
        <v>556</v>
      </c>
      <c r="C210" s="5" t="s">
        <v>19</v>
      </c>
      <c r="D210" s="3" t="s">
        <v>66</v>
      </c>
      <c r="E210" s="3" t="s">
        <v>557</v>
      </c>
      <c r="F210" s="3" t="s">
        <v>68</v>
      </c>
      <c r="G210" s="3" t="s">
        <v>23</v>
      </c>
      <c r="H210" s="21">
        <v>0</v>
      </c>
      <c r="I210" s="21">
        <v>100</v>
      </c>
      <c r="J210" s="21">
        <v>2000</v>
      </c>
      <c r="K210" s="21">
        <v>2000</v>
      </c>
      <c r="L210" s="22"/>
      <c r="M210" s="21">
        <f>Tabela1[[#This Row],[1ª QZ]]-Tabela1[[#This Row],[SALDO FINAL]]-Tabela1[[#This Row],[SALDO CARTAO]]-Tabela1[[#This Row],[Adiantamento ]]</f>
        <v>-100</v>
      </c>
      <c r="N210" s="21">
        <f>Tabela1[[#This Row],[SALDO REEMBOLSAR]]*$N$4</f>
        <v>0</v>
      </c>
      <c r="O210" s="21">
        <f>IF(Tabela1[[#This Row],[CARGA PARCIAL]]&lt;0,0,Tabela1[[#This Row],[CARGA PARCIAL]])+Tabela1[[#This Row],[REEMBOLSO]]</f>
        <v>0</v>
      </c>
      <c r="Q210" t="s">
        <v>24</v>
      </c>
    </row>
    <row r="211" spans="1:17">
      <c r="A211" s="3" t="s">
        <v>558</v>
      </c>
      <c r="B211" s="3" t="s">
        <v>559</v>
      </c>
      <c r="C211" s="5" t="s">
        <v>19</v>
      </c>
      <c r="D211" s="3" t="s">
        <v>101</v>
      </c>
      <c r="E211" s="3" t="s">
        <v>478</v>
      </c>
      <c r="F211" s="3" t="s">
        <v>103</v>
      </c>
      <c r="G211" s="3" t="s">
        <v>33</v>
      </c>
      <c r="H211" s="21">
        <v>0</v>
      </c>
      <c r="I211" s="21">
        <v>100</v>
      </c>
      <c r="J211" s="21">
        <v>100</v>
      </c>
      <c r="K211" s="21">
        <v>0</v>
      </c>
      <c r="L211" s="22"/>
      <c r="M211" s="21">
        <f>Tabela1[[#This Row],[1ª QZ]]-Tabela1[[#This Row],[SALDO FINAL]]-Tabela1[[#This Row],[SALDO CARTAO]]-Tabela1[[#This Row],[Adiantamento ]]</f>
        <v>0</v>
      </c>
      <c r="N211" s="21">
        <f>Tabela1[[#This Row],[SALDO REEMBOLSAR]]*$N$4</f>
        <v>0</v>
      </c>
      <c r="O211" s="21">
        <f>IF(Tabela1[[#This Row],[CARGA PARCIAL]]&lt;0,0,Tabela1[[#This Row],[CARGA PARCIAL]])+Tabela1[[#This Row],[REEMBOLSO]]</f>
        <v>0</v>
      </c>
      <c r="Q211" t="s">
        <v>24</v>
      </c>
    </row>
    <row r="212" spans="1:17">
      <c r="A212" s="3" t="s">
        <v>560</v>
      </c>
      <c r="B212" s="3" t="s">
        <v>561</v>
      </c>
      <c r="C212" s="5" t="s">
        <v>19</v>
      </c>
      <c r="D212" s="3" t="s">
        <v>101</v>
      </c>
      <c r="E212" s="3" t="s">
        <v>478</v>
      </c>
      <c r="F212" s="3" t="s">
        <v>103</v>
      </c>
      <c r="G212" s="3" t="s">
        <v>33</v>
      </c>
      <c r="H212" s="21">
        <v>0</v>
      </c>
      <c r="I212" s="21">
        <v>95</v>
      </c>
      <c r="J212" s="21">
        <v>100</v>
      </c>
      <c r="K212" s="21">
        <v>5</v>
      </c>
      <c r="L212" s="22"/>
      <c r="M212" s="21">
        <f>Tabela1[[#This Row],[1ª QZ]]-Tabela1[[#This Row],[SALDO FINAL]]-Tabela1[[#This Row],[SALDO CARTAO]]-Tabela1[[#This Row],[Adiantamento ]]</f>
        <v>0</v>
      </c>
      <c r="N212" s="21">
        <f>Tabela1[[#This Row],[SALDO REEMBOLSAR]]*$N$4</f>
        <v>0</v>
      </c>
      <c r="O212" s="21">
        <f>IF(Tabela1[[#This Row],[CARGA PARCIAL]]&lt;0,0,Tabela1[[#This Row],[CARGA PARCIAL]])+Tabela1[[#This Row],[REEMBOLSO]]</f>
        <v>0</v>
      </c>
      <c r="Q212" t="s">
        <v>24</v>
      </c>
    </row>
    <row r="213" spans="1:17">
      <c r="A213" s="3" t="s">
        <v>562</v>
      </c>
      <c r="B213" s="3" t="s">
        <v>563</v>
      </c>
      <c r="C213" s="5" t="s">
        <v>19</v>
      </c>
      <c r="D213" s="3" t="s">
        <v>101</v>
      </c>
      <c r="E213" s="3" t="s">
        <v>478</v>
      </c>
      <c r="F213" s="3" t="s">
        <v>103</v>
      </c>
      <c r="G213" s="3" t="s">
        <v>33</v>
      </c>
      <c r="H213" s="21">
        <v>0</v>
      </c>
      <c r="I213" s="21">
        <v>93.54999999999805</v>
      </c>
      <c r="J213" s="21">
        <v>150</v>
      </c>
      <c r="K213" s="21">
        <v>109.85</v>
      </c>
      <c r="L213" s="22"/>
      <c r="M213" s="21">
        <f>Tabela1[[#This Row],[1ª QZ]]-Tabela1[[#This Row],[SALDO FINAL]]-Tabela1[[#This Row],[SALDO CARTAO]]-Tabela1[[#This Row],[Adiantamento ]]</f>
        <v>-53.399999999998045</v>
      </c>
      <c r="N213" s="21">
        <f>Tabela1[[#This Row],[SALDO REEMBOLSAR]]*$N$4</f>
        <v>0</v>
      </c>
      <c r="O213" s="21">
        <f>IF(Tabela1[[#This Row],[CARGA PARCIAL]]&lt;0,0,Tabela1[[#This Row],[CARGA PARCIAL]])+Tabela1[[#This Row],[REEMBOLSO]]</f>
        <v>0</v>
      </c>
      <c r="Q213" t="s">
        <v>24</v>
      </c>
    </row>
    <row r="214" spans="1:17">
      <c r="A214" s="3" t="s">
        <v>564</v>
      </c>
      <c r="B214" s="3" t="s">
        <v>565</v>
      </c>
      <c r="C214" s="5" t="s">
        <v>19</v>
      </c>
      <c r="D214" s="3" t="s">
        <v>101</v>
      </c>
      <c r="E214" s="3" t="s">
        <v>478</v>
      </c>
      <c r="F214" s="3" t="s">
        <v>103</v>
      </c>
      <c r="G214" s="3" t="s">
        <v>33</v>
      </c>
      <c r="H214" s="21">
        <v>0</v>
      </c>
      <c r="I214" s="21">
        <v>89.099999999995731</v>
      </c>
      <c r="J214" s="21">
        <v>300</v>
      </c>
      <c r="K214" s="21">
        <v>10.6</v>
      </c>
      <c r="L214" s="22"/>
      <c r="M214" s="21">
        <f>Tabela1[[#This Row],[1ª QZ]]-Tabela1[[#This Row],[SALDO FINAL]]-Tabela1[[#This Row],[SALDO CARTAO]]-Tabela1[[#This Row],[Adiantamento ]]</f>
        <v>200.30000000000427</v>
      </c>
      <c r="N214" s="21">
        <f>Tabela1[[#This Row],[SALDO REEMBOLSAR]]*$N$4</f>
        <v>0</v>
      </c>
      <c r="O214" s="21">
        <f>IF(Tabela1[[#This Row],[CARGA PARCIAL]]&lt;0,0,Tabela1[[#This Row],[CARGA PARCIAL]])+Tabela1[[#This Row],[REEMBOLSO]]</f>
        <v>200.30000000000427</v>
      </c>
      <c r="Q214" t="s">
        <v>24</v>
      </c>
    </row>
    <row r="215" spans="1:17">
      <c r="A215" s="3" t="s">
        <v>566</v>
      </c>
      <c r="B215" s="3" t="s">
        <v>567</v>
      </c>
      <c r="C215" s="5" t="s">
        <v>19</v>
      </c>
      <c r="D215" s="3" t="s">
        <v>101</v>
      </c>
      <c r="E215" s="3" t="s">
        <v>478</v>
      </c>
      <c r="F215" s="3" t="s">
        <v>103</v>
      </c>
      <c r="G215" s="3" t="s">
        <v>33</v>
      </c>
      <c r="H215" s="21">
        <v>0</v>
      </c>
      <c r="I215" s="21">
        <v>85</v>
      </c>
      <c r="J215" s="21">
        <v>100</v>
      </c>
      <c r="K215" s="21">
        <v>45</v>
      </c>
      <c r="L215" s="22"/>
      <c r="M215" s="21">
        <f>Tabela1[[#This Row],[1ª QZ]]-Tabela1[[#This Row],[SALDO FINAL]]-Tabela1[[#This Row],[SALDO CARTAO]]-Tabela1[[#This Row],[Adiantamento ]]</f>
        <v>-30</v>
      </c>
      <c r="N215" s="21">
        <f>Tabela1[[#This Row],[SALDO REEMBOLSAR]]*$N$4</f>
        <v>0</v>
      </c>
      <c r="O215" s="21">
        <f>IF(Tabela1[[#This Row],[CARGA PARCIAL]]&lt;0,0,Tabela1[[#This Row],[CARGA PARCIAL]])+Tabela1[[#This Row],[REEMBOLSO]]</f>
        <v>0</v>
      </c>
      <c r="Q215" t="s">
        <v>24</v>
      </c>
    </row>
    <row r="216" spans="1:17">
      <c r="A216" s="3" t="s">
        <v>568</v>
      </c>
      <c r="B216" s="3" t="s">
        <v>569</v>
      </c>
      <c r="C216" s="5" t="s">
        <v>19</v>
      </c>
      <c r="D216" s="3" t="s">
        <v>50</v>
      </c>
      <c r="E216" s="3" t="s">
        <v>241</v>
      </c>
      <c r="F216" s="3" t="s">
        <v>52</v>
      </c>
      <c r="G216" s="3" t="s">
        <v>33</v>
      </c>
      <c r="H216" s="21">
        <v>0</v>
      </c>
      <c r="I216" s="21">
        <v>83.639999999951399</v>
      </c>
      <c r="J216" s="21">
        <v>3000</v>
      </c>
      <c r="K216" s="21">
        <v>16.8</v>
      </c>
      <c r="L216" s="22"/>
      <c r="M216" s="21">
        <f>Tabela1[[#This Row],[1ª QZ]]-Tabela1[[#This Row],[SALDO FINAL]]-Tabela1[[#This Row],[SALDO CARTAO]]-Tabela1[[#This Row],[Adiantamento ]]</f>
        <v>2899.5600000000486</v>
      </c>
      <c r="N216" s="21">
        <f>Tabela1[[#This Row],[SALDO REEMBOLSAR]]*$N$4</f>
        <v>0</v>
      </c>
      <c r="O216" s="21">
        <f>IF(Tabela1[[#This Row],[CARGA PARCIAL]]&lt;0,0,Tabela1[[#This Row],[CARGA PARCIAL]])+Tabela1[[#This Row],[REEMBOLSO]]</f>
        <v>2899.5600000000486</v>
      </c>
      <c r="Q216" t="s">
        <v>24</v>
      </c>
    </row>
    <row r="217" spans="1:17">
      <c r="A217" s="3" t="s">
        <v>570</v>
      </c>
      <c r="B217" s="3" t="s">
        <v>571</v>
      </c>
      <c r="C217" s="5" t="s">
        <v>19</v>
      </c>
      <c r="D217" s="3" t="s">
        <v>30</v>
      </c>
      <c r="E217" s="3" t="s">
        <v>117</v>
      </c>
      <c r="F217" s="3" t="s">
        <v>32</v>
      </c>
      <c r="G217" s="3" t="s">
        <v>33</v>
      </c>
      <c r="H217" s="21">
        <v>0</v>
      </c>
      <c r="I217" s="21">
        <v>74.999999999993008</v>
      </c>
      <c r="J217" s="21">
        <v>800</v>
      </c>
      <c r="K217" s="21">
        <v>29.93</v>
      </c>
      <c r="L217" s="22"/>
      <c r="M217" s="21">
        <f>Tabela1[[#This Row],[1ª QZ]]-Tabela1[[#This Row],[SALDO FINAL]]-Tabela1[[#This Row],[SALDO CARTAO]]-Tabela1[[#This Row],[Adiantamento ]]</f>
        <v>695.0700000000071</v>
      </c>
      <c r="N217" s="21">
        <f>Tabela1[[#This Row],[SALDO REEMBOLSAR]]*$N$4</f>
        <v>0</v>
      </c>
      <c r="O217" s="21">
        <f>IF(Tabela1[[#This Row],[CARGA PARCIAL]]&lt;0,0,Tabela1[[#This Row],[CARGA PARCIAL]])+Tabela1[[#This Row],[REEMBOLSO]]</f>
        <v>695.0700000000071</v>
      </c>
      <c r="Q217" t="s">
        <v>24</v>
      </c>
    </row>
    <row r="218" spans="1:17">
      <c r="A218" s="3" t="s">
        <v>572</v>
      </c>
      <c r="B218" s="3" t="s">
        <v>573</v>
      </c>
      <c r="C218" s="5" t="s">
        <v>19</v>
      </c>
      <c r="D218" s="3" t="s">
        <v>101</v>
      </c>
      <c r="E218" s="3" t="s">
        <v>102</v>
      </c>
      <c r="F218" s="3" t="s">
        <v>103</v>
      </c>
      <c r="G218" s="3" t="s">
        <v>33</v>
      </c>
      <c r="H218" s="21">
        <v>0</v>
      </c>
      <c r="I218" s="21">
        <v>74.700000000000813</v>
      </c>
      <c r="J218" s="21">
        <v>240</v>
      </c>
      <c r="K218" s="21">
        <v>116.9</v>
      </c>
      <c r="L218" s="22"/>
      <c r="M218" s="21">
        <f>Tabela1[[#This Row],[1ª QZ]]-Tabela1[[#This Row],[SALDO FINAL]]-Tabela1[[#This Row],[SALDO CARTAO]]-Tabela1[[#This Row],[Adiantamento ]]</f>
        <v>48.399999999999181</v>
      </c>
      <c r="N218" s="21">
        <f>Tabela1[[#This Row],[SALDO REEMBOLSAR]]*$N$4</f>
        <v>0</v>
      </c>
      <c r="O218" s="21">
        <f>IF(Tabela1[[#This Row],[CARGA PARCIAL]]&lt;0,0,Tabela1[[#This Row],[CARGA PARCIAL]])+Tabela1[[#This Row],[REEMBOLSO]]</f>
        <v>48.399999999999181</v>
      </c>
      <c r="Q218" t="s">
        <v>24</v>
      </c>
    </row>
    <row r="219" spans="1:17">
      <c r="A219" s="3" t="s">
        <v>574</v>
      </c>
      <c r="B219" s="3" t="s">
        <v>575</v>
      </c>
      <c r="C219" s="5" t="s">
        <v>19</v>
      </c>
      <c r="D219" s="3" t="s">
        <v>101</v>
      </c>
      <c r="E219" s="3" t="s">
        <v>478</v>
      </c>
      <c r="F219" s="3" t="s">
        <v>103</v>
      </c>
      <c r="G219" s="3" t="s">
        <v>33</v>
      </c>
      <c r="H219" s="21">
        <v>0</v>
      </c>
      <c r="I219" s="21">
        <v>69.130000000000109</v>
      </c>
      <c r="J219" s="21">
        <v>100</v>
      </c>
      <c r="K219" s="21">
        <v>5.87</v>
      </c>
      <c r="L219" s="22"/>
      <c r="M219" s="21">
        <f>Tabela1[[#This Row],[1ª QZ]]-Tabela1[[#This Row],[SALDO FINAL]]-Tabela1[[#This Row],[SALDO CARTAO]]-Tabela1[[#This Row],[Adiantamento ]]</f>
        <v>24.99999999999989</v>
      </c>
      <c r="N219" s="21">
        <f>Tabela1[[#This Row],[SALDO REEMBOLSAR]]*$N$4</f>
        <v>0</v>
      </c>
      <c r="O219" s="21">
        <f>IF(Tabela1[[#This Row],[CARGA PARCIAL]]&lt;0,0,Tabela1[[#This Row],[CARGA PARCIAL]])+Tabela1[[#This Row],[REEMBOLSO]]</f>
        <v>24.99999999999989</v>
      </c>
      <c r="Q219" t="s">
        <v>24</v>
      </c>
    </row>
    <row r="220" spans="1:17">
      <c r="A220" s="3" t="s">
        <v>576</v>
      </c>
      <c r="B220" s="3" t="s">
        <v>577</v>
      </c>
      <c r="C220" s="5" t="s">
        <v>19</v>
      </c>
      <c r="D220" s="3" t="s">
        <v>20</v>
      </c>
      <c r="E220" s="3" t="s">
        <v>578</v>
      </c>
      <c r="F220" s="3" t="s">
        <v>22</v>
      </c>
      <c r="G220" s="3" t="s">
        <v>23</v>
      </c>
      <c r="H220" s="21">
        <v>0</v>
      </c>
      <c r="I220" s="21">
        <v>64.730000000004054</v>
      </c>
      <c r="J220" s="21">
        <v>800</v>
      </c>
      <c r="K220" s="21">
        <v>344.54</v>
      </c>
      <c r="L220" s="22"/>
      <c r="M220" s="21">
        <f>Tabela1[[#This Row],[1ª QZ]]-Tabela1[[#This Row],[SALDO FINAL]]-Tabela1[[#This Row],[SALDO CARTAO]]-Tabela1[[#This Row],[Adiantamento ]]</f>
        <v>390.72999999999587</v>
      </c>
      <c r="N220" s="21">
        <f>Tabela1[[#This Row],[SALDO REEMBOLSAR]]*$N$4</f>
        <v>0</v>
      </c>
      <c r="O220" s="21">
        <f>IF(Tabela1[[#This Row],[CARGA PARCIAL]]&lt;0,0,Tabela1[[#This Row],[CARGA PARCIAL]])+Tabela1[[#This Row],[REEMBOLSO]]</f>
        <v>390.72999999999587</v>
      </c>
      <c r="Q220" t="s">
        <v>24</v>
      </c>
    </row>
    <row r="221" spans="1:17">
      <c r="A221" s="3" t="s">
        <v>579</v>
      </c>
      <c r="B221" s="3" t="s">
        <v>580</v>
      </c>
      <c r="C221" s="5" t="s">
        <v>19</v>
      </c>
      <c r="D221" s="3" t="s">
        <v>20</v>
      </c>
      <c r="E221" s="3" t="s">
        <v>82</v>
      </c>
      <c r="F221" s="3" t="s">
        <v>22</v>
      </c>
      <c r="G221" s="3" t="s">
        <v>23</v>
      </c>
      <c r="H221" s="21">
        <v>0</v>
      </c>
      <c r="I221" s="21">
        <v>61.899999999999636</v>
      </c>
      <c r="J221" s="21">
        <v>1000</v>
      </c>
      <c r="K221" s="21">
        <v>1000</v>
      </c>
      <c r="L221" s="22"/>
      <c r="M221" s="21">
        <f>Tabela1[[#This Row],[1ª QZ]]-Tabela1[[#This Row],[SALDO FINAL]]-Tabela1[[#This Row],[SALDO CARTAO]]-Tabela1[[#This Row],[Adiantamento ]]</f>
        <v>-61.899999999999636</v>
      </c>
      <c r="N221" s="21">
        <f>Tabela1[[#This Row],[SALDO REEMBOLSAR]]*$N$4</f>
        <v>0</v>
      </c>
      <c r="O221" s="21">
        <f>IF(Tabela1[[#This Row],[CARGA PARCIAL]]&lt;0,0,Tabela1[[#This Row],[CARGA PARCIAL]])+Tabela1[[#This Row],[REEMBOLSO]]</f>
        <v>0</v>
      </c>
      <c r="Q221" t="s">
        <v>24</v>
      </c>
    </row>
    <row r="222" spans="1:17">
      <c r="A222" s="3" t="s">
        <v>581</v>
      </c>
      <c r="B222" s="3" t="s">
        <v>582</v>
      </c>
      <c r="C222" s="5" t="s">
        <v>19</v>
      </c>
      <c r="D222" s="3" t="s">
        <v>101</v>
      </c>
      <c r="E222" s="3" t="s">
        <v>159</v>
      </c>
      <c r="F222" s="3" t="s">
        <v>103</v>
      </c>
      <c r="G222" s="3" t="s">
        <v>33</v>
      </c>
      <c r="H222" s="21">
        <v>0</v>
      </c>
      <c r="I222" s="21">
        <v>61.79999999999977</v>
      </c>
      <c r="J222" s="21">
        <v>120</v>
      </c>
      <c r="K222" s="21">
        <v>8.1999999999999993</v>
      </c>
      <c r="L222" s="22"/>
      <c r="M222" s="21">
        <f>Tabela1[[#This Row],[1ª QZ]]-Tabela1[[#This Row],[SALDO FINAL]]-Tabela1[[#This Row],[SALDO CARTAO]]-Tabela1[[#This Row],[Adiantamento ]]</f>
        <v>50.000000000000227</v>
      </c>
      <c r="N222" s="21">
        <f>Tabela1[[#This Row],[SALDO REEMBOLSAR]]*$N$4</f>
        <v>0</v>
      </c>
      <c r="O222" s="21">
        <f>IF(Tabela1[[#This Row],[CARGA PARCIAL]]&lt;0,0,Tabela1[[#This Row],[CARGA PARCIAL]])+Tabela1[[#This Row],[REEMBOLSO]]</f>
        <v>50.000000000000227</v>
      </c>
      <c r="Q222" t="s">
        <v>24</v>
      </c>
    </row>
    <row r="223" spans="1:17">
      <c r="A223" s="3" t="s">
        <v>583</v>
      </c>
      <c r="B223" s="3" t="s">
        <v>584</v>
      </c>
      <c r="C223" s="5" t="s">
        <v>19</v>
      </c>
      <c r="D223" s="3" t="s">
        <v>101</v>
      </c>
      <c r="E223" s="3" t="s">
        <v>478</v>
      </c>
      <c r="F223" s="3" t="s">
        <v>103</v>
      </c>
      <c r="G223" s="3" t="s">
        <v>33</v>
      </c>
      <c r="H223" s="21">
        <v>0</v>
      </c>
      <c r="I223" s="21">
        <v>58.059999999999945</v>
      </c>
      <c r="J223" s="21">
        <v>100</v>
      </c>
      <c r="K223" s="21">
        <v>3</v>
      </c>
      <c r="L223" s="22"/>
      <c r="M223" s="21">
        <f>Tabela1[[#This Row],[1ª QZ]]-Tabela1[[#This Row],[SALDO FINAL]]-Tabela1[[#This Row],[SALDO CARTAO]]-Tabela1[[#This Row],[Adiantamento ]]</f>
        <v>38.940000000000055</v>
      </c>
      <c r="N223" s="21">
        <f>Tabela1[[#This Row],[SALDO REEMBOLSAR]]*$N$4</f>
        <v>0</v>
      </c>
      <c r="O223" s="21">
        <f>IF(Tabela1[[#This Row],[CARGA PARCIAL]]&lt;0,0,Tabela1[[#This Row],[CARGA PARCIAL]])+Tabela1[[#This Row],[REEMBOLSO]]</f>
        <v>38.940000000000055</v>
      </c>
      <c r="Q223" t="s">
        <v>24</v>
      </c>
    </row>
    <row r="224" spans="1:17">
      <c r="A224" s="3" t="s">
        <v>585</v>
      </c>
      <c r="B224" s="3" t="s">
        <v>586</v>
      </c>
      <c r="C224" s="5" t="s">
        <v>19</v>
      </c>
      <c r="D224" s="3" t="s">
        <v>93</v>
      </c>
      <c r="E224" s="3" t="s">
        <v>587</v>
      </c>
      <c r="F224" s="3" t="s">
        <v>95</v>
      </c>
      <c r="G224" s="3" t="s">
        <v>33</v>
      </c>
      <c r="H224" s="21">
        <v>0</v>
      </c>
      <c r="I224" s="21">
        <v>58.000000000000455</v>
      </c>
      <c r="J224" s="21">
        <v>500</v>
      </c>
      <c r="K224" s="21">
        <v>1473.52</v>
      </c>
      <c r="L224" s="22"/>
      <c r="M224" s="21">
        <f>Tabela1[[#This Row],[1ª QZ]]-Tabela1[[#This Row],[SALDO FINAL]]-Tabela1[[#This Row],[SALDO CARTAO]]-Tabela1[[#This Row],[Adiantamento ]]</f>
        <v>-1031.5200000000004</v>
      </c>
      <c r="N224" s="21">
        <f>Tabela1[[#This Row],[SALDO REEMBOLSAR]]*$N$4</f>
        <v>0</v>
      </c>
      <c r="O224" s="21">
        <f>IF(Tabela1[[#This Row],[CARGA PARCIAL]]&lt;0,0,Tabela1[[#This Row],[CARGA PARCIAL]])+Tabela1[[#This Row],[REEMBOLSO]]</f>
        <v>0</v>
      </c>
      <c r="Q224" t="s">
        <v>24</v>
      </c>
    </row>
    <row r="225" spans="1:17">
      <c r="A225" s="3" t="s">
        <v>588</v>
      </c>
      <c r="B225" s="3" t="s">
        <v>589</v>
      </c>
      <c r="C225" s="5" t="s">
        <v>19</v>
      </c>
      <c r="D225" s="3" t="s">
        <v>101</v>
      </c>
      <c r="E225" s="3" t="s">
        <v>159</v>
      </c>
      <c r="F225" s="3" t="s">
        <v>103</v>
      </c>
      <c r="G225" s="3" t="s">
        <v>33</v>
      </c>
      <c r="H225" s="21">
        <v>0</v>
      </c>
      <c r="I225" s="21">
        <v>56.999999999999183</v>
      </c>
      <c r="J225" s="21">
        <v>160</v>
      </c>
      <c r="K225" s="21">
        <v>23.4</v>
      </c>
      <c r="L225" s="22"/>
      <c r="M225" s="21">
        <f>Tabela1[[#This Row],[1ª QZ]]-Tabela1[[#This Row],[SALDO FINAL]]-Tabela1[[#This Row],[SALDO CARTAO]]-Tabela1[[#This Row],[Adiantamento ]]</f>
        <v>79.600000000000819</v>
      </c>
      <c r="N225" s="21">
        <f>Tabela1[[#This Row],[SALDO REEMBOLSAR]]*$N$4</f>
        <v>0</v>
      </c>
      <c r="O225" s="21">
        <f>IF(Tabela1[[#This Row],[CARGA PARCIAL]]&lt;0,0,Tabela1[[#This Row],[CARGA PARCIAL]])+Tabela1[[#This Row],[REEMBOLSO]]</f>
        <v>79.600000000000819</v>
      </c>
      <c r="Q225" t="s">
        <v>24</v>
      </c>
    </row>
    <row r="226" spans="1:17">
      <c r="A226" s="3" t="s">
        <v>590</v>
      </c>
      <c r="B226" s="3" t="s">
        <v>591</v>
      </c>
      <c r="C226" s="5" t="s">
        <v>19</v>
      </c>
      <c r="D226" s="3" t="s">
        <v>101</v>
      </c>
      <c r="E226" s="3" t="s">
        <v>478</v>
      </c>
      <c r="F226" s="3" t="s">
        <v>103</v>
      </c>
      <c r="G226" s="3" t="s">
        <v>33</v>
      </c>
      <c r="H226" s="21">
        <v>0</v>
      </c>
      <c r="I226" s="21">
        <v>50.000000000000028</v>
      </c>
      <c r="J226" s="21">
        <v>50</v>
      </c>
      <c r="K226" s="21">
        <v>0</v>
      </c>
      <c r="L226" s="22"/>
      <c r="M226" s="21">
        <f>Tabela1[[#This Row],[1ª QZ]]-Tabela1[[#This Row],[SALDO FINAL]]-Tabela1[[#This Row],[SALDO CARTAO]]-Tabela1[[#This Row],[Adiantamento ]]</f>
        <v>-2.8421709430404007E-14</v>
      </c>
      <c r="N226" s="21">
        <f>Tabela1[[#This Row],[SALDO REEMBOLSAR]]*$N$4</f>
        <v>0</v>
      </c>
      <c r="O226" s="21">
        <f>IF(Tabela1[[#This Row],[CARGA PARCIAL]]&lt;0,0,Tabela1[[#This Row],[CARGA PARCIAL]])+Tabela1[[#This Row],[REEMBOLSO]]</f>
        <v>0</v>
      </c>
      <c r="Q226" t="s">
        <v>24</v>
      </c>
    </row>
    <row r="227" spans="1:17">
      <c r="A227" s="3" t="s">
        <v>592</v>
      </c>
      <c r="B227" s="3" t="s">
        <v>593</v>
      </c>
      <c r="C227" s="5" t="s">
        <v>19</v>
      </c>
      <c r="D227" s="3" t="s">
        <v>101</v>
      </c>
      <c r="E227" s="3" t="s">
        <v>478</v>
      </c>
      <c r="F227" s="3" t="s">
        <v>103</v>
      </c>
      <c r="G227" s="3" t="s">
        <v>33</v>
      </c>
      <c r="H227" s="21">
        <v>0</v>
      </c>
      <c r="I227" s="21">
        <v>46.689999999999941</v>
      </c>
      <c r="J227" s="21">
        <v>50</v>
      </c>
      <c r="K227" s="21">
        <v>3</v>
      </c>
      <c r="L227" s="22"/>
      <c r="M227" s="21">
        <f>Tabela1[[#This Row],[1ª QZ]]-Tabela1[[#This Row],[SALDO FINAL]]-Tabela1[[#This Row],[SALDO CARTAO]]-Tabela1[[#This Row],[Adiantamento ]]</f>
        <v>0.31000000000005912</v>
      </c>
      <c r="N227" s="21">
        <f>Tabela1[[#This Row],[SALDO REEMBOLSAR]]*$N$4</f>
        <v>0</v>
      </c>
      <c r="O227" s="21">
        <f>IF(Tabela1[[#This Row],[CARGA PARCIAL]]&lt;0,0,Tabela1[[#This Row],[CARGA PARCIAL]])+Tabela1[[#This Row],[REEMBOLSO]]</f>
        <v>0.31000000000005912</v>
      </c>
      <c r="Q227" t="s">
        <v>24</v>
      </c>
    </row>
    <row r="228" spans="1:17">
      <c r="A228" s="3" t="s">
        <v>594</v>
      </c>
      <c r="B228" s="3" t="s">
        <v>595</v>
      </c>
      <c r="C228" s="5" t="s">
        <v>19</v>
      </c>
      <c r="D228" s="3" t="s">
        <v>101</v>
      </c>
      <c r="E228" s="3" t="s">
        <v>478</v>
      </c>
      <c r="F228" s="3" t="s">
        <v>103</v>
      </c>
      <c r="G228" s="3" t="s">
        <v>33</v>
      </c>
      <c r="H228" s="21">
        <v>0</v>
      </c>
      <c r="I228" s="21">
        <v>43.800000000000054</v>
      </c>
      <c r="J228" s="21">
        <v>150</v>
      </c>
      <c r="K228" s="21">
        <v>80.7</v>
      </c>
      <c r="L228" s="22"/>
      <c r="M228" s="21">
        <f>Tabela1[[#This Row],[1ª QZ]]-Tabela1[[#This Row],[SALDO FINAL]]-Tabela1[[#This Row],[SALDO CARTAO]]-Tabela1[[#This Row],[Adiantamento ]]</f>
        <v>25.499999999999943</v>
      </c>
      <c r="N228" s="21">
        <f>Tabela1[[#This Row],[SALDO REEMBOLSAR]]*$N$4</f>
        <v>0</v>
      </c>
      <c r="O228" s="21">
        <f>IF(Tabela1[[#This Row],[CARGA PARCIAL]]&lt;0,0,Tabela1[[#This Row],[CARGA PARCIAL]])+Tabela1[[#This Row],[REEMBOLSO]]</f>
        <v>25.499999999999943</v>
      </c>
      <c r="Q228" t="s">
        <v>24</v>
      </c>
    </row>
    <row r="229" spans="1:17">
      <c r="A229" s="3" t="s">
        <v>596</v>
      </c>
      <c r="B229" s="3" t="s">
        <v>597</v>
      </c>
      <c r="C229" s="5" t="s">
        <v>19</v>
      </c>
      <c r="D229" s="3" t="s">
        <v>93</v>
      </c>
      <c r="E229" s="3" t="s">
        <v>289</v>
      </c>
      <c r="F229" s="3" t="s">
        <v>95</v>
      </c>
      <c r="G229" s="3" t="s">
        <v>33</v>
      </c>
      <c r="H229" s="21">
        <v>0</v>
      </c>
      <c r="I229" s="21">
        <v>33.299999999999955</v>
      </c>
      <c r="J229" s="21">
        <v>200</v>
      </c>
      <c r="K229" s="21">
        <v>3</v>
      </c>
      <c r="L229" s="22"/>
      <c r="M229" s="21">
        <f>Tabela1[[#This Row],[1ª QZ]]-Tabela1[[#This Row],[SALDO FINAL]]-Tabela1[[#This Row],[SALDO CARTAO]]-Tabela1[[#This Row],[Adiantamento ]]</f>
        <v>163.70000000000005</v>
      </c>
      <c r="N229" s="21">
        <f>Tabela1[[#This Row],[SALDO REEMBOLSAR]]*$N$4</f>
        <v>0</v>
      </c>
      <c r="O229" s="21">
        <f>IF(Tabela1[[#This Row],[CARGA PARCIAL]]&lt;0,0,Tabela1[[#This Row],[CARGA PARCIAL]])+Tabela1[[#This Row],[REEMBOLSO]]</f>
        <v>163.70000000000005</v>
      </c>
      <c r="Q229" t="s">
        <v>24</v>
      </c>
    </row>
    <row r="230" spans="1:17">
      <c r="A230" s="3" t="s">
        <v>598</v>
      </c>
      <c r="B230" s="3" t="s">
        <v>599</v>
      </c>
      <c r="C230" s="5" t="s">
        <v>19</v>
      </c>
      <c r="D230" s="3" t="s">
        <v>20</v>
      </c>
      <c r="E230" s="3" t="s">
        <v>270</v>
      </c>
      <c r="F230" s="3" t="s">
        <v>22</v>
      </c>
      <c r="G230" s="3" t="s">
        <v>23</v>
      </c>
      <c r="H230" s="21">
        <v>0</v>
      </c>
      <c r="I230" s="21">
        <v>30.400000000001455</v>
      </c>
      <c r="J230" s="21">
        <v>1000</v>
      </c>
      <c r="K230" s="21">
        <v>3</v>
      </c>
      <c r="L230" s="22"/>
      <c r="M230" s="21">
        <f>Tabela1[[#This Row],[1ª QZ]]-Tabela1[[#This Row],[SALDO FINAL]]-Tabela1[[#This Row],[SALDO CARTAO]]-Tabela1[[#This Row],[Adiantamento ]]</f>
        <v>966.59999999999854</v>
      </c>
      <c r="N230" s="21">
        <f>Tabela1[[#This Row],[SALDO REEMBOLSAR]]*$N$4</f>
        <v>0</v>
      </c>
      <c r="O230" s="21">
        <f>IF(Tabela1[[#This Row],[CARGA PARCIAL]]&lt;0,0,Tabela1[[#This Row],[CARGA PARCIAL]])+Tabela1[[#This Row],[REEMBOLSO]]</f>
        <v>966.59999999999854</v>
      </c>
      <c r="Q230" t="s">
        <v>24</v>
      </c>
    </row>
    <row r="231" spans="1:17">
      <c r="A231" s="3" t="s">
        <v>600</v>
      </c>
      <c r="B231" s="3" t="s">
        <v>601</v>
      </c>
      <c r="C231" s="5" t="s">
        <v>19</v>
      </c>
      <c r="D231" s="3" t="s">
        <v>74</v>
      </c>
      <c r="E231" s="3" t="s">
        <v>75</v>
      </c>
      <c r="F231" s="3" t="s">
        <v>76</v>
      </c>
      <c r="G231" s="3" t="s">
        <v>23</v>
      </c>
      <c r="H231" s="21">
        <v>0</v>
      </c>
      <c r="I231" s="21">
        <v>26.780000000001962</v>
      </c>
      <c r="J231" s="21">
        <v>1000</v>
      </c>
      <c r="K231" s="21">
        <v>130.31</v>
      </c>
      <c r="L231" s="22"/>
      <c r="M231" s="21">
        <f>Tabela1[[#This Row],[1ª QZ]]-Tabela1[[#This Row],[SALDO FINAL]]-Tabela1[[#This Row],[SALDO CARTAO]]-Tabela1[[#This Row],[Adiantamento ]]</f>
        <v>842.90999999999804</v>
      </c>
      <c r="N231" s="21">
        <f>Tabela1[[#This Row],[SALDO REEMBOLSAR]]*$N$4</f>
        <v>0</v>
      </c>
      <c r="O231" s="21">
        <f>IF(Tabela1[[#This Row],[CARGA PARCIAL]]&lt;0,0,Tabela1[[#This Row],[CARGA PARCIAL]])+Tabela1[[#This Row],[REEMBOLSO]]</f>
        <v>842.90999999999804</v>
      </c>
      <c r="Q231" t="s">
        <v>24</v>
      </c>
    </row>
    <row r="232" spans="1:17">
      <c r="A232" s="3" t="s">
        <v>602</v>
      </c>
      <c r="B232" s="3" t="s">
        <v>603</v>
      </c>
      <c r="C232" s="5" t="s">
        <v>19</v>
      </c>
      <c r="D232" s="3" t="s">
        <v>101</v>
      </c>
      <c r="E232" s="3" t="s">
        <v>478</v>
      </c>
      <c r="F232" s="3" t="s">
        <v>103</v>
      </c>
      <c r="G232" s="3" t="s">
        <v>33</v>
      </c>
      <c r="H232" s="21">
        <v>0</v>
      </c>
      <c r="I232" s="21">
        <v>21.089999999999762</v>
      </c>
      <c r="J232" s="21">
        <v>100</v>
      </c>
      <c r="K232" s="21">
        <v>24.42</v>
      </c>
      <c r="L232" s="22"/>
      <c r="M232" s="21">
        <f>Tabela1[[#This Row],[1ª QZ]]-Tabela1[[#This Row],[SALDO FINAL]]-Tabela1[[#This Row],[SALDO CARTAO]]-Tabela1[[#This Row],[Adiantamento ]]</f>
        <v>54.490000000000236</v>
      </c>
      <c r="N232" s="21">
        <f>Tabela1[[#This Row],[SALDO REEMBOLSAR]]*$N$4</f>
        <v>0</v>
      </c>
      <c r="O232" s="21">
        <f>IF(Tabela1[[#This Row],[CARGA PARCIAL]]&lt;0,0,Tabela1[[#This Row],[CARGA PARCIAL]])+Tabela1[[#This Row],[REEMBOLSO]]</f>
        <v>54.490000000000236</v>
      </c>
      <c r="Q232" t="s">
        <v>24</v>
      </c>
    </row>
    <row r="233" spans="1:17">
      <c r="A233" s="3" t="s">
        <v>604</v>
      </c>
      <c r="B233" s="3" t="s">
        <v>605</v>
      </c>
      <c r="C233" s="5" t="s">
        <v>19</v>
      </c>
      <c r="D233" s="3" t="s">
        <v>50</v>
      </c>
      <c r="E233" s="3" t="s">
        <v>122</v>
      </c>
      <c r="F233" s="3" t="s">
        <v>52</v>
      </c>
      <c r="G233" s="3" t="s">
        <v>33</v>
      </c>
      <c r="H233" s="21">
        <v>0</v>
      </c>
      <c r="I233" s="21">
        <v>20.199999999995271</v>
      </c>
      <c r="J233" s="21">
        <v>800</v>
      </c>
      <c r="K233" s="21">
        <v>302.75</v>
      </c>
      <c r="L233" s="22"/>
      <c r="M233" s="21">
        <f>Tabela1[[#This Row],[1ª QZ]]-Tabela1[[#This Row],[SALDO FINAL]]-Tabela1[[#This Row],[SALDO CARTAO]]-Tabela1[[#This Row],[Adiantamento ]]</f>
        <v>477.05000000000473</v>
      </c>
      <c r="N233" s="21">
        <f>Tabela1[[#This Row],[SALDO REEMBOLSAR]]*$N$4</f>
        <v>0</v>
      </c>
      <c r="O233" s="21">
        <f>IF(Tabela1[[#This Row],[CARGA PARCIAL]]&lt;0,0,Tabela1[[#This Row],[CARGA PARCIAL]])+Tabela1[[#This Row],[REEMBOLSO]]</f>
        <v>477.05000000000473</v>
      </c>
      <c r="Q233" t="s">
        <v>24</v>
      </c>
    </row>
    <row r="234" spans="1:17">
      <c r="A234" s="3" t="s">
        <v>606</v>
      </c>
      <c r="B234" s="3" t="s">
        <v>607</v>
      </c>
      <c r="C234" s="5" t="s">
        <v>19</v>
      </c>
      <c r="D234" s="3" t="s">
        <v>50</v>
      </c>
      <c r="E234" s="3" t="s">
        <v>134</v>
      </c>
      <c r="F234" s="3" t="s">
        <v>52</v>
      </c>
      <c r="G234" s="3" t="s">
        <v>33</v>
      </c>
      <c r="H234" s="21">
        <v>0</v>
      </c>
      <c r="I234" s="21">
        <v>14.999999999999886</v>
      </c>
      <c r="J234" s="21">
        <v>1500</v>
      </c>
      <c r="K234" s="21">
        <v>716.53</v>
      </c>
      <c r="L234" s="22"/>
      <c r="M234" s="21">
        <f>Tabela1[[#This Row],[1ª QZ]]-Tabela1[[#This Row],[SALDO FINAL]]-Tabela1[[#This Row],[SALDO CARTAO]]-Tabela1[[#This Row],[Adiantamento ]]</f>
        <v>768.47</v>
      </c>
      <c r="N234" s="21">
        <f>Tabela1[[#This Row],[SALDO REEMBOLSAR]]*$N$4</f>
        <v>0</v>
      </c>
      <c r="O234" s="21">
        <f>IF(Tabela1[[#This Row],[CARGA PARCIAL]]&lt;0,0,Tabela1[[#This Row],[CARGA PARCIAL]])+Tabela1[[#This Row],[REEMBOLSO]]</f>
        <v>768.47</v>
      </c>
      <c r="Q234" t="s">
        <v>24</v>
      </c>
    </row>
    <row r="235" spans="1:17">
      <c r="A235" s="3" t="s">
        <v>608</v>
      </c>
      <c r="B235" s="3" t="s">
        <v>609</v>
      </c>
      <c r="C235" s="5" t="s">
        <v>19</v>
      </c>
      <c r="D235" s="3" t="s">
        <v>30</v>
      </c>
      <c r="E235" s="3" t="s">
        <v>610</v>
      </c>
      <c r="F235" s="3" t="s">
        <v>32</v>
      </c>
      <c r="G235" s="3" t="s">
        <v>33</v>
      </c>
      <c r="H235" s="21">
        <v>0</v>
      </c>
      <c r="I235" s="21">
        <v>14.999999999999801</v>
      </c>
      <c r="J235" s="21">
        <v>500</v>
      </c>
      <c r="K235" s="21">
        <v>132.46</v>
      </c>
      <c r="L235" s="22"/>
      <c r="M235" s="21">
        <f>Tabela1[[#This Row],[1ª QZ]]-Tabela1[[#This Row],[SALDO FINAL]]-Tabela1[[#This Row],[SALDO CARTAO]]-Tabela1[[#This Row],[Adiantamento ]]</f>
        <v>352.54000000000019</v>
      </c>
      <c r="N235" s="21">
        <f>Tabela1[[#This Row],[SALDO REEMBOLSAR]]*$N$4</f>
        <v>0</v>
      </c>
      <c r="O235" s="21">
        <f>IF(Tabela1[[#This Row],[CARGA PARCIAL]]&lt;0,0,Tabela1[[#This Row],[CARGA PARCIAL]])+Tabela1[[#This Row],[REEMBOLSO]]</f>
        <v>352.54000000000019</v>
      </c>
      <c r="Q235" t="s">
        <v>24</v>
      </c>
    </row>
    <row r="236" spans="1:17">
      <c r="A236" s="3" t="s">
        <v>611</v>
      </c>
      <c r="B236" s="3" t="s">
        <v>612</v>
      </c>
      <c r="C236" s="5" t="s">
        <v>19</v>
      </c>
      <c r="D236" s="3" t="s">
        <v>30</v>
      </c>
      <c r="E236" s="3" t="s">
        <v>114</v>
      </c>
      <c r="F236" s="3" t="s">
        <v>32</v>
      </c>
      <c r="G236" s="3" t="s">
        <v>33</v>
      </c>
      <c r="H236" s="21">
        <v>0</v>
      </c>
      <c r="I236" s="21">
        <v>14.289999999998145</v>
      </c>
      <c r="J236" s="21">
        <v>250</v>
      </c>
      <c r="K236" s="21">
        <v>146.25</v>
      </c>
      <c r="L236" s="22"/>
      <c r="M236" s="21">
        <f>Tabela1[[#This Row],[1ª QZ]]-Tabela1[[#This Row],[SALDO FINAL]]-Tabela1[[#This Row],[SALDO CARTAO]]-Tabela1[[#This Row],[Adiantamento ]]</f>
        <v>89.460000000001855</v>
      </c>
      <c r="N236" s="21">
        <f>Tabela1[[#This Row],[SALDO REEMBOLSAR]]*$N$4</f>
        <v>0</v>
      </c>
      <c r="O236" s="21">
        <f>IF(Tabela1[[#This Row],[CARGA PARCIAL]]&lt;0,0,Tabela1[[#This Row],[CARGA PARCIAL]])+Tabela1[[#This Row],[REEMBOLSO]]</f>
        <v>89.460000000001855</v>
      </c>
      <c r="Q236" t="s">
        <v>24</v>
      </c>
    </row>
    <row r="237" spans="1:17">
      <c r="A237" s="3" t="s">
        <v>613</v>
      </c>
      <c r="B237" s="3" t="s">
        <v>614</v>
      </c>
      <c r="C237" s="5" t="s">
        <v>19</v>
      </c>
      <c r="D237" s="3" t="s">
        <v>30</v>
      </c>
      <c r="E237" s="3" t="s">
        <v>615</v>
      </c>
      <c r="F237" s="3" t="s">
        <v>32</v>
      </c>
      <c r="G237" s="3" t="s">
        <v>33</v>
      </c>
      <c r="H237" s="21">
        <v>0</v>
      </c>
      <c r="I237" s="21">
        <v>13.999999999999091</v>
      </c>
      <c r="J237" s="21">
        <v>1000</v>
      </c>
      <c r="K237" s="21">
        <v>986</v>
      </c>
      <c r="L237" s="22"/>
      <c r="M237" s="21">
        <f>Tabela1[[#This Row],[1ª QZ]]-Tabela1[[#This Row],[SALDO FINAL]]-Tabela1[[#This Row],[SALDO CARTAO]]-Tabela1[[#This Row],[Adiantamento ]]</f>
        <v>9.0949470177292824E-13</v>
      </c>
      <c r="N237" s="21">
        <f>Tabela1[[#This Row],[SALDO REEMBOLSAR]]*$N$4</f>
        <v>0</v>
      </c>
      <c r="O237" s="21">
        <f>IF(Tabela1[[#This Row],[CARGA PARCIAL]]&lt;0,0,Tabela1[[#This Row],[CARGA PARCIAL]])+Tabela1[[#This Row],[REEMBOLSO]]</f>
        <v>9.0949470177292824E-13</v>
      </c>
      <c r="Q237" t="s">
        <v>24</v>
      </c>
    </row>
    <row r="238" spans="1:17">
      <c r="A238" s="3" t="s">
        <v>616</v>
      </c>
      <c r="B238" s="3" t="s">
        <v>617</v>
      </c>
      <c r="C238" s="5" t="s">
        <v>19</v>
      </c>
      <c r="D238" s="3" t="s">
        <v>30</v>
      </c>
      <c r="E238" s="3" t="s">
        <v>139</v>
      </c>
      <c r="F238" s="3" t="s">
        <v>32</v>
      </c>
      <c r="G238" s="3" t="s">
        <v>33</v>
      </c>
      <c r="H238" s="21">
        <v>0</v>
      </c>
      <c r="I238" s="21">
        <v>11.400000000000945</v>
      </c>
      <c r="J238" s="21">
        <v>1200</v>
      </c>
      <c r="K238" s="21">
        <v>2.56</v>
      </c>
      <c r="L238" s="22"/>
      <c r="M238" s="21">
        <f>Tabela1[[#This Row],[1ª QZ]]-Tabela1[[#This Row],[SALDO FINAL]]-Tabela1[[#This Row],[SALDO CARTAO]]-Tabela1[[#This Row],[Adiantamento ]]</f>
        <v>1186.0399999999991</v>
      </c>
      <c r="N238" s="21">
        <f>Tabela1[[#This Row],[SALDO REEMBOLSAR]]*$N$4</f>
        <v>0</v>
      </c>
      <c r="O238" s="21">
        <f>IF(Tabela1[[#This Row],[CARGA PARCIAL]]&lt;0,0,Tabela1[[#This Row],[CARGA PARCIAL]])+Tabela1[[#This Row],[REEMBOLSO]]</f>
        <v>1186.0399999999991</v>
      </c>
      <c r="Q238" t="s">
        <v>24</v>
      </c>
    </row>
    <row r="239" spans="1:17">
      <c r="A239" s="3" t="s">
        <v>618</v>
      </c>
      <c r="B239" s="3" t="s">
        <v>619</v>
      </c>
      <c r="C239" s="5" t="s">
        <v>19</v>
      </c>
      <c r="D239" s="3" t="s">
        <v>101</v>
      </c>
      <c r="E239" s="3" t="s">
        <v>159</v>
      </c>
      <c r="F239" s="3" t="s">
        <v>103</v>
      </c>
      <c r="G239" s="3" t="s">
        <v>33</v>
      </c>
      <c r="H239" s="21">
        <v>0</v>
      </c>
      <c r="I239" s="21">
        <v>10.800000000000637</v>
      </c>
      <c r="J239" s="21">
        <v>160</v>
      </c>
      <c r="K239" s="21">
        <v>18</v>
      </c>
      <c r="L239" s="22"/>
      <c r="M239" s="21">
        <f>Tabela1[[#This Row],[1ª QZ]]-Tabela1[[#This Row],[SALDO FINAL]]-Tabela1[[#This Row],[SALDO CARTAO]]-Tabela1[[#This Row],[Adiantamento ]]</f>
        <v>131.19999999999936</v>
      </c>
      <c r="N239" s="21">
        <f>Tabela1[[#This Row],[SALDO REEMBOLSAR]]*$N$4</f>
        <v>0</v>
      </c>
      <c r="O239" s="21">
        <f>IF(Tabela1[[#This Row],[CARGA PARCIAL]]&lt;0,0,Tabela1[[#This Row],[CARGA PARCIAL]])+Tabela1[[#This Row],[REEMBOLSO]]</f>
        <v>131.19999999999936</v>
      </c>
      <c r="Q239" t="s">
        <v>24</v>
      </c>
    </row>
    <row r="240" spans="1:17">
      <c r="A240" s="3" t="s">
        <v>620</v>
      </c>
      <c r="B240" s="3" t="s">
        <v>621</v>
      </c>
      <c r="C240" s="5" t="s">
        <v>19</v>
      </c>
      <c r="D240" s="3" t="s">
        <v>30</v>
      </c>
      <c r="E240" s="3" t="s">
        <v>487</v>
      </c>
      <c r="F240" s="3" t="s">
        <v>32</v>
      </c>
      <c r="G240" s="3" t="s">
        <v>33</v>
      </c>
      <c r="H240" s="21">
        <v>0</v>
      </c>
      <c r="I240" s="21">
        <v>5.6999999999999886</v>
      </c>
      <c r="J240" s="21">
        <v>500</v>
      </c>
      <c r="K240" s="21">
        <v>386.8</v>
      </c>
      <c r="L240" s="22"/>
      <c r="M240" s="21">
        <f>Tabela1[[#This Row],[1ª QZ]]-Tabela1[[#This Row],[SALDO FINAL]]-Tabela1[[#This Row],[SALDO CARTAO]]-Tabela1[[#This Row],[Adiantamento ]]</f>
        <v>107.5</v>
      </c>
      <c r="N240" s="21">
        <f>Tabela1[[#This Row],[SALDO REEMBOLSAR]]*$N$4</f>
        <v>0</v>
      </c>
      <c r="O240" s="21">
        <f>IF(Tabela1[[#This Row],[CARGA PARCIAL]]&lt;0,0,Tabela1[[#This Row],[CARGA PARCIAL]])+Tabela1[[#This Row],[REEMBOLSO]]</f>
        <v>107.5</v>
      </c>
      <c r="Q240" t="s">
        <v>24</v>
      </c>
    </row>
    <row r="241" spans="1:17">
      <c r="A241" s="3" t="s">
        <v>622</v>
      </c>
      <c r="B241" s="3" t="s">
        <v>623</v>
      </c>
      <c r="C241" s="5" t="s">
        <v>19</v>
      </c>
      <c r="D241" s="3" t="s">
        <v>93</v>
      </c>
      <c r="E241" s="3" t="s">
        <v>94</v>
      </c>
      <c r="F241" s="3" t="s">
        <v>95</v>
      </c>
      <c r="G241" s="3" t="s">
        <v>33</v>
      </c>
      <c r="H241" s="21">
        <v>0</v>
      </c>
      <c r="I241" s="21">
        <v>5.1499999999998636</v>
      </c>
      <c r="J241" s="21">
        <v>125</v>
      </c>
      <c r="K241" s="21">
        <v>125</v>
      </c>
      <c r="L241" s="22"/>
      <c r="M241" s="21">
        <f>Tabela1[[#This Row],[1ª QZ]]-Tabela1[[#This Row],[SALDO FINAL]]-Tabela1[[#This Row],[SALDO CARTAO]]-Tabela1[[#This Row],[Adiantamento ]]</f>
        <v>-5.1499999999998636</v>
      </c>
      <c r="N241" s="21">
        <f>Tabela1[[#This Row],[SALDO REEMBOLSAR]]*$N$4</f>
        <v>0</v>
      </c>
      <c r="O241" s="21">
        <f>IF(Tabela1[[#This Row],[CARGA PARCIAL]]&lt;0,0,Tabela1[[#This Row],[CARGA PARCIAL]])+Tabela1[[#This Row],[REEMBOLSO]]</f>
        <v>0</v>
      </c>
      <c r="Q241" t="s">
        <v>24</v>
      </c>
    </row>
    <row r="242" spans="1:17">
      <c r="A242" s="3" t="s">
        <v>624</v>
      </c>
      <c r="B242" s="3" t="s">
        <v>625</v>
      </c>
      <c r="C242" s="5" t="s">
        <v>19</v>
      </c>
      <c r="D242" s="3" t="s">
        <v>30</v>
      </c>
      <c r="E242" s="3" t="s">
        <v>117</v>
      </c>
      <c r="F242" s="3" t="s">
        <v>32</v>
      </c>
      <c r="G242" s="3" t="s">
        <v>33</v>
      </c>
      <c r="H242" s="21">
        <v>0</v>
      </c>
      <c r="I242" s="21">
        <v>5.1200000000023991</v>
      </c>
      <c r="J242" s="21">
        <v>800</v>
      </c>
      <c r="K242" s="21">
        <v>42.99</v>
      </c>
      <c r="L242" s="22"/>
      <c r="M242" s="21">
        <f>Tabela1[[#This Row],[1ª QZ]]-Tabela1[[#This Row],[SALDO FINAL]]-Tabela1[[#This Row],[SALDO CARTAO]]-Tabela1[[#This Row],[Adiantamento ]]</f>
        <v>751.8899999999976</v>
      </c>
      <c r="N242" s="21">
        <f>Tabela1[[#This Row],[SALDO REEMBOLSAR]]*$N$4</f>
        <v>0</v>
      </c>
      <c r="O242" s="21">
        <f>IF(Tabela1[[#This Row],[CARGA PARCIAL]]&lt;0,0,Tabela1[[#This Row],[CARGA PARCIAL]])+Tabela1[[#This Row],[REEMBOLSO]]</f>
        <v>751.8899999999976</v>
      </c>
      <c r="Q242" t="s">
        <v>24</v>
      </c>
    </row>
    <row r="243" spans="1:17">
      <c r="A243" s="3" t="s">
        <v>626</v>
      </c>
      <c r="B243" s="3" t="s">
        <v>627</v>
      </c>
      <c r="C243" s="5" t="s">
        <v>19</v>
      </c>
      <c r="D243" s="3" t="s">
        <v>30</v>
      </c>
      <c r="E243" s="3" t="s">
        <v>341</v>
      </c>
      <c r="F243" s="3" t="s">
        <v>32</v>
      </c>
      <c r="G243" s="3" t="s">
        <v>33</v>
      </c>
      <c r="H243" s="21">
        <v>0</v>
      </c>
      <c r="I243" s="21">
        <v>1.2000000000001592</v>
      </c>
      <c r="J243" s="21">
        <v>500</v>
      </c>
      <c r="K243" s="21">
        <v>288.85000000000002</v>
      </c>
      <c r="L243" s="22"/>
      <c r="M243" s="21">
        <f>Tabela1[[#This Row],[1ª QZ]]-Tabela1[[#This Row],[SALDO FINAL]]-Tabela1[[#This Row],[SALDO CARTAO]]-Tabela1[[#This Row],[Adiantamento ]]</f>
        <v>209.94999999999982</v>
      </c>
      <c r="N243" s="21">
        <f>Tabela1[[#This Row],[SALDO REEMBOLSAR]]*$N$4</f>
        <v>0</v>
      </c>
      <c r="O243" s="21">
        <f>IF(Tabela1[[#This Row],[CARGA PARCIAL]]&lt;0,0,Tabela1[[#This Row],[CARGA PARCIAL]])+Tabela1[[#This Row],[REEMBOLSO]]</f>
        <v>209.94999999999982</v>
      </c>
      <c r="Q243" t="s">
        <v>24</v>
      </c>
    </row>
    <row r="244" spans="1:17">
      <c r="A244" s="3" t="s">
        <v>628</v>
      </c>
      <c r="B244" s="3" t="s">
        <v>629</v>
      </c>
      <c r="C244" s="5" t="s">
        <v>19</v>
      </c>
      <c r="D244" s="3" t="s">
        <v>30</v>
      </c>
      <c r="E244" s="3" t="s">
        <v>117</v>
      </c>
      <c r="F244" s="3" t="s">
        <v>32</v>
      </c>
      <c r="G244" s="3" t="s">
        <v>33</v>
      </c>
      <c r="H244" s="21">
        <v>0</v>
      </c>
      <c r="I244" s="21">
        <v>6.5369931689929217E-12</v>
      </c>
      <c r="J244" s="21">
        <v>800</v>
      </c>
      <c r="K244" s="21">
        <v>392.8</v>
      </c>
      <c r="L244" s="22"/>
      <c r="M244" s="21">
        <f>Tabela1[[#This Row],[1ª QZ]]-Tabela1[[#This Row],[SALDO FINAL]]-Tabela1[[#This Row],[SALDO CARTAO]]-Tabela1[[#This Row],[Adiantamento ]]</f>
        <v>407.19999999999339</v>
      </c>
      <c r="N244" s="21">
        <f>Tabela1[[#This Row],[SALDO REEMBOLSAR]]*$N$4</f>
        <v>0</v>
      </c>
      <c r="O244" s="21">
        <f>IF(Tabela1[[#This Row],[CARGA PARCIAL]]&lt;0,0,Tabela1[[#This Row],[CARGA PARCIAL]])+Tabela1[[#This Row],[REEMBOLSO]]</f>
        <v>407.19999999999339</v>
      </c>
      <c r="Q244" t="s">
        <v>24</v>
      </c>
    </row>
    <row r="245" spans="1:17">
      <c r="A245" s="3" t="s">
        <v>630</v>
      </c>
      <c r="B245" s="3" t="s">
        <v>631</v>
      </c>
      <c r="C245" s="5" t="s">
        <v>19</v>
      </c>
      <c r="D245" s="3" t="s">
        <v>30</v>
      </c>
      <c r="E245" s="3" t="s">
        <v>117</v>
      </c>
      <c r="F245" s="3" t="s">
        <v>32</v>
      </c>
      <c r="G245" s="3" t="s">
        <v>33</v>
      </c>
      <c r="H245" s="21">
        <v>0</v>
      </c>
      <c r="I245" s="21">
        <v>4.9453774408902973E-12</v>
      </c>
      <c r="J245" s="21">
        <v>800</v>
      </c>
      <c r="K245" s="21">
        <v>102.06</v>
      </c>
      <c r="L245" s="22"/>
      <c r="M245" s="21">
        <f>Tabela1[[#This Row],[1ª QZ]]-Tabela1[[#This Row],[SALDO FINAL]]-Tabela1[[#This Row],[SALDO CARTAO]]-Tabela1[[#This Row],[Adiantamento ]]</f>
        <v>697.93999999999505</v>
      </c>
      <c r="N245" s="21">
        <f>Tabela1[[#This Row],[SALDO REEMBOLSAR]]*$N$4</f>
        <v>0</v>
      </c>
      <c r="O245" s="21">
        <f>IF(Tabela1[[#This Row],[CARGA PARCIAL]]&lt;0,0,Tabela1[[#This Row],[CARGA PARCIAL]])+Tabela1[[#This Row],[REEMBOLSO]]</f>
        <v>697.93999999999505</v>
      </c>
      <c r="Q245" t="s">
        <v>24</v>
      </c>
    </row>
    <row r="246" spans="1:17">
      <c r="A246" s="3" t="s">
        <v>632</v>
      </c>
      <c r="B246" s="3" t="s">
        <v>633</v>
      </c>
      <c r="C246" s="5" t="s">
        <v>19</v>
      </c>
      <c r="D246" s="3" t="s">
        <v>30</v>
      </c>
      <c r="E246" s="3" t="s">
        <v>117</v>
      </c>
      <c r="F246" s="3" t="s">
        <v>32</v>
      </c>
      <c r="G246" s="3" t="s">
        <v>33</v>
      </c>
      <c r="H246" s="21">
        <v>0</v>
      </c>
      <c r="I246" s="21">
        <v>4.4382275632415258E-12</v>
      </c>
      <c r="J246" s="21">
        <v>750</v>
      </c>
      <c r="K246" s="21">
        <v>7.12</v>
      </c>
      <c r="L246" s="22"/>
      <c r="M246" s="21">
        <f>Tabela1[[#This Row],[1ª QZ]]-Tabela1[[#This Row],[SALDO FINAL]]-Tabela1[[#This Row],[SALDO CARTAO]]-Tabela1[[#This Row],[Adiantamento ]]</f>
        <v>742.87999999999556</v>
      </c>
      <c r="N246" s="21">
        <f>Tabela1[[#This Row],[SALDO REEMBOLSAR]]*$N$4</f>
        <v>0</v>
      </c>
      <c r="O246" s="21">
        <f>IF(Tabela1[[#This Row],[CARGA PARCIAL]]&lt;0,0,Tabela1[[#This Row],[CARGA PARCIAL]])+Tabela1[[#This Row],[REEMBOLSO]]</f>
        <v>742.87999999999556</v>
      </c>
      <c r="Q246" t="s">
        <v>24</v>
      </c>
    </row>
    <row r="247" spans="1:17">
      <c r="A247" s="3" t="s">
        <v>634</v>
      </c>
      <c r="B247" s="3" t="s">
        <v>635</v>
      </c>
      <c r="C247" s="5" t="s">
        <v>19</v>
      </c>
      <c r="D247" s="3" t="s">
        <v>30</v>
      </c>
      <c r="E247" s="3" t="s">
        <v>117</v>
      </c>
      <c r="F247" s="3" t="s">
        <v>32</v>
      </c>
      <c r="G247" s="3" t="s">
        <v>33</v>
      </c>
      <c r="H247" s="21">
        <v>0</v>
      </c>
      <c r="I247" s="21">
        <v>4.3627323975670151E-12</v>
      </c>
      <c r="J247" s="21">
        <v>800</v>
      </c>
      <c r="K247" s="21">
        <v>32.700000000000003</v>
      </c>
      <c r="L247" s="22"/>
      <c r="M247" s="21">
        <f>Tabela1[[#This Row],[1ª QZ]]-Tabela1[[#This Row],[SALDO FINAL]]-Tabela1[[#This Row],[SALDO CARTAO]]-Tabela1[[#This Row],[Adiantamento ]]</f>
        <v>767.29999999999563</v>
      </c>
      <c r="N247" s="21">
        <f>Tabela1[[#This Row],[SALDO REEMBOLSAR]]*$N$4</f>
        <v>0</v>
      </c>
      <c r="O247" s="21">
        <f>IF(Tabela1[[#This Row],[CARGA PARCIAL]]&lt;0,0,Tabela1[[#This Row],[CARGA PARCIAL]])+Tabela1[[#This Row],[REEMBOLSO]]</f>
        <v>767.29999999999563</v>
      </c>
      <c r="Q247" t="s">
        <v>24</v>
      </c>
    </row>
    <row r="248" spans="1:17">
      <c r="A248" s="3" t="s">
        <v>636</v>
      </c>
      <c r="B248" s="3" t="s">
        <v>637</v>
      </c>
      <c r="C248" s="5" t="s">
        <v>19</v>
      </c>
      <c r="D248" s="3" t="s">
        <v>30</v>
      </c>
      <c r="E248" s="3" t="s">
        <v>117</v>
      </c>
      <c r="F248" s="3" t="s">
        <v>32</v>
      </c>
      <c r="G248" s="3" t="s">
        <v>33</v>
      </c>
      <c r="H248" s="21">
        <v>0</v>
      </c>
      <c r="I248" s="21">
        <v>3.637978807091713E-12</v>
      </c>
      <c r="J248" s="21">
        <v>800</v>
      </c>
      <c r="K248" s="21">
        <v>353</v>
      </c>
      <c r="L248" s="22"/>
      <c r="M248" s="21">
        <f>Tabela1[[#This Row],[1ª QZ]]-Tabela1[[#This Row],[SALDO FINAL]]-Tabela1[[#This Row],[SALDO CARTAO]]-Tabela1[[#This Row],[Adiantamento ]]</f>
        <v>446.99999999999636</v>
      </c>
      <c r="N248" s="21">
        <f>Tabela1[[#This Row],[SALDO REEMBOLSAR]]*$N$4</f>
        <v>0</v>
      </c>
      <c r="O248" s="21">
        <f>IF(Tabela1[[#This Row],[CARGA PARCIAL]]&lt;0,0,Tabela1[[#This Row],[CARGA PARCIAL]])+Tabela1[[#This Row],[REEMBOLSO]]</f>
        <v>446.99999999999636</v>
      </c>
      <c r="Q248" t="s">
        <v>24</v>
      </c>
    </row>
    <row r="249" spans="1:17">
      <c r="A249" s="3" t="s">
        <v>638</v>
      </c>
      <c r="B249" s="3" t="s">
        <v>639</v>
      </c>
      <c r="C249" s="5" t="s">
        <v>19</v>
      </c>
      <c r="D249" s="3" t="s">
        <v>30</v>
      </c>
      <c r="E249" s="3" t="s">
        <v>117</v>
      </c>
      <c r="F249" s="3" t="s">
        <v>32</v>
      </c>
      <c r="G249" s="3" t="s">
        <v>33</v>
      </c>
      <c r="H249" s="21">
        <v>0</v>
      </c>
      <c r="I249" s="21">
        <v>2.6192381596956693E-12</v>
      </c>
      <c r="J249" s="21">
        <v>800</v>
      </c>
      <c r="K249" s="21">
        <v>7.87</v>
      </c>
      <c r="L249" s="22"/>
      <c r="M249" s="21">
        <f>Tabela1[[#This Row],[1ª QZ]]-Tabela1[[#This Row],[SALDO FINAL]]-Tabela1[[#This Row],[SALDO CARTAO]]-Tabela1[[#This Row],[Adiantamento ]]</f>
        <v>792.12999999999738</v>
      </c>
      <c r="N249" s="21">
        <f>Tabela1[[#This Row],[SALDO REEMBOLSAR]]*$N$4</f>
        <v>0</v>
      </c>
      <c r="O249" s="21">
        <f>IF(Tabela1[[#This Row],[CARGA PARCIAL]]&lt;0,0,Tabela1[[#This Row],[CARGA PARCIAL]])+Tabela1[[#This Row],[REEMBOLSO]]</f>
        <v>792.12999999999738</v>
      </c>
      <c r="Q249" t="s">
        <v>24</v>
      </c>
    </row>
    <row r="250" spans="1:17">
      <c r="A250" s="3" t="s">
        <v>640</v>
      </c>
      <c r="B250" s="3" t="s">
        <v>641</v>
      </c>
      <c r="C250" s="5" t="s">
        <v>19</v>
      </c>
      <c r="D250" s="3" t="s">
        <v>30</v>
      </c>
      <c r="E250" s="3" t="s">
        <v>117</v>
      </c>
      <c r="F250" s="3" t="s">
        <v>32</v>
      </c>
      <c r="G250" s="3" t="s">
        <v>33</v>
      </c>
      <c r="H250" s="21">
        <v>0</v>
      </c>
      <c r="I250" s="21">
        <v>1.3926637620897964E-12</v>
      </c>
      <c r="J250" s="21">
        <v>800</v>
      </c>
      <c r="K250" s="21">
        <v>228.73</v>
      </c>
      <c r="L250" s="22"/>
      <c r="M250" s="21">
        <f>Tabela1[[#This Row],[1ª QZ]]-Tabela1[[#This Row],[SALDO FINAL]]-Tabela1[[#This Row],[SALDO CARTAO]]-Tabela1[[#This Row],[Adiantamento ]]</f>
        <v>571.26999999999862</v>
      </c>
      <c r="N250" s="21">
        <f>Tabela1[[#This Row],[SALDO REEMBOLSAR]]*$N$4</f>
        <v>0</v>
      </c>
      <c r="O250" s="21">
        <f>IF(Tabela1[[#This Row],[CARGA PARCIAL]]&lt;0,0,Tabela1[[#This Row],[CARGA PARCIAL]])+Tabela1[[#This Row],[REEMBOLSO]]</f>
        <v>571.26999999999862</v>
      </c>
      <c r="Q250" t="s">
        <v>24</v>
      </c>
    </row>
    <row r="251" spans="1:17">
      <c r="A251" s="3" t="s">
        <v>642</v>
      </c>
      <c r="B251" s="3" t="s">
        <v>643</v>
      </c>
      <c r="C251" s="5" t="s">
        <v>19</v>
      </c>
      <c r="D251" s="3" t="s">
        <v>30</v>
      </c>
      <c r="E251" s="3" t="s">
        <v>117</v>
      </c>
      <c r="F251" s="3" t="s">
        <v>32</v>
      </c>
      <c r="G251" s="3" t="s">
        <v>33</v>
      </c>
      <c r="H251" s="21">
        <v>0</v>
      </c>
      <c r="I251" s="21">
        <v>1.0915712778114539E-12</v>
      </c>
      <c r="J251" s="21">
        <v>800</v>
      </c>
      <c r="K251" s="21">
        <v>5.05</v>
      </c>
      <c r="L251" s="22"/>
      <c r="M251" s="21">
        <f>Tabela1[[#This Row],[1ª QZ]]-Tabela1[[#This Row],[SALDO FINAL]]-Tabela1[[#This Row],[SALDO CARTAO]]-Tabela1[[#This Row],[Adiantamento ]]</f>
        <v>794.94999999999891</v>
      </c>
      <c r="N251" s="21">
        <f>Tabela1[[#This Row],[SALDO REEMBOLSAR]]*$N$4</f>
        <v>0</v>
      </c>
      <c r="O251" s="21">
        <f>IF(Tabela1[[#This Row],[CARGA PARCIAL]]&lt;0,0,Tabela1[[#This Row],[CARGA PARCIAL]])+Tabela1[[#This Row],[REEMBOLSO]]</f>
        <v>794.94999999999891</v>
      </c>
      <c r="Q251" t="s">
        <v>24</v>
      </c>
    </row>
    <row r="252" spans="1:17">
      <c r="A252" s="3" t="s">
        <v>644</v>
      </c>
      <c r="B252" s="3" t="s">
        <v>645</v>
      </c>
      <c r="C252" s="5" t="s">
        <v>19</v>
      </c>
      <c r="D252" s="3" t="s">
        <v>30</v>
      </c>
      <c r="E252" s="3" t="s">
        <v>327</v>
      </c>
      <c r="F252" s="3" t="s">
        <v>32</v>
      </c>
      <c r="G252" s="3" t="s">
        <v>33</v>
      </c>
      <c r="H252" s="21">
        <v>0</v>
      </c>
      <c r="I252" s="21">
        <v>7.9580786405131221E-13</v>
      </c>
      <c r="J252" s="21">
        <v>350</v>
      </c>
      <c r="K252" s="21">
        <v>498.62</v>
      </c>
      <c r="L252" s="22"/>
      <c r="M252" s="21">
        <f>Tabela1[[#This Row],[1ª QZ]]-Tabela1[[#This Row],[SALDO FINAL]]-Tabela1[[#This Row],[SALDO CARTAO]]-Tabela1[[#This Row],[Adiantamento ]]</f>
        <v>-148.6200000000008</v>
      </c>
      <c r="N252" s="21">
        <f>Tabela1[[#This Row],[SALDO REEMBOLSAR]]*$N$4</f>
        <v>0</v>
      </c>
      <c r="O252" s="21">
        <f>IF(Tabela1[[#This Row],[CARGA PARCIAL]]&lt;0,0,Tabela1[[#This Row],[CARGA PARCIAL]])+Tabela1[[#This Row],[REEMBOLSO]]</f>
        <v>0</v>
      </c>
      <c r="Q252" t="s">
        <v>24</v>
      </c>
    </row>
    <row r="253" spans="1:17">
      <c r="A253" s="3" t="s">
        <v>646</v>
      </c>
      <c r="B253" s="3" t="s">
        <v>647</v>
      </c>
      <c r="C253" s="5" t="s">
        <v>19</v>
      </c>
      <c r="D253" s="3" t="s">
        <v>30</v>
      </c>
      <c r="E253" s="3" t="s">
        <v>648</v>
      </c>
      <c r="F253" s="3" t="s">
        <v>32</v>
      </c>
      <c r="G253" s="3" t="s">
        <v>33</v>
      </c>
      <c r="H253" s="21">
        <v>0</v>
      </c>
      <c r="I253" s="21">
        <v>6.2527760746888816E-13</v>
      </c>
      <c r="J253" s="21">
        <v>500</v>
      </c>
      <c r="K253" s="21">
        <v>125.57</v>
      </c>
      <c r="L253" s="22"/>
      <c r="M253" s="21">
        <f>Tabela1[[#This Row],[1ª QZ]]-Tabela1[[#This Row],[SALDO FINAL]]-Tabela1[[#This Row],[SALDO CARTAO]]-Tabela1[[#This Row],[Adiantamento ]]</f>
        <v>374.42999999999938</v>
      </c>
      <c r="N253" s="21">
        <f>Tabela1[[#This Row],[SALDO REEMBOLSAR]]*$N$4</f>
        <v>0</v>
      </c>
      <c r="O253" s="21">
        <f>IF(Tabela1[[#This Row],[CARGA PARCIAL]]&lt;0,0,Tabela1[[#This Row],[CARGA PARCIAL]])+Tabela1[[#This Row],[REEMBOLSO]]</f>
        <v>374.42999999999938</v>
      </c>
      <c r="Q253" t="s">
        <v>24</v>
      </c>
    </row>
    <row r="254" spans="1:17">
      <c r="A254" s="3" t="s">
        <v>649</v>
      </c>
      <c r="B254" s="3" t="s">
        <v>650</v>
      </c>
      <c r="C254" s="5" t="s">
        <v>19</v>
      </c>
      <c r="D254" s="3" t="s">
        <v>50</v>
      </c>
      <c r="E254" s="3" t="s">
        <v>191</v>
      </c>
      <c r="F254" s="3" t="s">
        <v>52</v>
      </c>
      <c r="G254" s="3" t="s">
        <v>33</v>
      </c>
      <c r="H254" s="21">
        <v>0</v>
      </c>
      <c r="I254" s="21">
        <v>0</v>
      </c>
      <c r="J254" s="21">
        <v>5750</v>
      </c>
      <c r="K254" s="21">
        <v>3030.05</v>
      </c>
      <c r="L254" s="22"/>
      <c r="M254" s="21">
        <f>Tabela1[[#This Row],[1ª QZ]]-Tabela1[[#This Row],[SALDO FINAL]]-Tabela1[[#This Row],[SALDO CARTAO]]-Tabela1[[#This Row],[Adiantamento ]]</f>
        <v>2719.95</v>
      </c>
      <c r="N254" s="21">
        <f>Tabela1[[#This Row],[SALDO REEMBOLSAR]]*$N$4</f>
        <v>0</v>
      </c>
      <c r="O254" s="21">
        <f>IF(Tabela1[[#This Row],[CARGA PARCIAL]]&lt;0,0,Tabela1[[#This Row],[CARGA PARCIAL]])+Tabela1[[#This Row],[REEMBOLSO]]</f>
        <v>2719.95</v>
      </c>
      <c r="Q254" t="s">
        <v>24</v>
      </c>
    </row>
    <row r="255" spans="1:17">
      <c r="A255" s="3" t="s">
        <v>651</v>
      </c>
      <c r="B255" s="3" t="s">
        <v>652</v>
      </c>
      <c r="C255" s="5" t="s">
        <v>19</v>
      </c>
      <c r="D255" s="3" t="s">
        <v>30</v>
      </c>
      <c r="E255" s="3" t="s">
        <v>653</v>
      </c>
      <c r="F255" s="3" t="s">
        <v>32</v>
      </c>
      <c r="G255" s="3" t="s">
        <v>33</v>
      </c>
      <c r="H255" s="21">
        <v>0</v>
      </c>
      <c r="I255" s="21">
        <v>0</v>
      </c>
      <c r="J255" s="21">
        <v>1000</v>
      </c>
      <c r="K255" s="21">
        <v>1960</v>
      </c>
      <c r="L255" s="22"/>
      <c r="M255" s="21">
        <f>Tabela1[[#This Row],[1ª QZ]]-Tabela1[[#This Row],[SALDO FINAL]]-Tabela1[[#This Row],[SALDO CARTAO]]-Tabela1[[#This Row],[Adiantamento ]]</f>
        <v>-960</v>
      </c>
      <c r="N255" s="21">
        <f>Tabela1[[#This Row],[SALDO REEMBOLSAR]]*$N$4</f>
        <v>0</v>
      </c>
      <c r="O255" s="21">
        <f>IF(Tabela1[[#This Row],[CARGA PARCIAL]]&lt;0,0,Tabela1[[#This Row],[CARGA PARCIAL]])+Tabela1[[#This Row],[REEMBOLSO]]</f>
        <v>0</v>
      </c>
      <c r="Q255" t="s">
        <v>24</v>
      </c>
    </row>
    <row r="256" spans="1:17">
      <c r="A256" s="3" t="s">
        <v>654</v>
      </c>
      <c r="B256" s="3" t="s">
        <v>655</v>
      </c>
      <c r="C256" s="5" t="s">
        <v>19</v>
      </c>
      <c r="D256" s="3" t="s">
        <v>66</v>
      </c>
      <c r="E256" s="3" t="s">
        <v>656</v>
      </c>
      <c r="F256" s="3" t="s">
        <v>68</v>
      </c>
      <c r="G256" s="3" t="s">
        <v>23</v>
      </c>
      <c r="H256" s="21">
        <v>0</v>
      </c>
      <c r="I256" s="21">
        <v>0</v>
      </c>
      <c r="J256" s="21">
        <v>2000</v>
      </c>
      <c r="K256" s="21">
        <v>0</v>
      </c>
      <c r="L256" s="22"/>
      <c r="M256" s="21">
        <f>Tabela1[[#This Row],[1ª QZ]]-Tabela1[[#This Row],[SALDO FINAL]]-Tabela1[[#This Row],[SALDO CARTAO]]-Tabela1[[#This Row],[Adiantamento ]]</f>
        <v>2000</v>
      </c>
      <c r="N256" s="21">
        <f>Tabela1[[#This Row],[SALDO REEMBOLSAR]]*$N$4</f>
        <v>0</v>
      </c>
      <c r="O256" s="21">
        <f>IF(Tabela1[[#This Row],[CARGA PARCIAL]]&lt;0,0,Tabela1[[#This Row],[CARGA PARCIAL]])+Tabela1[[#This Row],[REEMBOLSO]]</f>
        <v>2000</v>
      </c>
      <c r="Q256" t="s">
        <v>24</v>
      </c>
    </row>
    <row r="257" spans="1:17">
      <c r="A257" s="3" t="s">
        <v>657</v>
      </c>
      <c r="B257" s="3" t="s">
        <v>658</v>
      </c>
      <c r="C257" s="5" t="s">
        <v>19</v>
      </c>
      <c r="D257" s="3" t="s">
        <v>36</v>
      </c>
      <c r="E257" s="3" t="s">
        <v>37</v>
      </c>
      <c r="F257" s="3" t="s">
        <v>38</v>
      </c>
      <c r="G257" s="3" t="s">
        <v>23</v>
      </c>
      <c r="H257" s="21">
        <v>1083.0100000000966</v>
      </c>
      <c r="I257" s="21">
        <v>0</v>
      </c>
      <c r="J257" s="21">
        <v>9840</v>
      </c>
      <c r="K257" s="21">
        <v>58</v>
      </c>
      <c r="L257" s="22"/>
      <c r="M257" s="21">
        <f>Tabela1[[#This Row],[1ª QZ]]-Tabela1[[#This Row],[SALDO FINAL]]-Tabela1[[#This Row],[SALDO CARTAO]]-Tabela1[[#This Row],[Adiantamento ]]</f>
        <v>9782</v>
      </c>
      <c r="N257" s="21">
        <f>Tabela1[[#This Row],[SALDO REEMBOLSAR]]*$N$4</f>
        <v>541.50500000004831</v>
      </c>
      <c r="O257" s="21">
        <f>IF(Tabela1[[#This Row],[CARGA PARCIAL]]&lt;0,0,Tabela1[[#This Row],[CARGA PARCIAL]])+Tabela1[[#This Row],[REEMBOLSO]]</f>
        <v>10323.505000000048</v>
      </c>
      <c r="Q257" t="s">
        <v>24</v>
      </c>
    </row>
    <row r="258" spans="1:17">
      <c r="A258" s="3" t="s">
        <v>659</v>
      </c>
      <c r="B258" s="3" t="s">
        <v>660</v>
      </c>
      <c r="C258" s="5" t="s">
        <v>19</v>
      </c>
      <c r="D258" s="3" t="s">
        <v>30</v>
      </c>
      <c r="E258" s="3" t="s">
        <v>653</v>
      </c>
      <c r="F258" s="3" t="s">
        <v>32</v>
      </c>
      <c r="G258" s="3" t="s">
        <v>33</v>
      </c>
      <c r="H258" s="21">
        <v>426.16000000000656</v>
      </c>
      <c r="I258" s="21">
        <v>0</v>
      </c>
      <c r="J258" s="21">
        <v>1250</v>
      </c>
      <c r="K258" s="21">
        <v>556.11</v>
      </c>
      <c r="L258" s="22"/>
      <c r="M258" s="21">
        <f>Tabela1[[#This Row],[1ª QZ]]-Tabela1[[#This Row],[SALDO FINAL]]-Tabela1[[#This Row],[SALDO CARTAO]]-Tabela1[[#This Row],[Adiantamento ]]</f>
        <v>693.89</v>
      </c>
      <c r="N258" s="21">
        <f>Tabela1[[#This Row],[SALDO REEMBOLSAR]]*$N$4</f>
        <v>213.08000000000328</v>
      </c>
      <c r="O258" s="21">
        <f>IF(Tabela1[[#This Row],[CARGA PARCIAL]]&lt;0,0,Tabela1[[#This Row],[CARGA PARCIAL]])+Tabela1[[#This Row],[REEMBOLSO]]</f>
        <v>906.97000000000321</v>
      </c>
      <c r="Q258" t="s">
        <v>24</v>
      </c>
    </row>
    <row r="259" spans="1:17">
      <c r="A259" s="3" t="s">
        <v>661</v>
      </c>
      <c r="B259" s="3" t="s">
        <v>662</v>
      </c>
      <c r="C259" s="5" t="s">
        <v>19</v>
      </c>
      <c r="D259" s="3" t="s">
        <v>44</v>
      </c>
      <c r="E259" s="3" t="s">
        <v>170</v>
      </c>
      <c r="F259" s="3" t="s">
        <v>46</v>
      </c>
      <c r="G259" s="3" t="s">
        <v>47</v>
      </c>
      <c r="H259" s="21">
        <v>207.17000000000189</v>
      </c>
      <c r="I259" s="21">
        <v>0</v>
      </c>
      <c r="J259" s="21">
        <v>1000</v>
      </c>
      <c r="K259" s="21">
        <v>3</v>
      </c>
      <c r="L259" s="22"/>
      <c r="M259" s="21">
        <f>Tabela1[[#This Row],[1ª QZ]]-Tabela1[[#This Row],[SALDO FINAL]]-Tabela1[[#This Row],[SALDO CARTAO]]-Tabela1[[#This Row],[Adiantamento ]]</f>
        <v>997</v>
      </c>
      <c r="N259" s="21">
        <f>Tabela1[[#This Row],[SALDO REEMBOLSAR]]*$N$4</f>
        <v>103.58500000000095</v>
      </c>
      <c r="O259" s="21">
        <f>IF(Tabela1[[#This Row],[CARGA PARCIAL]]&lt;0,0,Tabela1[[#This Row],[CARGA PARCIAL]])+Tabela1[[#This Row],[REEMBOLSO]]</f>
        <v>1100.5850000000009</v>
      </c>
      <c r="Q259" t="s">
        <v>24</v>
      </c>
    </row>
    <row r="260" spans="1:17">
      <c r="A260" s="3" t="s">
        <v>663</v>
      </c>
      <c r="B260" s="3" t="s">
        <v>664</v>
      </c>
      <c r="C260" s="5" t="s">
        <v>19</v>
      </c>
      <c r="D260" s="3" t="s">
        <v>50</v>
      </c>
      <c r="E260" s="3" t="s">
        <v>55</v>
      </c>
      <c r="F260" s="3" t="s">
        <v>52</v>
      </c>
      <c r="G260" s="3" t="s">
        <v>33</v>
      </c>
      <c r="H260" s="21">
        <v>573.2999999999837</v>
      </c>
      <c r="I260" s="21">
        <v>0</v>
      </c>
      <c r="J260" s="21">
        <v>3000</v>
      </c>
      <c r="K260" s="21">
        <v>470.13</v>
      </c>
      <c r="L260" s="22"/>
      <c r="M260" s="21">
        <f>Tabela1[[#This Row],[1ª QZ]]-Tabela1[[#This Row],[SALDO FINAL]]-Tabela1[[#This Row],[SALDO CARTAO]]-Tabela1[[#This Row],[Adiantamento ]]</f>
        <v>2529.87</v>
      </c>
      <c r="N260" s="21">
        <f>Tabela1[[#This Row],[SALDO REEMBOLSAR]]*$N$4</f>
        <v>286.64999999999185</v>
      </c>
      <c r="O260" s="21">
        <f>IF(Tabela1[[#This Row],[CARGA PARCIAL]]&lt;0,0,Tabela1[[#This Row],[CARGA PARCIAL]])+Tabela1[[#This Row],[REEMBOLSO]]</f>
        <v>2816.5199999999918</v>
      </c>
      <c r="Q260" t="s">
        <v>24</v>
      </c>
    </row>
    <row r="261" spans="1:17">
      <c r="A261" s="3" t="s">
        <v>665</v>
      </c>
      <c r="B261" s="3" t="s">
        <v>666</v>
      </c>
      <c r="C261" s="5" t="s">
        <v>19</v>
      </c>
      <c r="D261" s="3" t="s">
        <v>50</v>
      </c>
      <c r="E261" s="3" t="s">
        <v>134</v>
      </c>
      <c r="F261" s="3" t="s">
        <v>52</v>
      </c>
      <c r="G261" s="3" t="s">
        <v>33</v>
      </c>
      <c r="H261" s="21">
        <v>0</v>
      </c>
      <c r="I261" s="21">
        <v>0</v>
      </c>
      <c r="J261" s="21">
        <v>1500</v>
      </c>
      <c r="K261" s="21">
        <v>0</v>
      </c>
      <c r="L261" s="22">
        <v>1500</v>
      </c>
      <c r="M261" s="21">
        <f>Tabela1[[#This Row],[1ª QZ]]-Tabela1[[#This Row],[SALDO FINAL]]-Tabela1[[#This Row],[SALDO CARTAO]]-Tabela1[[#This Row],[Adiantamento ]]</f>
        <v>0</v>
      </c>
      <c r="N261" s="21">
        <f>Tabela1[[#This Row],[SALDO REEMBOLSAR]]*$N$4</f>
        <v>0</v>
      </c>
      <c r="O261" s="21">
        <f>IF(Tabela1[[#This Row],[CARGA PARCIAL]]&lt;0,0,Tabela1[[#This Row],[CARGA PARCIAL]])+Tabela1[[#This Row],[REEMBOLSO]]</f>
        <v>0</v>
      </c>
      <c r="Q261" t="s">
        <v>667</v>
      </c>
    </row>
    <row r="262" spans="1:17">
      <c r="A262" s="3" t="s">
        <v>668</v>
      </c>
      <c r="B262" s="3" t="s">
        <v>669</v>
      </c>
      <c r="C262" s="5" t="s">
        <v>19</v>
      </c>
      <c r="D262" s="3" t="s">
        <v>101</v>
      </c>
      <c r="E262" s="3" t="s">
        <v>159</v>
      </c>
      <c r="F262" s="3" t="s">
        <v>103</v>
      </c>
      <c r="G262" s="3" t="s">
        <v>33</v>
      </c>
      <c r="H262" s="21">
        <v>0</v>
      </c>
      <c r="I262" s="21">
        <v>0</v>
      </c>
      <c r="J262" s="21">
        <v>80</v>
      </c>
      <c r="K262" s="21">
        <v>0</v>
      </c>
      <c r="L262" s="22"/>
      <c r="M262" s="21">
        <f>Tabela1[[#This Row],[1ª QZ]]-Tabela1[[#This Row],[SALDO FINAL]]-Tabela1[[#This Row],[SALDO CARTAO]]-Tabela1[[#This Row],[Adiantamento ]]</f>
        <v>80</v>
      </c>
      <c r="N262" s="21">
        <f>Tabela1[[#This Row],[SALDO REEMBOLSAR]]*$N$4</f>
        <v>0</v>
      </c>
      <c r="O262" s="21">
        <f>IF(Tabela1[[#This Row],[CARGA PARCIAL]]&lt;0,0,Tabela1[[#This Row],[CARGA PARCIAL]])+Tabela1[[#This Row],[REEMBOLSO]]</f>
        <v>80</v>
      </c>
      <c r="Q262" t="s">
        <v>24</v>
      </c>
    </row>
    <row r="263" spans="1:17">
      <c r="A263" s="3" t="s">
        <v>670</v>
      </c>
      <c r="B263" s="3" t="s">
        <v>671</v>
      </c>
      <c r="C263" s="5" t="s">
        <v>19</v>
      </c>
      <c r="D263" s="3" t="s">
        <v>66</v>
      </c>
      <c r="E263" s="3" t="s">
        <v>672</v>
      </c>
      <c r="F263" s="3" t="s">
        <v>68</v>
      </c>
      <c r="G263" s="3" t="s">
        <v>23</v>
      </c>
      <c r="H263" s="21">
        <v>59.130000000000109</v>
      </c>
      <c r="I263" s="21">
        <v>0</v>
      </c>
      <c r="J263" s="21">
        <v>500</v>
      </c>
      <c r="K263" s="21">
        <v>2642.58</v>
      </c>
      <c r="L263" s="22"/>
      <c r="M263" s="21">
        <f>Tabela1[[#This Row],[1ª QZ]]-Tabela1[[#This Row],[SALDO FINAL]]-Tabela1[[#This Row],[SALDO CARTAO]]-Tabela1[[#This Row],[Adiantamento ]]</f>
        <v>-2142.58</v>
      </c>
      <c r="N263" s="21">
        <f>Tabela1[[#This Row],[SALDO REEMBOLSAR]]*$N$4</f>
        <v>29.565000000000055</v>
      </c>
      <c r="O263" s="21">
        <f>IF(Tabela1[[#This Row],[CARGA PARCIAL]]&lt;0,0,Tabela1[[#This Row],[CARGA PARCIAL]])+Tabela1[[#This Row],[REEMBOLSO]]</f>
        <v>29.565000000000055</v>
      </c>
      <c r="Q263" t="s">
        <v>24</v>
      </c>
    </row>
    <row r="264" spans="1:17">
      <c r="A264" s="3" t="s">
        <v>673</v>
      </c>
      <c r="B264" s="3" t="s">
        <v>674</v>
      </c>
      <c r="C264" s="5" t="s">
        <v>19</v>
      </c>
      <c r="D264" s="3" t="s">
        <v>30</v>
      </c>
      <c r="E264" s="3" t="s">
        <v>400</v>
      </c>
      <c r="F264" s="3" t="s">
        <v>32</v>
      </c>
      <c r="G264" s="3" t="s">
        <v>33</v>
      </c>
      <c r="H264" s="21">
        <v>0</v>
      </c>
      <c r="I264" s="21">
        <v>0</v>
      </c>
      <c r="J264" s="21">
        <v>160</v>
      </c>
      <c r="K264" s="21">
        <v>0</v>
      </c>
      <c r="L264" s="22">
        <v>160</v>
      </c>
      <c r="M264" s="21">
        <f>Tabela1[[#This Row],[1ª QZ]]-Tabela1[[#This Row],[SALDO FINAL]]-Tabela1[[#This Row],[SALDO CARTAO]]-Tabela1[[#This Row],[Adiantamento ]]</f>
        <v>0</v>
      </c>
      <c r="N264" s="21">
        <f>Tabela1[[#This Row],[SALDO REEMBOLSAR]]*$N$4</f>
        <v>0</v>
      </c>
      <c r="O264" s="21">
        <f>IF(Tabela1[[#This Row],[CARGA PARCIAL]]&lt;0,0,Tabela1[[#This Row],[CARGA PARCIAL]])+Tabela1[[#This Row],[REEMBOLSO]]</f>
        <v>0</v>
      </c>
      <c r="Q264" t="s">
        <v>667</v>
      </c>
    </row>
    <row r="265" spans="1:17">
      <c r="A265" s="3" t="s">
        <v>675</v>
      </c>
      <c r="B265" s="3" t="s">
        <v>676</v>
      </c>
      <c r="C265" s="5" t="s">
        <v>19</v>
      </c>
      <c r="D265" s="3" t="s">
        <v>44</v>
      </c>
      <c r="E265" s="3" t="s">
        <v>170</v>
      </c>
      <c r="F265" s="3" t="s">
        <v>46</v>
      </c>
      <c r="G265" s="3" t="s">
        <v>47</v>
      </c>
      <c r="H265" s="21">
        <v>10.660000000000046</v>
      </c>
      <c r="I265" s="21">
        <v>0</v>
      </c>
      <c r="J265" s="21">
        <v>400</v>
      </c>
      <c r="K265" s="21">
        <v>18.21</v>
      </c>
      <c r="L265" s="22"/>
      <c r="M265" s="21">
        <f>Tabela1[[#This Row],[1ª QZ]]-Tabela1[[#This Row],[SALDO FINAL]]-Tabela1[[#This Row],[SALDO CARTAO]]-Tabela1[[#This Row],[Adiantamento ]]</f>
        <v>381.79</v>
      </c>
      <c r="N265" s="21">
        <f>Tabela1[[#This Row],[SALDO REEMBOLSAR]]*$N$4</f>
        <v>5.3300000000000232</v>
      </c>
      <c r="O265" s="21">
        <f>IF(Tabela1[[#This Row],[CARGA PARCIAL]]&lt;0,0,Tabela1[[#This Row],[CARGA PARCIAL]])+Tabela1[[#This Row],[REEMBOLSO]]</f>
        <v>387.12000000000006</v>
      </c>
      <c r="Q265" t="s">
        <v>24</v>
      </c>
    </row>
    <row r="266" spans="1:17">
      <c r="A266" s="3" t="s">
        <v>677</v>
      </c>
      <c r="B266" s="3" t="s">
        <v>678</v>
      </c>
      <c r="C266" s="5" t="s">
        <v>19</v>
      </c>
      <c r="D266" s="3" t="s">
        <v>30</v>
      </c>
      <c r="E266" s="3" t="s">
        <v>294</v>
      </c>
      <c r="F266" s="3" t="s">
        <v>32</v>
      </c>
      <c r="G266" s="3" t="s">
        <v>33</v>
      </c>
      <c r="H266" s="21">
        <v>167.60999999999956</v>
      </c>
      <c r="I266" s="21">
        <v>0</v>
      </c>
      <c r="J266" s="21">
        <v>1000</v>
      </c>
      <c r="K266" s="21">
        <v>306.88</v>
      </c>
      <c r="L266" s="22"/>
      <c r="M266" s="21">
        <f>Tabela1[[#This Row],[1ª QZ]]-Tabela1[[#This Row],[SALDO FINAL]]-Tabela1[[#This Row],[SALDO CARTAO]]-Tabela1[[#This Row],[Adiantamento ]]</f>
        <v>693.12</v>
      </c>
      <c r="N266" s="21">
        <f>Tabela1[[#This Row],[SALDO REEMBOLSAR]]*$N$4</f>
        <v>83.804999999999779</v>
      </c>
      <c r="O266" s="21">
        <f>IF(Tabela1[[#This Row],[CARGA PARCIAL]]&lt;0,0,Tabela1[[#This Row],[CARGA PARCIAL]])+Tabela1[[#This Row],[REEMBOLSO]]</f>
        <v>776.92499999999973</v>
      </c>
      <c r="Q266" t="s">
        <v>24</v>
      </c>
    </row>
    <row r="267" spans="1:17">
      <c r="A267" s="3" t="s">
        <v>679</v>
      </c>
      <c r="B267" s="3" t="s">
        <v>680</v>
      </c>
      <c r="C267" s="5" t="s">
        <v>19</v>
      </c>
      <c r="D267" s="3" t="s">
        <v>36</v>
      </c>
      <c r="E267" s="3" t="s">
        <v>162</v>
      </c>
      <c r="F267" s="3" t="s">
        <v>38</v>
      </c>
      <c r="G267" s="3" t="s">
        <v>23</v>
      </c>
      <c r="H267" s="21">
        <v>117.66000000002329</v>
      </c>
      <c r="I267" s="21">
        <v>0</v>
      </c>
      <c r="J267" s="21">
        <v>2000</v>
      </c>
      <c r="K267" s="21">
        <v>3.51</v>
      </c>
      <c r="L267" s="22"/>
      <c r="M267" s="21">
        <f>Tabela1[[#This Row],[1ª QZ]]-Tabela1[[#This Row],[SALDO FINAL]]-Tabela1[[#This Row],[SALDO CARTAO]]-Tabela1[[#This Row],[Adiantamento ]]</f>
        <v>1996.49</v>
      </c>
      <c r="N267" s="21">
        <f>Tabela1[[#This Row],[SALDO REEMBOLSAR]]*$N$4</f>
        <v>58.830000000011644</v>
      </c>
      <c r="O267" s="21">
        <f>IF(Tabela1[[#This Row],[CARGA PARCIAL]]&lt;0,0,Tabela1[[#This Row],[CARGA PARCIAL]])+Tabela1[[#This Row],[REEMBOLSO]]</f>
        <v>2055.3200000000115</v>
      </c>
      <c r="Q267" t="s">
        <v>24</v>
      </c>
    </row>
    <row r="268" spans="1:17">
      <c r="A268" s="3" t="s">
        <v>681</v>
      </c>
      <c r="B268" s="3" t="s">
        <v>682</v>
      </c>
      <c r="C268" s="5" t="s">
        <v>19</v>
      </c>
      <c r="D268" s="3" t="s">
        <v>30</v>
      </c>
      <c r="E268" s="3" t="s">
        <v>487</v>
      </c>
      <c r="F268" s="3" t="s">
        <v>32</v>
      </c>
      <c r="G268" s="3" t="s">
        <v>33</v>
      </c>
      <c r="H268" s="21">
        <v>512.9399999999996</v>
      </c>
      <c r="I268" s="21">
        <v>0</v>
      </c>
      <c r="J268" s="21">
        <v>700</v>
      </c>
      <c r="K268" s="21">
        <v>493.06</v>
      </c>
      <c r="L268" s="22"/>
      <c r="M268" s="21">
        <f>Tabela1[[#This Row],[1ª QZ]]-Tabela1[[#This Row],[SALDO FINAL]]-Tabela1[[#This Row],[SALDO CARTAO]]-Tabela1[[#This Row],[Adiantamento ]]</f>
        <v>206.94</v>
      </c>
      <c r="N268" s="21">
        <f>Tabela1[[#This Row],[SALDO REEMBOLSAR]]*$N$4</f>
        <v>256.4699999999998</v>
      </c>
      <c r="O268" s="21">
        <f>IF(Tabela1[[#This Row],[CARGA PARCIAL]]&lt;0,0,Tabela1[[#This Row],[CARGA PARCIAL]])+Tabela1[[#This Row],[REEMBOLSO]]</f>
        <v>463.4099999999998</v>
      </c>
      <c r="Q268" t="s">
        <v>24</v>
      </c>
    </row>
    <row r="269" spans="1:17">
      <c r="A269" s="3" t="s">
        <v>683</v>
      </c>
      <c r="B269" s="3" t="s">
        <v>684</v>
      </c>
      <c r="C269" s="5" t="s">
        <v>19</v>
      </c>
      <c r="D269" s="3" t="s">
        <v>44</v>
      </c>
      <c r="E269" s="3" t="s">
        <v>685</v>
      </c>
      <c r="F269" s="3" t="s">
        <v>46</v>
      </c>
      <c r="G269" s="3" t="s">
        <v>47</v>
      </c>
      <c r="H269" s="21">
        <v>0</v>
      </c>
      <c r="I269" s="21">
        <v>0</v>
      </c>
      <c r="J269" s="21">
        <v>800</v>
      </c>
      <c r="K269" s="21">
        <v>507.44</v>
      </c>
      <c r="L269" s="22"/>
      <c r="M269" s="21">
        <f>Tabela1[[#This Row],[1ª QZ]]-Tabela1[[#This Row],[SALDO FINAL]]-Tabela1[[#This Row],[SALDO CARTAO]]-Tabela1[[#This Row],[Adiantamento ]]</f>
        <v>292.56</v>
      </c>
      <c r="N269" s="21">
        <f>Tabela1[[#This Row],[SALDO REEMBOLSAR]]*$N$4</f>
        <v>0</v>
      </c>
      <c r="O269" s="21">
        <f>IF(Tabela1[[#This Row],[CARGA PARCIAL]]&lt;0,0,Tabela1[[#This Row],[CARGA PARCIAL]])+Tabela1[[#This Row],[REEMBOLSO]]</f>
        <v>292.56</v>
      </c>
      <c r="Q269" t="s">
        <v>24</v>
      </c>
    </row>
    <row r="270" spans="1:17">
      <c r="A270" s="3" t="s">
        <v>686</v>
      </c>
      <c r="B270" s="3" t="s">
        <v>687</v>
      </c>
      <c r="C270" s="5" t="s">
        <v>19</v>
      </c>
      <c r="D270" s="3" t="s">
        <v>36</v>
      </c>
      <c r="E270" s="3" t="s">
        <v>688</v>
      </c>
      <c r="F270" s="3" t="s">
        <v>38</v>
      </c>
      <c r="G270" s="3" t="s">
        <v>23</v>
      </c>
      <c r="H270" s="21">
        <v>0</v>
      </c>
      <c r="I270" s="21">
        <v>0</v>
      </c>
      <c r="J270" s="21">
        <v>300</v>
      </c>
      <c r="K270" s="21">
        <v>0</v>
      </c>
      <c r="L270" s="22">
        <v>300</v>
      </c>
      <c r="M270" s="21">
        <f>Tabela1[[#This Row],[1ª QZ]]-Tabela1[[#This Row],[SALDO FINAL]]-Tabela1[[#This Row],[SALDO CARTAO]]-Tabela1[[#This Row],[Adiantamento ]]</f>
        <v>0</v>
      </c>
      <c r="N270" s="21">
        <f>Tabela1[[#This Row],[SALDO REEMBOLSAR]]*$N$4</f>
        <v>0</v>
      </c>
      <c r="O270" s="21">
        <f>IF(Tabela1[[#This Row],[CARGA PARCIAL]]&lt;0,0,Tabela1[[#This Row],[CARGA PARCIAL]])+Tabela1[[#This Row],[REEMBOLSO]]</f>
        <v>0</v>
      </c>
      <c r="Q270" t="s">
        <v>667</v>
      </c>
    </row>
    <row r="271" spans="1:17">
      <c r="A271" s="3" t="s">
        <v>689</v>
      </c>
      <c r="B271" s="3" t="s">
        <v>690</v>
      </c>
      <c r="C271" s="5" t="s">
        <v>19</v>
      </c>
      <c r="D271" s="3" t="s">
        <v>66</v>
      </c>
      <c r="E271" s="3" t="s">
        <v>691</v>
      </c>
      <c r="F271" s="3" t="s">
        <v>68</v>
      </c>
      <c r="G271" s="3" t="s">
        <v>23</v>
      </c>
      <c r="H271" s="21">
        <v>0.37999999994644895</v>
      </c>
      <c r="I271" s="21">
        <v>0</v>
      </c>
      <c r="J271" s="21">
        <v>5000</v>
      </c>
      <c r="K271" s="21">
        <v>5</v>
      </c>
      <c r="L271" s="22"/>
      <c r="M271" s="21">
        <f>Tabela1[[#This Row],[1ª QZ]]-Tabela1[[#This Row],[SALDO FINAL]]-Tabela1[[#This Row],[SALDO CARTAO]]-Tabela1[[#This Row],[Adiantamento ]]</f>
        <v>4995</v>
      </c>
      <c r="N271" s="21">
        <f>Tabela1[[#This Row],[SALDO REEMBOLSAR]]*$N$4</f>
        <v>0.18999999997322448</v>
      </c>
      <c r="O271" s="21">
        <f>IF(Tabela1[[#This Row],[CARGA PARCIAL]]&lt;0,0,Tabela1[[#This Row],[CARGA PARCIAL]])+Tabela1[[#This Row],[REEMBOLSO]]</f>
        <v>4995.1899999999732</v>
      </c>
      <c r="Q271" t="s">
        <v>24</v>
      </c>
    </row>
    <row r="272" spans="1:17">
      <c r="A272" s="3" t="s">
        <v>692</v>
      </c>
      <c r="B272" s="3" t="s">
        <v>693</v>
      </c>
      <c r="C272" s="5" t="s">
        <v>19</v>
      </c>
      <c r="D272" s="3" t="s">
        <v>20</v>
      </c>
      <c r="E272" s="3" t="s">
        <v>694</v>
      </c>
      <c r="F272" s="3" t="s">
        <v>22</v>
      </c>
      <c r="G272" s="3" t="s">
        <v>23</v>
      </c>
      <c r="H272" s="21">
        <v>0</v>
      </c>
      <c r="I272" s="21">
        <v>0</v>
      </c>
      <c r="J272" s="21">
        <v>200</v>
      </c>
      <c r="K272" s="21">
        <v>278.66000000000003</v>
      </c>
      <c r="L272" s="22"/>
      <c r="M272" s="21">
        <f>Tabela1[[#This Row],[1ª QZ]]-Tabela1[[#This Row],[SALDO FINAL]]-Tabela1[[#This Row],[SALDO CARTAO]]-Tabela1[[#This Row],[Adiantamento ]]</f>
        <v>-78.660000000000025</v>
      </c>
      <c r="N272" s="21">
        <f>Tabela1[[#This Row],[SALDO REEMBOLSAR]]*$N$4</f>
        <v>0</v>
      </c>
      <c r="O272" s="21">
        <f>IF(Tabela1[[#This Row],[CARGA PARCIAL]]&lt;0,0,Tabela1[[#This Row],[CARGA PARCIAL]])+Tabela1[[#This Row],[REEMBOLSO]]</f>
        <v>0</v>
      </c>
      <c r="Q272" t="s">
        <v>24</v>
      </c>
    </row>
    <row r="273" spans="1:17">
      <c r="A273" s="3" t="s">
        <v>695</v>
      </c>
      <c r="B273" s="3" t="s">
        <v>696</v>
      </c>
      <c r="C273" s="5" t="s">
        <v>19</v>
      </c>
      <c r="D273" s="3" t="s">
        <v>50</v>
      </c>
      <c r="E273" s="3" t="s">
        <v>697</v>
      </c>
      <c r="F273" s="3" t="s">
        <v>52</v>
      </c>
      <c r="G273" s="3" t="s">
        <v>33</v>
      </c>
      <c r="H273" s="21">
        <v>45.020000000000095</v>
      </c>
      <c r="I273" s="21">
        <v>0</v>
      </c>
      <c r="J273" s="21">
        <v>400</v>
      </c>
      <c r="K273" s="21">
        <v>324.60000000000002</v>
      </c>
      <c r="L273" s="22"/>
      <c r="M273" s="21">
        <f>Tabela1[[#This Row],[1ª QZ]]-Tabela1[[#This Row],[SALDO FINAL]]-Tabela1[[#This Row],[SALDO CARTAO]]-Tabela1[[#This Row],[Adiantamento ]]</f>
        <v>75.399999999999977</v>
      </c>
      <c r="N273" s="21">
        <f>Tabela1[[#This Row],[SALDO REEMBOLSAR]]*$N$4</f>
        <v>22.510000000000048</v>
      </c>
      <c r="O273" s="21">
        <f>IF(Tabela1[[#This Row],[CARGA PARCIAL]]&lt;0,0,Tabela1[[#This Row],[CARGA PARCIAL]])+Tabela1[[#This Row],[REEMBOLSO]]</f>
        <v>97.910000000000025</v>
      </c>
      <c r="Q273" t="s">
        <v>24</v>
      </c>
    </row>
    <row r="274" spans="1:17">
      <c r="A274" s="3" t="s">
        <v>698</v>
      </c>
      <c r="B274" s="3" t="s">
        <v>699</v>
      </c>
      <c r="C274" s="5" t="s">
        <v>19</v>
      </c>
      <c r="D274" s="3" t="s">
        <v>36</v>
      </c>
      <c r="E274" s="3" t="s">
        <v>37</v>
      </c>
      <c r="F274" s="3" t="s">
        <v>38</v>
      </c>
      <c r="G274" s="3" t="s">
        <v>23</v>
      </c>
      <c r="H274" s="21">
        <v>378.3900000000163</v>
      </c>
      <c r="I274" s="21">
        <v>0</v>
      </c>
      <c r="J274" s="21">
        <v>4000</v>
      </c>
      <c r="K274" s="21">
        <v>2.31</v>
      </c>
      <c r="L274" s="22"/>
      <c r="M274" s="21">
        <f>Tabela1[[#This Row],[1ª QZ]]-Tabela1[[#This Row],[SALDO FINAL]]-Tabela1[[#This Row],[SALDO CARTAO]]-Tabela1[[#This Row],[Adiantamento ]]</f>
        <v>3997.69</v>
      </c>
      <c r="N274" s="21">
        <f>Tabela1[[#This Row],[SALDO REEMBOLSAR]]*$N$4</f>
        <v>189.19500000000815</v>
      </c>
      <c r="O274" s="21">
        <f>IF(Tabela1[[#This Row],[CARGA PARCIAL]]&lt;0,0,Tabela1[[#This Row],[CARGA PARCIAL]])+Tabela1[[#This Row],[REEMBOLSO]]</f>
        <v>4186.8850000000084</v>
      </c>
      <c r="Q274" t="s">
        <v>24</v>
      </c>
    </row>
    <row r="275" spans="1:17">
      <c r="A275" s="3" t="s">
        <v>700</v>
      </c>
      <c r="B275" s="3" t="s">
        <v>701</v>
      </c>
      <c r="C275" s="5" t="s">
        <v>19</v>
      </c>
      <c r="D275" s="3" t="s">
        <v>30</v>
      </c>
      <c r="E275" s="3" t="s">
        <v>117</v>
      </c>
      <c r="F275" s="3" t="s">
        <v>32</v>
      </c>
      <c r="G275" s="3" t="s">
        <v>33</v>
      </c>
      <c r="H275" s="21">
        <v>408.03000000000276</v>
      </c>
      <c r="I275" s="21">
        <v>0</v>
      </c>
      <c r="J275" s="21">
        <v>900</v>
      </c>
      <c r="K275" s="21">
        <v>2.57</v>
      </c>
      <c r="L275" s="22"/>
      <c r="M275" s="21">
        <f>Tabela1[[#This Row],[1ª QZ]]-Tabela1[[#This Row],[SALDO FINAL]]-Tabela1[[#This Row],[SALDO CARTAO]]-Tabela1[[#This Row],[Adiantamento ]]</f>
        <v>897.43</v>
      </c>
      <c r="N275" s="21">
        <f>Tabela1[[#This Row],[SALDO REEMBOLSAR]]*$N$4</f>
        <v>204.01500000000138</v>
      </c>
      <c r="O275" s="21">
        <f>IF(Tabela1[[#This Row],[CARGA PARCIAL]]&lt;0,0,Tabela1[[#This Row],[CARGA PARCIAL]])+Tabela1[[#This Row],[REEMBOLSO]]</f>
        <v>1101.4450000000013</v>
      </c>
      <c r="Q275" t="s">
        <v>24</v>
      </c>
    </row>
    <row r="276" spans="1:17">
      <c r="A276" s="3" t="s">
        <v>702</v>
      </c>
      <c r="B276" s="3" t="s">
        <v>703</v>
      </c>
      <c r="C276" s="5" t="s">
        <v>19</v>
      </c>
      <c r="D276" s="3" t="s">
        <v>101</v>
      </c>
      <c r="E276" s="3" t="s">
        <v>478</v>
      </c>
      <c r="F276" s="3" t="s">
        <v>103</v>
      </c>
      <c r="G276" s="3" t="s">
        <v>33</v>
      </c>
      <c r="H276" s="21">
        <v>0</v>
      </c>
      <c r="I276" s="21">
        <v>0</v>
      </c>
      <c r="J276" s="21">
        <v>100</v>
      </c>
      <c r="K276" s="21">
        <v>100</v>
      </c>
      <c r="L276" s="22"/>
      <c r="M276" s="21">
        <f>Tabela1[[#This Row],[1ª QZ]]-Tabela1[[#This Row],[SALDO FINAL]]-Tabela1[[#This Row],[SALDO CARTAO]]-Tabela1[[#This Row],[Adiantamento ]]</f>
        <v>0</v>
      </c>
      <c r="N276" s="21">
        <f>Tabela1[[#This Row],[SALDO REEMBOLSAR]]*$N$4</f>
        <v>0</v>
      </c>
      <c r="O276" s="21">
        <f>IF(Tabela1[[#This Row],[CARGA PARCIAL]]&lt;0,0,Tabela1[[#This Row],[CARGA PARCIAL]])+Tabela1[[#This Row],[REEMBOLSO]]</f>
        <v>0</v>
      </c>
      <c r="Q276" t="s">
        <v>24</v>
      </c>
    </row>
    <row r="277" spans="1:17">
      <c r="A277" s="3" t="s">
        <v>704</v>
      </c>
      <c r="B277" s="3" t="s">
        <v>705</v>
      </c>
      <c r="C277" s="5" t="s">
        <v>19</v>
      </c>
      <c r="D277" s="3" t="s">
        <v>20</v>
      </c>
      <c r="E277" s="3" t="s">
        <v>706</v>
      </c>
      <c r="F277" s="3" t="s">
        <v>22</v>
      </c>
      <c r="G277" s="3" t="s">
        <v>23</v>
      </c>
      <c r="H277" s="21">
        <v>863.48000000002503</v>
      </c>
      <c r="I277" s="21">
        <v>0</v>
      </c>
      <c r="J277" s="21">
        <v>1500</v>
      </c>
      <c r="K277" s="21">
        <v>16</v>
      </c>
      <c r="L277" s="22"/>
      <c r="M277" s="21">
        <f>Tabela1[[#This Row],[1ª QZ]]-Tabela1[[#This Row],[SALDO FINAL]]-Tabela1[[#This Row],[SALDO CARTAO]]-Tabela1[[#This Row],[Adiantamento ]]</f>
        <v>1484</v>
      </c>
      <c r="N277" s="21">
        <f>Tabela1[[#This Row],[SALDO REEMBOLSAR]]*$N$4</f>
        <v>431.74000000001251</v>
      </c>
      <c r="O277" s="21">
        <f>IF(Tabela1[[#This Row],[CARGA PARCIAL]]&lt;0,0,Tabela1[[#This Row],[CARGA PARCIAL]])+Tabela1[[#This Row],[REEMBOLSO]]</f>
        <v>1915.7400000000125</v>
      </c>
      <c r="Q277" t="s">
        <v>24</v>
      </c>
    </row>
    <row r="278" spans="1:17">
      <c r="A278" s="3" t="s">
        <v>707</v>
      </c>
      <c r="B278" s="3" t="s">
        <v>708</v>
      </c>
      <c r="C278" s="5" t="s">
        <v>19</v>
      </c>
      <c r="D278" s="3" t="s">
        <v>93</v>
      </c>
      <c r="E278" s="3" t="s">
        <v>533</v>
      </c>
      <c r="F278" s="3" t="s">
        <v>95</v>
      </c>
      <c r="G278" s="3" t="s">
        <v>33</v>
      </c>
      <c r="H278" s="21">
        <v>3.979039320256561E-13</v>
      </c>
      <c r="I278" s="21">
        <v>0</v>
      </c>
      <c r="J278" s="21">
        <v>200</v>
      </c>
      <c r="K278" s="21">
        <v>105.69</v>
      </c>
      <c r="L278" s="22"/>
      <c r="M278" s="21">
        <f>Tabela1[[#This Row],[1ª QZ]]-Tabela1[[#This Row],[SALDO FINAL]]-Tabela1[[#This Row],[SALDO CARTAO]]-Tabela1[[#This Row],[Adiantamento ]]</f>
        <v>94.31</v>
      </c>
      <c r="N278" s="21">
        <f>Tabela1[[#This Row],[SALDO REEMBOLSAR]]*$N$4</f>
        <v>1.9895196601282805E-13</v>
      </c>
      <c r="O278" s="21">
        <f>IF(Tabela1[[#This Row],[CARGA PARCIAL]]&lt;0,0,Tabela1[[#This Row],[CARGA PARCIAL]])+Tabela1[[#This Row],[REEMBOLSO]]</f>
        <v>94.310000000000201</v>
      </c>
      <c r="Q278" t="s">
        <v>24</v>
      </c>
    </row>
    <row r="279" spans="1:17">
      <c r="A279" s="3" t="s">
        <v>709</v>
      </c>
      <c r="B279" s="3" t="s">
        <v>710</v>
      </c>
      <c r="C279" s="5" t="s">
        <v>19</v>
      </c>
      <c r="D279" s="3" t="s">
        <v>101</v>
      </c>
      <c r="E279" s="3" t="s">
        <v>159</v>
      </c>
      <c r="F279" s="3" t="s">
        <v>103</v>
      </c>
      <c r="G279" s="3" t="s">
        <v>33</v>
      </c>
      <c r="H279" s="21">
        <v>2.9132252166164108E-12</v>
      </c>
      <c r="I279" s="21">
        <v>0</v>
      </c>
      <c r="J279" s="21">
        <v>120</v>
      </c>
      <c r="K279" s="21">
        <v>67.2</v>
      </c>
      <c r="L279" s="22"/>
      <c r="M279" s="21">
        <f>Tabela1[[#This Row],[1ª QZ]]-Tabela1[[#This Row],[SALDO FINAL]]-Tabela1[[#This Row],[SALDO CARTAO]]-Tabela1[[#This Row],[Adiantamento ]]</f>
        <v>52.8</v>
      </c>
      <c r="N279" s="21">
        <f>Tabela1[[#This Row],[SALDO REEMBOLSAR]]*$N$4</f>
        <v>1.4566126083082054E-12</v>
      </c>
      <c r="O279" s="21">
        <f>IF(Tabela1[[#This Row],[CARGA PARCIAL]]&lt;0,0,Tabela1[[#This Row],[CARGA PARCIAL]])+Tabela1[[#This Row],[REEMBOLSO]]</f>
        <v>52.800000000001454</v>
      </c>
      <c r="Q279" t="s">
        <v>24</v>
      </c>
    </row>
    <row r="280" spans="1:17">
      <c r="A280" s="3" t="s">
        <v>711</v>
      </c>
      <c r="B280" s="3" t="s">
        <v>712</v>
      </c>
      <c r="C280" s="5" t="s">
        <v>19</v>
      </c>
      <c r="D280" s="3" t="s">
        <v>93</v>
      </c>
      <c r="E280" s="3" t="s">
        <v>713</v>
      </c>
      <c r="F280" s="3" t="s">
        <v>95</v>
      </c>
      <c r="G280" s="3" t="s">
        <v>33</v>
      </c>
      <c r="H280" s="21">
        <v>341.03000000000247</v>
      </c>
      <c r="I280" s="21">
        <v>0</v>
      </c>
      <c r="J280" s="21">
        <v>750</v>
      </c>
      <c r="K280" s="21">
        <v>3</v>
      </c>
      <c r="L280" s="22"/>
      <c r="M280" s="21">
        <f>Tabela1[[#This Row],[1ª QZ]]-Tabela1[[#This Row],[SALDO FINAL]]-Tabela1[[#This Row],[SALDO CARTAO]]-Tabela1[[#This Row],[Adiantamento ]]</f>
        <v>747</v>
      </c>
      <c r="N280" s="21">
        <f>Tabela1[[#This Row],[SALDO REEMBOLSAR]]*$N$4</f>
        <v>170.51500000000124</v>
      </c>
      <c r="O280" s="21">
        <f>IF(Tabela1[[#This Row],[CARGA PARCIAL]]&lt;0,0,Tabela1[[#This Row],[CARGA PARCIAL]])+Tabela1[[#This Row],[REEMBOLSO]]</f>
        <v>917.51500000000124</v>
      </c>
      <c r="Q280" t="s">
        <v>24</v>
      </c>
    </row>
    <row r="281" spans="1:17">
      <c r="A281" s="3" t="s">
        <v>714</v>
      </c>
      <c r="B281" s="3" t="s">
        <v>715</v>
      </c>
      <c r="C281" s="5" t="s">
        <v>19</v>
      </c>
      <c r="D281" s="3" t="s">
        <v>20</v>
      </c>
      <c r="E281" s="3" t="s">
        <v>716</v>
      </c>
      <c r="F281" s="3" t="s">
        <v>22</v>
      </c>
      <c r="G281" s="3" t="s">
        <v>23</v>
      </c>
      <c r="H281" s="21">
        <v>0</v>
      </c>
      <c r="I281" s="21">
        <v>0</v>
      </c>
      <c r="J281" s="21">
        <v>400</v>
      </c>
      <c r="K281" s="21">
        <v>400</v>
      </c>
      <c r="L281" s="22"/>
      <c r="M281" s="21">
        <f>Tabela1[[#This Row],[1ª QZ]]-Tabela1[[#This Row],[SALDO FINAL]]-Tabela1[[#This Row],[SALDO CARTAO]]-Tabela1[[#This Row],[Adiantamento ]]</f>
        <v>0</v>
      </c>
      <c r="N281" s="21">
        <f>Tabela1[[#This Row],[SALDO REEMBOLSAR]]*$N$4</f>
        <v>0</v>
      </c>
      <c r="O281" s="21">
        <f>IF(Tabela1[[#This Row],[CARGA PARCIAL]]&lt;0,0,Tabela1[[#This Row],[CARGA PARCIAL]])+Tabela1[[#This Row],[REEMBOLSO]]</f>
        <v>0</v>
      </c>
      <c r="Q281" t="s">
        <v>24</v>
      </c>
    </row>
    <row r="282" spans="1:17">
      <c r="A282" s="3" t="s">
        <v>717</v>
      </c>
      <c r="B282" s="3" t="s">
        <v>718</v>
      </c>
      <c r="C282" s="5" t="s">
        <v>19</v>
      </c>
      <c r="D282" s="3" t="s">
        <v>44</v>
      </c>
      <c r="E282" s="3" t="s">
        <v>170</v>
      </c>
      <c r="F282" s="3" t="s">
        <v>46</v>
      </c>
      <c r="G282" s="3" t="s">
        <v>47</v>
      </c>
      <c r="H282" s="21">
        <v>63.609999999998763</v>
      </c>
      <c r="I282" s="21">
        <v>0</v>
      </c>
      <c r="J282" s="21">
        <v>1400</v>
      </c>
      <c r="K282" s="21">
        <v>6</v>
      </c>
      <c r="L282" s="22"/>
      <c r="M282" s="21">
        <f>Tabela1[[#This Row],[1ª QZ]]-Tabela1[[#This Row],[SALDO FINAL]]-Tabela1[[#This Row],[SALDO CARTAO]]-Tabela1[[#This Row],[Adiantamento ]]</f>
        <v>1394</v>
      </c>
      <c r="N282" s="21">
        <f>Tabela1[[#This Row],[SALDO REEMBOLSAR]]*$N$4</f>
        <v>31.804999999999382</v>
      </c>
      <c r="O282" s="21">
        <f>IF(Tabela1[[#This Row],[CARGA PARCIAL]]&lt;0,0,Tabela1[[#This Row],[CARGA PARCIAL]])+Tabela1[[#This Row],[REEMBOLSO]]</f>
        <v>1425.8049999999994</v>
      </c>
      <c r="Q282" t="s">
        <v>24</v>
      </c>
    </row>
    <row r="283" spans="1:17">
      <c r="A283" s="3" t="s">
        <v>719</v>
      </c>
      <c r="B283" s="3" t="s">
        <v>720</v>
      </c>
      <c r="C283" s="5" t="s">
        <v>19</v>
      </c>
      <c r="D283" s="3" t="s">
        <v>30</v>
      </c>
      <c r="E283" s="3" t="s">
        <v>117</v>
      </c>
      <c r="F283" s="3" t="s">
        <v>32</v>
      </c>
      <c r="G283" s="3" t="s">
        <v>33</v>
      </c>
      <c r="H283" s="21">
        <v>8.0000000000029132</v>
      </c>
      <c r="I283" s="21">
        <v>0</v>
      </c>
      <c r="J283" s="21">
        <v>800</v>
      </c>
      <c r="K283" s="21">
        <v>96.2</v>
      </c>
      <c r="L283" s="22"/>
      <c r="M283" s="21">
        <f>Tabela1[[#This Row],[1ª QZ]]-Tabela1[[#This Row],[SALDO FINAL]]-Tabela1[[#This Row],[SALDO CARTAO]]-Tabela1[[#This Row],[Adiantamento ]]</f>
        <v>703.8</v>
      </c>
      <c r="N283" s="21">
        <f>Tabela1[[#This Row],[SALDO REEMBOLSAR]]*$N$4</f>
        <v>4.0000000000014566</v>
      </c>
      <c r="O283" s="21">
        <f>IF(Tabela1[[#This Row],[CARGA PARCIAL]]&lt;0,0,Tabela1[[#This Row],[CARGA PARCIAL]])+Tabela1[[#This Row],[REEMBOLSO]]</f>
        <v>707.80000000000143</v>
      </c>
      <c r="Q283" t="s">
        <v>24</v>
      </c>
    </row>
    <row r="284" spans="1:17">
      <c r="A284" s="3" t="s">
        <v>721</v>
      </c>
      <c r="B284" s="3" t="s">
        <v>722</v>
      </c>
      <c r="C284" s="5" t="s">
        <v>19</v>
      </c>
      <c r="D284" s="3" t="s">
        <v>66</v>
      </c>
      <c r="E284" s="3" t="s">
        <v>303</v>
      </c>
      <c r="F284" s="3" t="s">
        <v>68</v>
      </c>
      <c r="G284" s="3" t="s">
        <v>23</v>
      </c>
      <c r="H284" s="21">
        <v>676.68999999999869</v>
      </c>
      <c r="I284" s="21">
        <v>0</v>
      </c>
      <c r="J284" s="21">
        <v>1000</v>
      </c>
      <c r="K284" s="21">
        <v>13</v>
      </c>
      <c r="L284" s="22"/>
      <c r="M284" s="21">
        <f>Tabela1[[#This Row],[1ª QZ]]-Tabela1[[#This Row],[SALDO FINAL]]-Tabela1[[#This Row],[SALDO CARTAO]]-Tabela1[[#This Row],[Adiantamento ]]</f>
        <v>987</v>
      </c>
      <c r="N284" s="21">
        <f>Tabela1[[#This Row],[SALDO REEMBOLSAR]]*$N$4</f>
        <v>338.34499999999935</v>
      </c>
      <c r="O284" s="21">
        <f>IF(Tabela1[[#This Row],[CARGA PARCIAL]]&lt;0,0,Tabela1[[#This Row],[CARGA PARCIAL]])+Tabela1[[#This Row],[REEMBOLSO]]</f>
        <v>1325.3449999999993</v>
      </c>
      <c r="Q284" t="s">
        <v>24</v>
      </c>
    </row>
    <row r="285" spans="1:17">
      <c r="A285" s="3" t="s">
        <v>723</v>
      </c>
      <c r="B285" s="3" t="s">
        <v>724</v>
      </c>
      <c r="C285" s="5" t="s">
        <v>19</v>
      </c>
      <c r="D285" s="3" t="s">
        <v>93</v>
      </c>
      <c r="E285" s="3" t="s">
        <v>533</v>
      </c>
      <c r="F285" s="3" t="s">
        <v>95</v>
      </c>
      <c r="G285" s="3" t="s">
        <v>33</v>
      </c>
      <c r="H285" s="21">
        <v>1345.8099999999959</v>
      </c>
      <c r="I285" s="21">
        <v>0</v>
      </c>
      <c r="J285" s="21">
        <v>2500</v>
      </c>
      <c r="K285" s="21">
        <v>598</v>
      </c>
      <c r="L285" s="22"/>
      <c r="M285" s="21">
        <f>Tabela1[[#This Row],[1ª QZ]]-Tabela1[[#This Row],[SALDO FINAL]]-Tabela1[[#This Row],[SALDO CARTAO]]-Tabela1[[#This Row],[Adiantamento ]]</f>
        <v>1902</v>
      </c>
      <c r="N285" s="21">
        <f>Tabela1[[#This Row],[SALDO REEMBOLSAR]]*$N$4</f>
        <v>672.90499999999793</v>
      </c>
      <c r="O285" s="21">
        <f>IF(Tabela1[[#This Row],[CARGA PARCIAL]]&lt;0,0,Tabela1[[#This Row],[CARGA PARCIAL]])+Tabela1[[#This Row],[REEMBOLSO]]</f>
        <v>2574.9049999999979</v>
      </c>
      <c r="Q285" t="s">
        <v>24</v>
      </c>
    </row>
    <row r="286" spans="1:17">
      <c r="A286" s="3" t="s">
        <v>725</v>
      </c>
      <c r="B286" s="3" t="s">
        <v>726</v>
      </c>
      <c r="C286" s="5" t="s">
        <v>19</v>
      </c>
      <c r="D286" s="3" t="s">
        <v>93</v>
      </c>
      <c r="E286" s="3" t="s">
        <v>727</v>
      </c>
      <c r="F286" s="3" t="s">
        <v>95</v>
      </c>
      <c r="G286" s="3" t="s">
        <v>33</v>
      </c>
      <c r="H286" s="21">
        <v>3422.0700000001016</v>
      </c>
      <c r="I286" s="21">
        <v>0</v>
      </c>
      <c r="J286" s="21">
        <v>2800</v>
      </c>
      <c r="K286" s="21">
        <v>18</v>
      </c>
      <c r="L286" s="22"/>
      <c r="M286" s="21">
        <f>Tabela1[[#This Row],[1ª QZ]]-Tabela1[[#This Row],[SALDO FINAL]]-Tabela1[[#This Row],[SALDO CARTAO]]-Tabela1[[#This Row],[Adiantamento ]]</f>
        <v>2782</v>
      </c>
      <c r="N286" s="21">
        <f>Tabela1[[#This Row],[SALDO REEMBOLSAR]]*$N$4</f>
        <v>1711.0350000000508</v>
      </c>
      <c r="O286" s="21">
        <f>IF(Tabela1[[#This Row],[CARGA PARCIAL]]&lt;0,0,Tabela1[[#This Row],[CARGA PARCIAL]])+Tabela1[[#This Row],[REEMBOLSO]]</f>
        <v>4493.0350000000508</v>
      </c>
      <c r="Q286" t="s">
        <v>24</v>
      </c>
    </row>
    <row r="287" spans="1:17">
      <c r="A287" s="3" t="s">
        <v>728</v>
      </c>
      <c r="B287" s="3" t="s">
        <v>729</v>
      </c>
      <c r="C287" s="5" t="s">
        <v>19</v>
      </c>
      <c r="D287" s="3" t="s">
        <v>30</v>
      </c>
      <c r="E287" s="3" t="s">
        <v>31</v>
      </c>
      <c r="F287" s="3" t="s">
        <v>32</v>
      </c>
      <c r="G287" s="3" t="s">
        <v>33</v>
      </c>
      <c r="H287" s="21">
        <v>0</v>
      </c>
      <c r="I287" s="21">
        <v>0</v>
      </c>
      <c r="J287" s="21">
        <v>600</v>
      </c>
      <c r="K287" s="21">
        <v>0</v>
      </c>
      <c r="L287" s="22">
        <v>600</v>
      </c>
      <c r="M287" s="21">
        <f>Tabela1[[#This Row],[1ª QZ]]-Tabela1[[#This Row],[SALDO FINAL]]-Tabela1[[#This Row],[SALDO CARTAO]]-Tabela1[[#This Row],[Adiantamento ]]</f>
        <v>0</v>
      </c>
      <c r="N287" s="21">
        <f>Tabela1[[#This Row],[SALDO REEMBOLSAR]]*$N$4</f>
        <v>0</v>
      </c>
      <c r="O287" s="21">
        <f>IF(Tabela1[[#This Row],[CARGA PARCIAL]]&lt;0,0,Tabela1[[#This Row],[CARGA PARCIAL]])+Tabela1[[#This Row],[REEMBOLSO]]</f>
        <v>0</v>
      </c>
      <c r="Q287" t="s">
        <v>667</v>
      </c>
    </row>
    <row r="288" spans="1:17">
      <c r="A288" s="3" t="s">
        <v>730</v>
      </c>
      <c r="B288" s="3" t="s">
        <v>731</v>
      </c>
      <c r="C288" s="5" t="s">
        <v>19</v>
      </c>
      <c r="D288" s="3" t="s">
        <v>30</v>
      </c>
      <c r="E288" s="3" t="s">
        <v>114</v>
      </c>
      <c r="F288" s="3" t="s">
        <v>32</v>
      </c>
      <c r="G288" s="3" t="s">
        <v>33</v>
      </c>
      <c r="H288" s="21">
        <v>11.029999999994331</v>
      </c>
      <c r="I288" s="21">
        <v>0</v>
      </c>
      <c r="J288" s="21">
        <v>250</v>
      </c>
      <c r="K288" s="21">
        <v>113.04</v>
      </c>
      <c r="L288" s="22"/>
      <c r="M288" s="21">
        <f>Tabela1[[#This Row],[1ª QZ]]-Tabela1[[#This Row],[SALDO FINAL]]-Tabela1[[#This Row],[SALDO CARTAO]]-Tabela1[[#This Row],[Adiantamento ]]</f>
        <v>136.95999999999998</v>
      </c>
      <c r="N288" s="21">
        <f>Tabela1[[#This Row],[SALDO REEMBOLSAR]]*$N$4</f>
        <v>5.5149999999971655</v>
      </c>
      <c r="O288" s="21">
        <f>IF(Tabela1[[#This Row],[CARGA PARCIAL]]&lt;0,0,Tabela1[[#This Row],[CARGA PARCIAL]])+Tabela1[[#This Row],[REEMBOLSO]]</f>
        <v>142.47499999999715</v>
      </c>
      <c r="Q288" t="s">
        <v>24</v>
      </c>
    </row>
    <row r="289" spans="1:17">
      <c r="A289" s="3" t="s">
        <v>732</v>
      </c>
      <c r="B289" s="3" t="s">
        <v>733</v>
      </c>
      <c r="C289" s="5" t="s">
        <v>19</v>
      </c>
      <c r="D289" s="3" t="s">
        <v>74</v>
      </c>
      <c r="E289" s="3" t="s">
        <v>75</v>
      </c>
      <c r="F289" s="3" t="s">
        <v>76</v>
      </c>
      <c r="G289" s="3" t="s">
        <v>23</v>
      </c>
      <c r="H289" s="21">
        <v>7.4800000000113513</v>
      </c>
      <c r="I289" s="21">
        <v>0</v>
      </c>
      <c r="J289" s="21">
        <v>2000</v>
      </c>
      <c r="K289" s="21">
        <v>45.21</v>
      </c>
      <c r="L289" s="22"/>
      <c r="M289" s="21">
        <f>Tabela1[[#This Row],[1ª QZ]]-Tabela1[[#This Row],[SALDO FINAL]]-Tabela1[[#This Row],[SALDO CARTAO]]-Tabela1[[#This Row],[Adiantamento ]]</f>
        <v>1954.79</v>
      </c>
      <c r="N289" s="21">
        <f>Tabela1[[#This Row],[SALDO REEMBOLSAR]]*$N$4</f>
        <v>3.7400000000056757</v>
      </c>
      <c r="O289" s="21">
        <f>IF(Tabela1[[#This Row],[CARGA PARCIAL]]&lt;0,0,Tabela1[[#This Row],[CARGA PARCIAL]])+Tabela1[[#This Row],[REEMBOLSO]]</f>
        <v>1958.5300000000057</v>
      </c>
      <c r="Q289" t="s">
        <v>24</v>
      </c>
    </row>
    <row r="290" spans="1:17">
      <c r="A290" s="3" t="s">
        <v>734</v>
      </c>
      <c r="B290" s="3" t="s">
        <v>735</v>
      </c>
      <c r="C290" s="5" t="s">
        <v>19</v>
      </c>
      <c r="D290" s="3" t="s">
        <v>93</v>
      </c>
      <c r="E290" s="3" t="s">
        <v>284</v>
      </c>
      <c r="F290" s="3" t="s">
        <v>95</v>
      </c>
      <c r="G290" s="3" t="s">
        <v>33</v>
      </c>
      <c r="H290" s="21">
        <v>67.820000000000277</v>
      </c>
      <c r="I290" s="21">
        <v>0</v>
      </c>
      <c r="J290" s="21">
        <v>500</v>
      </c>
      <c r="K290" s="21">
        <v>27.12</v>
      </c>
      <c r="L290" s="22"/>
      <c r="M290" s="21">
        <f>Tabela1[[#This Row],[1ª QZ]]-Tabela1[[#This Row],[SALDO FINAL]]-Tabela1[[#This Row],[SALDO CARTAO]]-Tabela1[[#This Row],[Adiantamento ]]</f>
        <v>472.88</v>
      </c>
      <c r="N290" s="21">
        <f>Tabela1[[#This Row],[SALDO REEMBOLSAR]]*$N$4</f>
        <v>33.910000000000139</v>
      </c>
      <c r="O290" s="21">
        <f>IF(Tabela1[[#This Row],[CARGA PARCIAL]]&lt;0,0,Tabela1[[#This Row],[CARGA PARCIAL]])+Tabela1[[#This Row],[REEMBOLSO]]</f>
        <v>506.79000000000013</v>
      </c>
      <c r="Q290" t="s">
        <v>24</v>
      </c>
    </row>
    <row r="291" spans="1:17">
      <c r="A291" s="3" t="s">
        <v>736</v>
      </c>
      <c r="B291" s="3" t="s">
        <v>737</v>
      </c>
      <c r="C291" s="5" t="s">
        <v>19</v>
      </c>
      <c r="D291" s="3" t="s">
        <v>20</v>
      </c>
      <c r="E291" s="3" t="s">
        <v>494</v>
      </c>
      <c r="F291" s="3" t="s">
        <v>22</v>
      </c>
      <c r="G291" s="3" t="s">
        <v>23</v>
      </c>
      <c r="H291" s="21">
        <v>202.0000000000291</v>
      </c>
      <c r="I291" s="21">
        <v>0</v>
      </c>
      <c r="J291" s="21">
        <v>2000</v>
      </c>
      <c r="K291" s="21">
        <v>22</v>
      </c>
      <c r="L291" s="22"/>
      <c r="M291" s="21">
        <f>Tabela1[[#This Row],[1ª QZ]]-Tabela1[[#This Row],[SALDO FINAL]]-Tabela1[[#This Row],[SALDO CARTAO]]-Tabela1[[#This Row],[Adiantamento ]]</f>
        <v>1978</v>
      </c>
      <c r="N291" s="21">
        <f>Tabela1[[#This Row],[SALDO REEMBOLSAR]]*$N$4</f>
        <v>101.00000000001455</v>
      </c>
      <c r="O291" s="21">
        <f>IF(Tabela1[[#This Row],[CARGA PARCIAL]]&lt;0,0,Tabela1[[#This Row],[CARGA PARCIAL]])+Tabela1[[#This Row],[REEMBOLSO]]</f>
        <v>2079.0000000000146</v>
      </c>
      <c r="Q291" t="s">
        <v>24</v>
      </c>
    </row>
    <row r="292" spans="1:17">
      <c r="A292" s="3" t="s">
        <v>738</v>
      </c>
      <c r="B292" s="3" t="s">
        <v>739</v>
      </c>
      <c r="C292" s="5" t="s">
        <v>19</v>
      </c>
      <c r="D292" s="3" t="s">
        <v>88</v>
      </c>
      <c r="E292" s="3" t="s">
        <v>740</v>
      </c>
      <c r="F292" s="3" t="s">
        <v>90</v>
      </c>
      <c r="G292" s="3" t="s">
        <v>47</v>
      </c>
      <c r="H292" s="21">
        <v>2388.1700000000383</v>
      </c>
      <c r="I292" s="21">
        <v>0</v>
      </c>
      <c r="J292" s="21">
        <v>2000</v>
      </c>
      <c r="K292" s="21">
        <v>49</v>
      </c>
      <c r="L292" s="22"/>
      <c r="M292" s="21">
        <f>Tabela1[[#This Row],[1ª QZ]]-Tabela1[[#This Row],[SALDO FINAL]]-Tabela1[[#This Row],[SALDO CARTAO]]-Tabela1[[#This Row],[Adiantamento ]]</f>
        <v>1951</v>
      </c>
      <c r="N292" s="21">
        <f>Tabela1[[#This Row],[SALDO REEMBOLSAR]]*$N$4</f>
        <v>1194.0850000000191</v>
      </c>
      <c r="O292" s="21">
        <f>IF(Tabela1[[#This Row],[CARGA PARCIAL]]&lt;0,0,Tabela1[[#This Row],[CARGA PARCIAL]])+Tabela1[[#This Row],[REEMBOLSO]]</f>
        <v>3145.0850000000191</v>
      </c>
      <c r="Q292" t="s">
        <v>24</v>
      </c>
    </row>
    <row r="293" spans="1:17">
      <c r="A293" s="3" t="s">
        <v>741</v>
      </c>
      <c r="B293" s="3" t="s">
        <v>742</v>
      </c>
      <c r="C293" s="5" t="s">
        <v>19</v>
      </c>
      <c r="D293" s="3" t="s">
        <v>93</v>
      </c>
      <c r="E293" s="3" t="s">
        <v>289</v>
      </c>
      <c r="F293" s="3" t="s">
        <v>95</v>
      </c>
      <c r="G293" s="3" t="s">
        <v>33</v>
      </c>
      <c r="H293" s="21">
        <v>0</v>
      </c>
      <c r="I293" s="21">
        <v>0</v>
      </c>
      <c r="J293" s="21">
        <v>300</v>
      </c>
      <c r="K293" s="21">
        <v>0</v>
      </c>
      <c r="L293" s="22"/>
      <c r="M293" s="21">
        <f>Tabela1[[#This Row],[1ª QZ]]-Tabela1[[#This Row],[SALDO FINAL]]-Tabela1[[#This Row],[SALDO CARTAO]]-Tabela1[[#This Row],[Adiantamento ]]</f>
        <v>300</v>
      </c>
      <c r="N293" s="21">
        <f>Tabela1[[#This Row],[SALDO REEMBOLSAR]]*$N$4</f>
        <v>0</v>
      </c>
      <c r="O293" s="21">
        <f>IF(Tabela1[[#This Row],[CARGA PARCIAL]]&lt;0,0,Tabela1[[#This Row],[CARGA PARCIAL]])+Tabela1[[#This Row],[REEMBOLSO]]</f>
        <v>300</v>
      </c>
      <c r="Q293" t="s">
        <v>24</v>
      </c>
    </row>
    <row r="294" spans="1:17">
      <c r="A294" s="3" t="s">
        <v>743</v>
      </c>
      <c r="B294" s="3" t="s">
        <v>744</v>
      </c>
      <c r="C294" s="5" t="s">
        <v>19</v>
      </c>
      <c r="D294" s="3" t="s">
        <v>30</v>
      </c>
      <c r="E294" s="3" t="s">
        <v>145</v>
      </c>
      <c r="F294" s="3" t="s">
        <v>32</v>
      </c>
      <c r="G294" s="3" t="s">
        <v>33</v>
      </c>
      <c r="H294" s="21">
        <v>524.60000000000946</v>
      </c>
      <c r="I294" s="21">
        <v>0</v>
      </c>
      <c r="J294" s="21">
        <v>1200</v>
      </c>
      <c r="K294" s="21">
        <v>0</v>
      </c>
      <c r="L294" s="22"/>
      <c r="M294" s="21">
        <f>Tabela1[[#This Row],[1ª QZ]]-Tabela1[[#This Row],[SALDO FINAL]]-Tabela1[[#This Row],[SALDO CARTAO]]-Tabela1[[#This Row],[Adiantamento ]]</f>
        <v>1200</v>
      </c>
      <c r="N294" s="21">
        <f>Tabela1[[#This Row],[SALDO REEMBOLSAR]]*$N$4</f>
        <v>262.30000000000473</v>
      </c>
      <c r="O294" s="21">
        <f>IF(Tabela1[[#This Row],[CARGA PARCIAL]]&lt;0,0,Tabela1[[#This Row],[CARGA PARCIAL]])+Tabela1[[#This Row],[REEMBOLSO]]</f>
        <v>1462.3000000000047</v>
      </c>
      <c r="Q294" t="s">
        <v>24</v>
      </c>
    </row>
    <row r="295" spans="1:17">
      <c r="A295" s="3" t="s">
        <v>745</v>
      </c>
      <c r="B295" s="3" t="s">
        <v>746</v>
      </c>
      <c r="C295" s="5" t="s">
        <v>19</v>
      </c>
      <c r="D295" s="3" t="s">
        <v>44</v>
      </c>
      <c r="E295" s="3" t="s">
        <v>445</v>
      </c>
      <c r="F295" s="3" t="s">
        <v>46</v>
      </c>
      <c r="G295" s="3" t="s">
        <v>47</v>
      </c>
      <c r="H295" s="21">
        <v>1536.0100000000011</v>
      </c>
      <c r="I295" s="21">
        <v>0</v>
      </c>
      <c r="J295" s="21">
        <v>500</v>
      </c>
      <c r="K295" s="21">
        <v>718.59</v>
      </c>
      <c r="L295" s="22"/>
      <c r="M295" s="21">
        <f>Tabela1[[#This Row],[1ª QZ]]-Tabela1[[#This Row],[SALDO FINAL]]-Tabela1[[#This Row],[SALDO CARTAO]]-Tabela1[[#This Row],[Adiantamento ]]</f>
        <v>-218.59000000000003</v>
      </c>
      <c r="N295" s="21">
        <f>Tabela1[[#This Row],[SALDO REEMBOLSAR]]*$N$4</f>
        <v>768.00500000000056</v>
      </c>
      <c r="O295" s="21">
        <f>IF(Tabela1[[#This Row],[CARGA PARCIAL]]&lt;0,0,Tabela1[[#This Row],[CARGA PARCIAL]])+Tabela1[[#This Row],[REEMBOLSO]]</f>
        <v>768.00500000000056</v>
      </c>
      <c r="Q295" t="s">
        <v>24</v>
      </c>
    </row>
    <row r="296" spans="1:17">
      <c r="A296" s="3" t="s">
        <v>747</v>
      </c>
      <c r="B296" s="3" t="s">
        <v>748</v>
      </c>
      <c r="C296" s="5" t="s">
        <v>19</v>
      </c>
      <c r="D296" s="3" t="s">
        <v>749</v>
      </c>
      <c r="E296" s="3" t="s">
        <v>749</v>
      </c>
      <c r="F296" s="3" t="s">
        <v>750</v>
      </c>
      <c r="G296" s="3" t="s">
        <v>751</v>
      </c>
      <c r="H296" s="21">
        <v>275.94000000000017</v>
      </c>
      <c r="I296" s="21">
        <v>0</v>
      </c>
      <c r="J296" s="21">
        <v>900</v>
      </c>
      <c r="K296" s="21">
        <v>290.85000000000002</v>
      </c>
      <c r="L296" s="22"/>
      <c r="M296" s="21">
        <f>Tabela1[[#This Row],[1ª QZ]]-Tabela1[[#This Row],[SALDO FINAL]]-Tabela1[[#This Row],[SALDO CARTAO]]-Tabela1[[#This Row],[Adiantamento ]]</f>
        <v>609.15</v>
      </c>
      <c r="N296" s="21">
        <f>Tabela1[[#This Row],[SALDO REEMBOLSAR]]*$N$4</f>
        <v>137.97000000000008</v>
      </c>
      <c r="O296" s="21">
        <f>IF(Tabela1[[#This Row],[CARGA PARCIAL]]&lt;0,0,Tabela1[[#This Row],[CARGA PARCIAL]])+Tabela1[[#This Row],[REEMBOLSO]]</f>
        <v>747.12000000000012</v>
      </c>
      <c r="Q296" t="s">
        <v>24</v>
      </c>
    </row>
    <row r="297" spans="1:17">
      <c r="A297" s="3" t="s">
        <v>752</v>
      </c>
      <c r="B297" s="3" t="s">
        <v>753</v>
      </c>
      <c r="C297" s="5" t="s">
        <v>19</v>
      </c>
      <c r="D297" s="3" t="s">
        <v>754</v>
      </c>
      <c r="E297" s="3" t="s">
        <v>754</v>
      </c>
      <c r="F297" s="3" t="s">
        <v>750</v>
      </c>
      <c r="G297" s="3" t="s">
        <v>751</v>
      </c>
      <c r="H297" s="21">
        <v>1.9999999999992042</v>
      </c>
      <c r="I297" s="21">
        <v>0</v>
      </c>
      <c r="J297" s="21">
        <v>500</v>
      </c>
      <c r="K297" s="21">
        <v>345.6</v>
      </c>
      <c r="L297" s="22"/>
      <c r="M297" s="21">
        <f>Tabela1[[#This Row],[1ª QZ]]-Tabela1[[#This Row],[SALDO FINAL]]-Tabela1[[#This Row],[SALDO CARTAO]]-Tabela1[[#This Row],[Adiantamento ]]</f>
        <v>154.39999999999998</v>
      </c>
      <c r="N297" s="21">
        <f>Tabela1[[#This Row],[SALDO REEMBOLSAR]]*$N$4</f>
        <v>0.9999999999996021</v>
      </c>
      <c r="O297" s="21">
        <f>IF(Tabela1[[#This Row],[CARGA PARCIAL]]&lt;0,0,Tabela1[[#This Row],[CARGA PARCIAL]])+Tabela1[[#This Row],[REEMBOLSO]]</f>
        <v>155.39999999999958</v>
      </c>
      <c r="Q297" t="s">
        <v>24</v>
      </c>
    </row>
    <row r="298" spans="1:17">
      <c r="A298" s="3" t="s">
        <v>755</v>
      </c>
      <c r="B298" s="3" t="s">
        <v>756</v>
      </c>
      <c r="C298" s="5" t="s">
        <v>19</v>
      </c>
      <c r="D298" s="3" t="s">
        <v>30</v>
      </c>
      <c r="E298" s="3" t="s">
        <v>341</v>
      </c>
      <c r="F298" s="3" t="s">
        <v>32</v>
      </c>
      <c r="G298" s="3" t="s">
        <v>33</v>
      </c>
      <c r="H298" s="21">
        <v>0.8999999999996362</v>
      </c>
      <c r="I298" s="21">
        <v>0</v>
      </c>
      <c r="J298" s="21">
        <v>800</v>
      </c>
      <c r="K298" s="21">
        <v>320</v>
      </c>
      <c r="L298" s="22"/>
      <c r="M298" s="21">
        <f>Tabela1[[#This Row],[1ª QZ]]-Tabela1[[#This Row],[SALDO FINAL]]-Tabela1[[#This Row],[SALDO CARTAO]]-Tabela1[[#This Row],[Adiantamento ]]</f>
        <v>480</v>
      </c>
      <c r="N298" s="21">
        <f>Tabela1[[#This Row],[SALDO REEMBOLSAR]]*$N$4</f>
        <v>0.4499999999998181</v>
      </c>
      <c r="O298" s="21">
        <f>IF(Tabela1[[#This Row],[CARGA PARCIAL]]&lt;0,0,Tabela1[[#This Row],[CARGA PARCIAL]])+Tabela1[[#This Row],[REEMBOLSO]]</f>
        <v>480.44999999999982</v>
      </c>
      <c r="Q298" t="s">
        <v>24</v>
      </c>
    </row>
    <row r="299" spans="1:17">
      <c r="A299" s="3" t="s">
        <v>757</v>
      </c>
      <c r="B299" s="3" t="s">
        <v>758</v>
      </c>
      <c r="C299" s="5" t="s">
        <v>19</v>
      </c>
      <c r="D299" s="3" t="s">
        <v>50</v>
      </c>
      <c r="E299" s="3" t="s">
        <v>134</v>
      </c>
      <c r="F299" s="3" t="s">
        <v>52</v>
      </c>
      <c r="G299" s="3" t="s">
        <v>33</v>
      </c>
      <c r="H299" s="21">
        <v>0</v>
      </c>
      <c r="I299" s="21">
        <v>0</v>
      </c>
      <c r="J299" s="21">
        <v>1500</v>
      </c>
      <c r="K299" s="21">
        <v>500</v>
      </c>
      <c r="L299" s="22"/>
      <c r="M299" s="21">
        <f>Tabela1[[#This Row],[1ª QZ]]-Tabela1[[#This Row],[SALDO FINAL]]-Tabela1[[#This Row],[SALDO CARTAO]]-Tabela1[[#This Row],[Adiantamento ]]</f>
        <v>1000</v>
      </c>
      <c r="N299" s="21">
        <f>Tabela1[[#This Row],[SALDO REEMBOLSAR]]*$N$4</f>
        <v>0</v>
      </c>
      <c r="O299" s="21">
        <f>IF(Tabela1[[#This Row],[CARGA PARCIAL]]&lt;0,0,Tabela1[[#This Row],[CARGA PARCIAL]])+Tabela1[[#This Row],[REEMBOLSO]]</f>
        <v>1000</v>
      </c>
      <c r="Q299" t="s">
        <v>24</v>
      </c>
    </row>
    <row r="300" spans="1:17">
      <c r="A300" s="3" t="s">
        <v>759</v>
      </c>
      <c r="B300" s="3" t="s">
        <v>760</v>
      </c>
      <c r="C300" s="5" t="s">
        <v>19</v>
      </c>
      <c r="D300" s="3" t="s">
        <v>30</v>
      </c>
      <c r="E300" s="3" t="s">
        <v>653</v>
      </c>
      <c r="F300" s="3" t="s">
        <v>32</v>
      </c>
      <c r="G300" s="3" t="s">
        <v>33</v>
      </c>
      <c r="H300" s="21">
        <v>10.990000000004727</v>
      </c>
      <c r="I300" s="21">
        <v>0</v>
      </c>
      <c r="J300" s="21">
        <v>1000</v>
      </c>
      <c r="K300" s="21">
        <v>206.94</v>
      </c>
      <c r="L300" s="22"/>
      <c r="M300" s="21">
        <f>Tabela1[[#This Row],[1ª QZ]]-Tabela1[[#This Row],[SALDO FINAL]]-Tabela1[[#This Row],[SALDO CARTAO]]-Tabela1[[#This Row],[Adiantamento ]]</f>
        <v>793.06</v>
      </c>
      <c r="N300" s="21">
        <f>Tabela1[[#This Row],[SALDO REEMBOLSAR]]*$N$4</f>
        <v>5.4950000000023635</v>
      </c>
      <c r="O300" s="21">
        <f>IF(Tabela1[[#This Row],[CARGA PARCIAL]]&lt;0,0,Tabela1[[#This Row],[CARGA PARCIAL]])+Tabela1[[#This Row],[REEMBOLSO]]</f>
        <v>798.55500000000234</v>
      </c>
      <c r="Q300" t="s">
        <v>24</v>
      </c>
    </row>
    <row r="301" spans="1:17">
      <c r="A301" s="3" t="s">
        <v>761</v>
      </c>
      <c r="B301" s="3" t="s">
        <v>762</v>
      </c>
      <c r="C301" s="5" t="s">
        <v>19</v>
      </c>
      <c r="D301" s="3" t="s">
        <v>50</v>
      </c>
      <c r="E301" s="3" t="s">
        <v>225</v>
      </c>
      <c r="F301" s="3" t="s">
        <v>52</v>
      </c>
      <c r="G301" s="3" t="s">
        <v>33</v>
      </c>
      <c r="H301" s="21">
        <v>5383.2700000000659</v>
      </c>
      <c r="I301" s="21">
        <v>0</v>
      </c>
      <c r="J301" s="21">
        <v>6000</v>
      </c>
      <c r="K301" s="21">
        <v>10.73</v>
      </c>
      <c r="L301" s="22"/>
      <c r="M301" s="21">
        <f>Tabela1[[#This Row],[1ª QZ]]-Tabela1[[#This Row],[SALDO FINAL]]-Tabela1[[#This Row],[SALDO CARTAO]]-Tabela1[[#This Row],[Adiantamento ]]</f>
        <v>5989.27</v>
      </c>
      <c r="N301" s="21">
        <f>Tabela1[[#This Row],[SALDO REEMBOLSAR]]*$N$4</f>
        <v>2691.635000000033</v>
      </c>
      <c r="O301" s="21">
        <f>IF(Tabela1[[#This Row],[CARGA PARCIAL]]&lt;0,0,Tabela1[[#This Row],[CARGA PARCIAL]])+Tabela1[[#This Row],[REEMBOLSO]]</f>
        <v>8680.9050000000334</v>
      </c>
      <c r="Q301" t="s">
        <v>24</v>
      </c>
    </row>
    <row r="302" spans="1:17">
      <c r="A302" s="3" t="s">
        <v>763</v>
      </c>
      <c r="B302" s="3" t="s">
        <v>764</v>
      </c>
      <c r="C302" s="5" t="s">
        <v>19</v>
      </c>
      <c r="D302" s="3" t="s">
        <v>50</v>
      </c>
      <c r="E302" s="3" t="s">
        <v>191</v>
      </c>
      <c r="F302" s="3" t="s">
        <v>52</v>
      </c>
      <c r="G302" s="3" t="s">
        <v>33</v>
      </c>
      <c r="H302" s="21">
        <v>3173.4700000000594</v>
      </c>
      <c r="I302" s="21">
        <v>0</v>
      </c>
      <c r="J302" s="21">
        <v>4000</v>
      </c>
      <c r="K302" s="21">
        <v>2</v>
      </c>
      <c r="L302" s="22"/>
      <c r="M302" s="21">
        <f>Tabela1[[#This Row],[1ª QZ]]-Tabela1[[#This Row],[SALDO FINAL]]-Tabela1[[#This Row],[SALDO CARTAO]]-Tabela1[[#This Row],[Adiantamento ]]</f>
        <v>3998</v>
      </c>
      <c r="N302" s="21">
        <f>Tabela1[[#This Row],[SALDO REEMBOLSAR]]*$N$4</f>
        <v>1586.7350000000297</v>
      </c>
      <c r="O302" s="21">
        <f>IF(Tabela1[[#This Row],[CARGA PARCIAL]]&lt;0,0,Tabela1[[#This Row],[CARGA PARCIAL]])+Tabela1[[#This Row],[REEMBOLSO]]</f>
        <v>5584.7350000000297</v>
      </c>
      <c r="Q302" t="s">
        <v>24</v>
      </c>
    </row>
    <row r="303" spans="1:17">
      <c r="A303" s="3" t="s">
        <v>765</v>
      </c>
      <c r="B303" s="3" t="s">
        <v>766</v>
      </c>
      <c r="C303" s="5" t="s">
        <v>19</v>
      </c>
      <c r="D303" s="3" t="s">
        <v>30</v>
      </c>
      <c r="E303" s="3" t="s">
        <v>487</v>
      </c>
      <c r="F303" s="3" t="s">
        <v>32</v>
      </c>
      <c r="G303" s="3" t="s">
        <v>33</v>
      </c>
      <c r="H303" s="21">
        <v>322.1899999999963</v>
      </c>
      <c r="I303" s="21">
        <v>0</v>
      </c>
      <c r="J303" s="21">
        <v>1000</v>
      </c>
      <c r="K303" s="21">
        <v>8.86</v>
      </c>
      <c r="L303" s="22"/>
      <c r="M303" s="21">
        <f>Tabela1[[#This Row],[1ª QZ]]-Tabela1[[#This Row],[SALDO FINAL]]-Tabela1[[#This Row],[SALDO CARTAO]]-Tabela1[[#This Row],[Adiantamento ]]</f>
        <v>991.14</v>
      </c>
      <c r="N303" s="21">
        <f>Tabela1[[#This Row],[SALDO REEMBOLSAR]]*$N$4</f>
        <v>161.09499999999815</v>
      </c>
      <c r="O303" s="21">
        <f>IF(Tabela1[[#This Row],[CARGA PARCIAL]]&lt;0,0,Tabela1[[#This Row],[CARGA PARCIAL]])+Tabela1[[#This Row],[REEMBOLSO]]</f>
        <v>1152.2349999999981</v>
      </c>
      <c r="Q303" t="s">
        <v>24</v>
      </c>
    </row>
    <row r="304" spans="1:17">
      <c r="A304" s="3" t="s">
        <v>767</v>
      </c>
      <c r="B304" s="3" t="s">
        <v>768</v>
      </c>
      <c r="C304" s="5" t="s">
        <v>19</v>
      </c>
      <c r="D304" s="3" t="s">
        <v>101</v>
      </c>
      <c r="E304" s="3" t="s">
        <v>478</v>
      </c>
      <c r="F304" s="3" t="s">
        <v>103</v>
      </c>
      <c r="G304" s="3" t="s">
        <v>33</v>
      </c>
      <c r="H304" s="21">
        <v>0</v>
      </c>
      <c r="I304" s="21">
        <v>0</v>
      </c>
      <c r="J304" s="21">
        <v>50</v>
      </c>
      <c r="K304" s="21">
        <v>0</v>
      </c>
      <c r="L304" s="22"/>
      <c r="M304" s="21">
        <f>Tabela1[[#This Row],[1ª QZ]]-Tabela1[[#This Row],[SALDO FINAL]]-Tabela1[[#This Row],[SALDO CARTAO]]-Tabela1[[#This Row],[Adiantamento ]]</f>
        <v>50</v>
      </c>
      <c r="N304" s="21">
        <f>Tabela1[[#This Row],[SALDO REEMBOLSAR]]*$N$4</f>
        <v>0</v>
      </c>
      <c r="O304" s="21">
        <f>IF(Tabela1[[#This Row],[CARGA PARCIAL]]&lt;0,0,Tabela1[[#This Row],[CARGA PARCIAL]])+Tabela1[[#This Row],[REEMBOLSO]]</f>
        <v>50</v>
      </c>
      <c r="Q304" t="s">
        <v>24</v>
      </c>
    </row>
    <row r="305" spans="1:17">
      <c r="A305" s="3" t="s">
        <v>769</v>
      </c>
      <c r="B305" s="3" t="s">
        <v>770</v>
      </c>
      <c r="C305" s="5" t="s">
        <v>19</v>
      </c>
      <c r="D305" s="3" t="s">
        <v>66</v>
      </c>
      <c r="E305" s="3" t="s">
        <v>771</v>
      </c>
      <c r="F305" s="3" t="s">
        <v>68</v>
      </c>
      <c r="G305" s="3" t="s">
        <v>23</v>
      </c>
      <c r="H305" s="21">
        <v>471.61999999999989</v>
      </c>
      <c r="I305" s="21">
        <v>0</v>
      </c>
      <c r="J305" s="21">
        <v>7000</v>
      </c>
      <c r="K305" s="21">
        <v>6211.66</v>
      </c>
      <c r="L305" s="22"/>
      <c r="M305" s="21">
        <f>Tabela1[[#This Row],[1ª QZ]]-Tabela1[[#This Row],[SALDO FINAL]]-Tabela1[[#This Row],[SALDO CARTAO]]-Tabela1[[#This Row],[Adiantamento ]]</f>
        <v>788.34000000000015</v>
      </c>
      <c r="N305" s="21">
        <f>Tabela1[[#This Row],[SALDO REEMBOLSAR]]*$N$4</f>
        <v>235.80999999999995</v>
      </c>
      <c r="O305" s="21">
        <f>IF(Tabela1[[#This Row],[CARGA PARCIAL]]&lt;0,0,Tabela1[[#This Row],[CARGA PARCIAL]])+Tabela1[[#This Row],[REEMBOLSO]]</f>
        <v>1024.1500000000001</v>
      </c>
      <c r="Q305" t="s">
        <v>24</v>
      </c>
    </row>
    <row r="306" spans="1:17">
      <c r="A306" s="3" t="s">
        <v>772</v>
      </c>
      <c r="B306" s="3" t="s">
        <v>773</v>
      </c>
      <c r="C306" s="5" t="s">
        <v>19</v>
      </c>
      <c r="D306" s="3" t="s">
        <v>93</v>
      </c>
      <c r="E306" s="3" t="s">
        <v>774</v>
      </c>
      <c r="F306" s="3" t="s">
        <v>95</v>
      </c>
      <c r="G306" s="3" t="s">
        <v>33</v>
      </c>
      <c r="H306" s="21">
        <v>0</v>
      </c>
      <c r="I306" s="21">
        <v>0</v>
      </c>
      <c r="J306" s="21">
        <v>1000</v>
      </c>
      <c r="K306" s="21">
        <v>148.01</v>
      </c>
      <c r="L306" s="22"/>
      <c r="M306" s="21">
        <f>Tabela1[[#This Row],[1ª QZ]]-Tabela1[[#This Row],[SALDO FINAL]]-Tabela1[[#This Row],[SALDO CARTAO]]-Tabela1[[#This Row],[Adiantamento ]]</f>
        <v>851.99</v>
      </c>
      <c r="N306" s="21">
        <f>Tabela1[[#This Row],[SALDO REEMBOLSAR]]*$N$4</f>
        <v>0</v>
      </c>
      <c r="O306" s="21">
        <f>IF(Tabela1[[#This Row],[CARGA PARCIAL]]&lt;0,0,Tabela1[[#This Row],[CARGA PARCIAL]])+Tabela1[[#This Row],[REEMBOLSO]]</f>
        <v>851.99</v>
      </c>
      <c r="Q306" t="s">
        <v>24</v>
      </c>
    </row>
    <row r="307" spans="1:17">
      <c r="A307" s="3" t="s">
        <v>775</v>
      </c>
      <c r="B307" s="3" t="s">
        <v>776</v>
      </c>
      <c r="C307" s="5" t="s">
        <v>19</v>
      </c>
      <c r="D307" s="3" t="s">
        <v>30</v>
      </c>
      <c r="E307" s="3" t="s">
        <v>145</v>
      </c>
      <c r="F307" s="3" t="s">
        <v>32</v>
      </c>
      <c r="G307" s="3" t="s">
        <v>33</v>
      </c>
      <c r="H307" s="21">
        <v>0</v>
      </c>
      <c r="I307" s="21">
        <v>0</v>
      </c>
      <c r="J307" s="21">
        <v>700</v>
      </c>
      <c r="K307" s="21">
        <v>350</v>
      </c>
      <c r="L307" s="22"/>
      <c r="M307" s="21">
        <f>Tabela1[[#This Row],[1ª QZ]]-Tabela1[[#This Row],[SALDO FINAL]]-Tabela1[[#This Row],[SALDO CARTAO]]-Tabela1[[#This Row],[Adiantamento ]]</f>
        <v>350</v>
      </c>
      <c r="N307" s="21">
        <f>Tabela1[[#This Row],[SALDO REEMBOLSAR]]*$N$4</f>
        <v>0</v>
      </c>
      <c r="O307" s="21">
        <f>IF(Tabela1[[#This Row],[CARGA PARCIAL]]&lt;0,0,Tabela1[[#This Row],[CARGA PARCIAL]])+Tabela1[[#This Row],[REEMBOLSO]]</f>
        <v>350</v>
      </c>
      <c r="Q307" t="s">
        <v>24</v>
      </c>
    </row>
    <row r="308" spans="1:17">
      <c r="A308" s="3" t="s">
        <v>777</v>
      </c>
      <c r="B308" s="3" t="s">
        <v>778</v>
      </c>
      <c r="C308" s="5" t="s">
        <v>19</v>
      </c>
      <c r="D308" s="3" t="s">
        <v>66</v>
      </c>
      <c r="E308" s="3" t="s">
        <v>303</v>
      </c>
      <c r="F308" s="3" t="s">
        <v>68</v>
      </c>
      <c r="G308" s="3" t="s">
        <v>23</v>
      </c>
      <c r="H308" s="21">
        <v>2755.0499999999993</v>
      </c>
      <c r="I308" s="21">
        <v>0</v>
      </c>
      <c r="J308" s="21">
        <v>1500</v>
      </c>
      <c r="K308" s="21">
        <v>3</v>
      </c>
      <c r="L308" s="22"/>
      <c r="M308" s="21">
        <f>Tabela1[[#This Row],[1ª QZ]]-Tabela1[[#This Row],[SALDO FINAL]]-Tabela1[[#This Row],[SALDO CARTAO]]-Tabela1[[#This Row],[Adiantamento ]]</f>
        <v>1497</v>
      </c>
      <c r="N308" s="21">
        <f>Tabela1[[#This Row],[SALDO REEMBOLSAR]]*$N$4</f>
        <v>1377.5249999999996</v>
      </c>
      <c r="O308" s="21">
        <f>IF(Tabela1[[#This Row],[CARGA PARCIAL]]&lt;0,0,Tabela1[[#This Row],[CARGA PARCIAL]])+Tabela1[[#This Row],[REEMBOLSO]]</f>
        <v>2874.5249999999996</v>
      </c>
      <c r="Q308" t="s">
        <v>24</v>
      </c>
    </row>
    <row r="309" spans="1:17">
      <c r="A309" s="3" t="s">
        <v>779</v>
      </c>
      <c r="B309" s="3" t="s">
        <v>780</v>
      </c>
      <c r="C309" s="5" t="s">
        <v>19</v>
      </c>
      <c r="D309" s="3" t="s">
        <v>20</v>
      </c>
      <c r="E309" s="3" t="s">
        <v>781</v>
      </c>
      <c r="F309" s="3" t="s">
        <v>22</v>
      </c>
      <c r="G309" s="3" t="s">
        <v>23</v>
      </c>
      <c r="H309" s="21">
        <v>853.21999999999753</v>
      </c>
      <c r="I309" s="21">
        <v>0</v>
      </c>
      <c r="J309" s="21">
        <v>1000</v>
      </c>
      <c r="K309" s="21">
        <v>13</v>
      </c>
      <c r="L309" s="22"/>
      <c r="M309" s="21">
        <f>Tabela1[[#This Row],[1ª QZ]]-Tabela1[[#This Row],[SALDO FINAL]]-Tabela1[[#This Row],[SALDO CARTAO]]-Tabela1[[#This Row],[Adiantamento ]]</f>
        <v>987</v>
      </c>
      <c r="N309" s="21">
        <f>Tabela1[[#This Row],[SALDO REEMBOLSAR]]*$N$4</f>
        <v>426.60999999999876</v>
      </c>
      <c r="O309" s="21">
        <f>IF(Tabela1[[#This Row],[CARGA PARCIAL]]&lt;0,0,Tabela1[[#This Row],[CARGA PARCIAL]])+Tabela1[[#This Row],[REEMBOLSO]]</f>
        <v>1413.6099999999988</v>
      </c>
      <c r="Q309" t="s">
        <v>24</v>
      </c>
    </row>
    <row r="310" spans="1:17">
      <c r="A310" s="3" t="s">
        <v>782</v>
      </c>
      <c r="B310" s="3" t="s">
        <v>783</v>
      </c>
      <c r="C310" s="5" t="s">
        <v>19</v>
      </c>
      <c r="D310" s="3" t="s">
        <v>101</v>
      </c>
      <c r="E310" s="3" t="s">
        <v>159</v>
      </c>
      <c r="F310" s="3" t="s">
        <v>103</v>
      </c>
      <c r="G310" s="3" t="s">
        <v>33</v>
      </c>
      <c r="H310" s="21">
        <v>36.650000000000091</v>
      </c>
      <c r="I310" s="21">
        <v>0</v>
      </c>
      <c r="J310" s="21">
        <v>120</v>
      </c>
      <c r="K310" s="21">
        <v>0</v>
      </c>
      <c r="L310" s="22"/>
      <c r="M310" s="21">
        <f>Tabela1[[#This Row],[1ª QZ]]-Tabela1[[#This Row],[SALDO FINAL]]-Tabela1[[#This Row],[SALDO CARTAO]]-Tabela1[[#This Row],[Adiantamento ]]</f>
        <v>120</v>
      </c>
      <c r="N310" s="21">
        <f>Tabela1[[#This Row],[SALDO REEMBOLSAR]]*$N$4</f>
        <v>18.325000000000045</v>
      </c>
      <c r="O310" s="21">
        <f>IF(Tabela1[[#This Row],[CARGA PARCIAL]]&lt;0,0,Tabela1[[#This Row],[CARGA PARCIAL]])+Tabela1[[#This Row],[REEMBOLSO]]</f>
        <v>138.32500000000005</v>
      </c>
      <c r="Q310" t="s">
        <v>24</v>
      </c>
    </row>
    <row r="311" spans="1:17">
      <c r="A311" s="3" t="s">
        <v>784</v>
      </c>
      <c r="B311" s="3" t="s">
        <v>785</v>
      </c>
      <c r="C311" s="5" t="s">
        <v>19</v>
      </c>
      <c r="D311" s="3" t="s">
        <v>101</v>
      </c>
      <c r="E311" s="3" t="s">
        <v>478</v>
      </c>
      <c r="F311" s="3" t="s">
        <v>103</v>
      </c>
      <c r="G311" s="3" t="s">
        <v>33</v>
      </c>
      <c r="H311" s="21">
        <v>28.400000000000091</v>
      </c>
      <c r="I311" s="21">
        <v>0</v>
      </c>
      <c r="J311" s="21">
        <v>100</v>
      </c>
      <c r="K311" s="21">
        <v>100</v>
      </c>
      <c r="L311" s="22"/>
      <c r="M311" s="21">
        <f>Tabela1[[#This Row],[1ª QZ]]-Tabela1[[#This Row],[SALDO FINAL]]-Tabela1[[#This Row],[SALDO CARTAO]]-Tabela1[[#This Row],[Adiantamento ]]</f>
        <v>0</v>
      </c>
      <c r="N311" s="21">
        <f>Tabela1[[#This Row],[SALDO REEMBOLSAR]]*$N$4</f>
        <v>14.200000000000045</v>
      </c>
      <c r="O311" s="21">
        <f>IF(Tabela1[[#This Row],[CARGA PARCIAL]]&lt;0,0,Tabela1[[#This Row],[CARGA PARCIAL]])+Tabela1[[#This Row],[REEMBOLSO]]</f>
        <v>14.200000000000045</v>
      </c>
      <c r="Q311" t="s">
        <v>24</v>
      </c>
    </row>
    <row r="312" spans="1:17">
      <c r="A312" s="3" t="s">
        <v>786</v>
      </c>
      <c r="B312" s="3" t="s">
        <v>787</v>
      </c>
      <c r="C312" s="5" t="s">
        <v>19</v>
      </c>
      <c r="D312" s="3" t="s">
        <v>101</v>
      </c>
      <c r="E312" s="3" t="s">
        <v>478</v>
      </c>
      <c r="F312" s="3" t="s">
        <v>103</v>
      </c>
      <c r="G312" s="3" t="s">
        <v>33</v>
      </c>
      <c r="H312" s="21">
        <v>33.400000000000119</v>
      </c>
      <c r="I312" s="21">
        <v>0</v>
      </c>
      <c r="J312" s="21">
        <v>100</v>
      </c>
      <c r="K312" s="21">
        <v>78.400000000000006</v>
      </c>
      <c r="L312" s="22"/>
      <c r="M312" s="21">
        <f>Tabela1[[#This Row],[1ª QZ]]-Tabela1[[#This Row],[SALDO FINAL]]-Tabela1[[#This Row],[SALDO CARTAO]]-Tabela1[[#This Row],[Adiantamento ]]</f>
        <v>21.599999999999994</v>
      </c>
      <c r="N312" s="21">
        <f>Tabela1[[#This Row],[SALDO REEMBOLSAR]]*$N$4</f>
        <v>16.70000000000006</v>
      </c>
      <c r="O312" s="21">
        <f>IF(Tabela1[[#This Row],[CARGA PARCIAL]]&lt;0,0,Tabela1[[#This Row],[CARGA PARCIAL]])+Tabela1[[#This Row],[REEMBOLSO]]</f>
        <v>38.300000000000054</v>
      </c>
      <c r="Q312" t="s">
        <v>24</v>
      </c>
    </row>
    <row r="313" spans="1:17">
      <c r="A313" s="3" t="s">
        <v>788</v>
      </c>
      <c r="B313" s="3" t="s">
        <v>789</v>
      </c>
      <c r="C313" s="5" t="s">
        <v>19</v>
      </c>
      <c r="D313" s="3" t="s">
        <v>30</v>
      </c>
      <c r="E313" s="3" t="s">
        <v>117</v>
      </c>
      <c r="F313" s="3" t="s">
        <v>32</v>
      </c>
      <c r="G313" s="3" t="s">
        <v>33</v>
      </c>
      <c r="H313" s="21">
        <v>238.10000000000895</v>
      </c>
      <c r="I313" s="21">
        <v>0</v>
      </c>
      <c r="J313" s="21">
        <v>800</v>
      </c>
      <c r="K313" s="21">
        <v>21.44</v>
      </c>
      <c r="L313" s="22"/>
      <c r="M313" s="21">
        <f>Tabela1[[#This Row],[1ª QZ]]-Tabela1[[#This Row],[SALDO FINAL]]-Tabela1[[#This Row],[SALDO CARTAO]]-Tabela1[[#This Row],[Adiantamento ]]</f>
        <v>778.56</v>
      </c>
      <c r="N313" s="21">
        <f>Tabela1[[#This Row],[SALDO REEMBOLSAR]]*$N$4</f>
        <v>119.05000000000447</v>
      </c>
      <c r="O313" s="21">
        <f>IF(Tabela1[[#This Row],[CARGA PARCIAL]]&lt;0,0,Tabela1[[#This Row],[CARGA PARCIAL]])+Tabela1[[#This Row],[REEMBOLSO]]</f>
        <v>897.61000000000445</v>
      </c>
      <c r="Q313" t="s">
        <v>24</v>
      </c>
    </row>
    <row r="314" spans="1:17">
      <c r="A314" s="3" t="s">
        <v>790</v>
      </c>
      <c r="B314" s="3" t="s">
        <v>791</v>
      </c>
      <c r="C314" s="5" t="s">
        <v>19</v>
      </c>
      <c r="D314" s="3" t="s">
        <v>93</v>
      </c>
      <c r="E314" s="3" t="s">
        <v>284</v>
      </c>
      <c r="F314" s="3" t="s">
        <v>95</v>
      </c>
      <c r="G314" s="3" t="s">
        <v>33</v>
      </c>
      <c r="H314" s="21">
        <v>606.32999999999629</v>
      </c>
      <c r="I314" s="21">
        <v>0</v>
      </c>
      <c r="J314" s="21">
        <v>500</v>
      </c>
      <c r="K314" s="21">
        <v>6</v>
      </c>
      <c r="L314" s="22"/>
      <c r="M314" s="21">
        <f>Tabela1[[#This Row],[1ª QZ]]-Tabela1[[#This Row],[SALDO FINAL]]-Tabela1[[#This Row],[SALDO CARTAO]]-Tabela1[[#This Row],[Adiantamento ]]</f>
        <v>494</v>
      </c>
      <c r="N314" s="21">
        <f>Tabela1[[#This Row],[SALDO REEMBOLSAR]]*$N$4</f>
        <v>303.16499999999814</v>
      </c>
      <c r="O314" s="21">
        <f>IF(Tabela1[[#This Row],[CARGA PARCIAL]]&lt;0,0,Tabela1[[#This Row],[CARGA PARCIAL]])+Tabela1[[#This Row],[REEMBOLSO]]</f>
        <v>797.16499999999814</v>
      </c>
      <c r="Q314" t="s">
        <v>24</v>
      </c>
    </row>
    <row r="315" spans="1:17">
      <c r="A315" s="3" t="s">
        <v>792</v>
      </c>
      <c r="B315" s="3" t="s">
        <v>793</v>
      </c>
      <c r="C315" s="5" t="s">
        <v>19</v>
      </c>
      <c r="D315" s="3" t="s">
        <v>50</v>
      </c>
      <c r="E315" s="3" t="s">
        <v>794</v>
      </c>
      <c r="F315" s="3" t="s">
        <v>52</v>
      </c>
      <c r="G315" s="3" t="s">
        <v>33</v>
      </c>
      <c r="H315" s="21">
        <v>765.60999999998603</v>
      </c>
      <c r="I315" s="21">
        <v>0</v>
      </c>
      <c r="J315" s="21">
        <v>2000</v>
      </c>
      <c r="K315" s="21">
        <v>36</v>
      </c>
      <c r="L315" s="22"/>
      <c r="M315" s="21">
        <f>Tabela1[[#This Row],[1ª QZ]]-Tabela1[[#This Row],[SALDO FINAL]]-Tabela1[[#This Row],[SALDO CARTAO]]-Tabela1[[#This Row],[Adiantamento ]]</f>
        <v>1964</v>
      </c>
      <c r="N315" s="21">
        <f>Tabela1[[#This Row],[SALDO REEMBOLSAR]]*$N$4</f>
        <v>382.80499999999302</v>
      </c>
      <c r="O315" s="21">
        <f>IF(Tabela1[[#This Row],[CARGA PARCIAL]]&lt;0,0,Tabela1[[#This Row],[CARGA PARCIAL]])+Tabela1[[#This Row],[REEMBOLSO]]</f>
        <v>2346.804999999993</v>
      </c>
      <c r="Q315" t="s">
        <v>24</v>
      </c>
    </row>
    <row r="316" spans="1:17">
      <c r="A316" s="3" t="s">
        <v>795</v>
      </c>
      <c r="B316" s="3" t="s">
        <v>796</v>
      </c>
      <c r="C316" s="5" t="s">
        <v>19</v>
      </c>
      <c r="D316" s="3" t="s">
        <v>50</v>
      </c>
      <c r="E316" s="3" t="s">
        <v>797</v>
      </c>
      <c r="F316" s="3" t="s">
        <v>52</v>
      </c>
      <c r="G316" s="3" t="s">
        <v>33</v>
      </c>
      <c r="H316" s="21">
        <v>19.769999999999641</v>
      </c>
      <c r="I316" s="21">
        <v>0</v>
      </c>
      <c r="J316" s="21">
        <v>500</v>
      </c>
      <c r="K316" s="21">
        <v>138.12</v>
      </c>
      <c r="L316" s="22"/>
      <c r="M316" s="21">
        <f>Tabela1[[#This Row],[1ª QZ]]-Tabela1[[#This Row],[SALDO FINAL]]-Tabela1[[#This Row],[SALDO CARTAO]]-Tabela1[[#This Row],[Adiantamento ]]</f>
        <v>361.88</v>
      </c>
      <c r="N316" s="21">
        <f>Tabela1[[#This Row],[SALDO REEMBOLSAR]]*$N$4</f>
        <v>9.8849999999998204</v>
      </c>
      <c r="O316" s="21">
        <f>IF(Tabela1[[#This Row],[CARGA PARCIAL]]&lt;0,0,Tabela1[[#This Row],[CARGA PARCIAL]])+Tabela1[[#This Row],[REEMBOLSO]]</f>
        <v>371.76499999999982</v>
      </c>
      <c r="Q316" t="s">
        <v>24</v>
      </c>
    </row>
    <row r="317" spans="1:17">
      <c r="A317" s="3" t="s">
        <v>798</v>
      </c>
      <c r="B317" s="3" t="s">
        <v>799</v>
      </c>
      <c r="C317" s="5" t="s">
        <v>19</v>
      </c>
      <c r="D317" s="3" t="s">
        <v>30</v>
      </c>
      <c r="E317" s="3" t="s">
        <v>139</v>
      </c>
      <c r="F317" s="3" t="s">
        <v>32</v>
      </c>
      <c r="G317" s="3" t="s">
        <v>33</v>
      </c>
      <c r="H317" s="21">
        <v>2021.9600000000037</v>
      </c>
      <c r="I317" s="21">
        <v>0</v>
      </c>
      <c r="J317" s="21">
        <v>1840</v>
      </c>
      <c r="K317" s="21">
        <v>1.96</v>
      </c>
      <c r="L317" s="22"/>
      <c r="M317" s="21">
        <f>Tabela1[[#This Row],[1ª QZ]]-Tabela1[[#This Row],[SALDO FINAL]]-Tabela1[[#This Row],[SALDO CARTAO]]-Tabela1[[#This Row],[Adiantamento ]]</f>
        <v>1838.04</v>
      </c>
      <c r="N317" s="21">
        <f>Tabela1[[#This Row],[SALDO REEMBOLSAR]]*$N$4</f>
        <v>1010.9800000000018</v>
      </c>
      <c r="O317" s="21">
        <f>IF(Tabela1[[#This Row],[CARGA PARCIAL]]&lt;0,0,Tabela1[[#This Row],[CARGA PARCIAL]])+Tabela1[[#This Row],[REEMBOLSO]]</f>
        <v>2849.0200000000018</v>
      </c>
      <c r="Q317" t="s">
        <v>24</v>
      </c>
    </row>
    <row r="318" spans="1:17">
      <c r="A318" s="3" t="s">
        <v>800</v>
      </c>
      <c r="B318" s="3" t="s">
        <v>801</v>
      </c>
      <c r="C318" s="5" t="s">
        <v>19</v>
      </c>
      <c r="D318" s="3" t="s">
        <v>101</v>
      </c>
      <c r="E318" s="3" t="s">
        <v>478</v>
      </c>
      <c r="F318" s="3" t="s">
        <v>103</v>
      </c>
      <c r="G318" s="3" t="s">
        <v>33</v>
      </c>
      <c r="H318" s="21">
        <v>0</v>
      </c>
      <c r="I318" s="21">
        <v>0</v>
      </c>
      <c r="J318" s="21">
        <v>100</v>
      </c>
      <c r="K318" s="21">
        <v>100</v>
      </c>
      <c r="L318" s="22"/>
      <c r="M318" s="21">
        <f>Tabela1[[#This Row],[1ª QZ]]-Tabela1[[#This Row],[SALDO FINAL]]-Tabela1[[#This Row],[SALDO CARTAO]]-Tabela1[[#This Row],[Adiantamento ]]</f>
        <v>0</v>
      </c>
      <c r="N318" s="21">
        <f>Tabela1[[#This Row],[SALDO REEMBOLSAR]]*$N$4</f>
        <v>0</v>
      </c>
      <c r="O318" s="21">
        <f>IF(Tabela1[[#This Row],[CARGA PARCIAL]]&lt;0,0,Tabela1[[#This Row],[CARGA PARCIAL]])+Tabela1[[#This Row],[REEMBOLSO]]</f>
        <v>0</v>
      </c>
      <c r="Q318" t="s">
        <v>24</v>
      </c>
    </row>
    <row r="319" spans="1:17">
      <c r="A319" s="3" t="s">
        <v>802</v>
      </c>
      <c r="B319" s="3" t="s">
        <v>803</v>
      </c>
      <c r="C319" s="5" t="s">
        <v>19</v>
      </c>
      <c r="D319" s="3" t="s">
        <v>36</v>
      </c>
      <c r="E319" s="3" t="s">
        <v>804</v>
      </c>
      <c r="F319" s="3" t="s">
        <v>38</v>
      </c>
      <c r="G319" s="3" t="s">
        <v>23</v>
      </c>
      <c r="H319" s="21">
        <v>1148.9199999999955</v>
      </c>
      <c r="I319" s="21">
        <v>0</v>
      </c>
      <c r="J319" s="21">
        <v>1000</v>
      </c>
      <c r="K319" s="21">
        <v>849.62</v>
      </c>
      <c r="L319" s="22"/>
      <c r="M319" s="21">
        <f>Tabela1[[#This Row],[1ª QZ]]-Tabela1[[#This Row],[SALDO FINAL]]-Tabela1[[#This Row],[SALDO CARTAO]]-Tabela1[[#This Row],[Adiantamento ]]</f>
        <v>150.38</v>
      </c>
      <c r="N319" s="21">
        <f>Tabela1[[#This Row],[SALDO REEMBOLSAR]]*$N$4</f>
        <v>574.45999999999776</v>
      </c>
      <c r="O319" s="21">
        <f>IF(Tabela1[[#This Row],[CARGA PARCIAL]]&lt;0,0,Tabela1[[#This Row],[CARGA PARCIAL]])+Tabela1[[#This Row],[REEMBOLSO]]</f>
        <v>724.83999999999776</v>
      </c>
      <c r="Q319" t="s">
        <v>24</v>
      </c>
    </row>
    <row r="320" spans="1:17">
      <c r="A320" s="3" t="s">
        <v>805</v>
      </c>
      <c r="B320" s="3" t="s">
        <v>806</v>
      </c>
      <c r="C320" s="5" t="s">
        <v>19</v>
      </c>
      <c r="D320" s="3" t="s">
        <v>30</v>
      </c>
      <c r="E320" s="3" t="s">
        <v>117</v>
      </c>
      <c r="F320" s="3" t="s">
        <v>32</v>
      </c>
      <c r="G320" s="3" t="s">
        <v>33</v>
      </c>
      <c r="H320" s="21">
        <v>341.15000000000146</v>
      </c>
      <c r="I320" s="21">
        <v>0</v>
      </c>
      <c r="J320" s="21">
        <v>600</v>
      </c>
      <c r="K320" s="21">
        <v>0</v>
      </c>
      <c r="L320" s="22"/>
      <c r="M320" s="21">
        <f>Tabela1[[#This Row],[1ª QZ]]-Tabela1[[#This Row],[SALDO FINAL]]-Tabela1[[#This Row],[SALDO CARTAO]]-Tabela1[[#This Row],[Adiantamento ]]</f>
        <v>600</v>
      </c>
      <c r="N320" s="21">
        <f>Tabela1[[#This Row],[SALDO REEMBOLSAR]]*$N$4</f>
        <v>170.57500000000073</v>
      </c>
      <c r="O320" s="21">
        <f>IF(Tabela1[[#This Row],[CARGA PARCIAL]]&lt;0,0,Tabela1[[#This Row],[CARGA PARCIAL]])+Tabela1[[#This Row],[REEMBOLSO]]</f>
        <v>770.57500000000073</v>
      </c>
      <c r="Q320" t="s">
        <v>24</v>
      </c>
    </row>
    <row r="321" spans="1:17">
      <c r="A321" s="3" t="s">
        <v>807</v>
      </c>
      <c r="B321" s="3" t="s">
        <v>808</v>
      </c>
      <c r="C321" s="5" t="s">
        <v>19</v>
      </c>
      <c r="D321" s="3" t="s">
        <v>50</v>
      </c>
      <c r="E321" s="3" t="s">
        <v>241</v>
      </c>
      <c r="F321" s="3" t="s">
        <v>52</v>
      </c>
      <c r="G321" s="3" t="s">
        <v>33</v>
      </c>
      <c r="H321" s="21">
        <v>1190.5099999999372</v>
      </c>
      <c r="I321" s="21">
        <v>0</v>
      </c>
      <c r="J321" s="21">
        <v>4000</v>
      </c>
      <c r="K321" s="21">
        <v>19.39</v>
      </c>
      <c r="L321" s="22"/>
      <c r="M321" s="21">
        <f>Tabela1[[#This Row],[1ª QZ]]-Tabela1[[#This Row],[SALDO FINAL]]-Tabela1[[#This Row],[SALDO CARTAO]]-Tabela1[[#This Row],[Adiantamento ]]</f>
        <v>3980.61</v>
      </c>
      <c r="N321" s="21">
        <f>Tabela1[[#This Row],[SALDO REEMBOLSAR]]*$N$4</f>
        <v>595.25499999996862</v>
      </c>
      <c r="O321" s="21">
        <f>IF(Tabela1[[#This Row],[CARGA PARCIAL]]&lt;0,0,Tabela1[[#This Row],[CARGA PARCIAL]])+Tabela1[[#This Row],[REEMBOLSO]]</f>
        <v>4575.8649999999689</v>
      </c>
      <c r="Q321" t="s">
        <v>24</v>
      </c>
    </row>
    <row r="322" spans="1:17">
      <c r="A322" s="3" t="s">
        <v>809</v>
      </c>
      <c r="B322" s="3" t="s">
        <v>810</v>
      </c>
      <c r="C322" s="5" t="s">
        <v>19</v>
      </c>
      <c r="D322" s="3" t="s">
        <v>30</v>
      </c>
      <c r="E322" s="3" t="s">
        <v>117</v>
      </c>
      <c r="F322" s="3" t="s">
        <v>32</v>
      </c>
      <c r="G322" s="3" t="s">
        <v>33</v>
      </c>
      <c r="H322" s="21">
        <v>7.5669470689376794E-12</v>
      </c>
      <c r="I322" s="21">
        <v>0</v>
      </c>
      <c r="J322" s="21">
        <v>800</v>
      </c>
      <c r="K322" s="21">
        <v>0.56999999999999995</v>
      </c>
      <c r="L322" s="22"/>
      <c r="M322" s="21">
        <f>Tabela1[[#This Row],[1ª QZ]]-Tabela1[[#This Row],[SALDO FINAL]]-Tabela1[[#This Row],[SALDO CARTAO]]-Tabela1[[#This Row],[Adiantamento ]]</f>
        <v>799.43</v>
      </c>
      <c r="N322" s="21">
        <f>Tabela1[[#This Row],[SALDO REEMBOLSAR]]*$N$4</f>
        <v>3.7834735344688397E-12</v>
      </c>
      <c r="O322" s="21">
        <f>IF(Tabela1[[#This Row],[CARGA PARCIAL]]&lt;0,0,Tabela1[[#This Row],[CARGA PARCIAL]])+Tabela1[[#This Row],[REEMBOLSO]]</f>
        <v>799.4300000000037</v>
      </c>
      <c r="Q322" t="s">
        <v>24</v>
      </c>
    </row>
    <row r="323" spans="1:17">
      <c r="A323" s="3" t="s">
        <v>811</v>
      </c>
      <c r="B323" s="3" t="s">
        <v>812</v>
      </c>
      <c r="C323" s="5" t="s">
        <v>19</v>
      </c>
      <c r="D323" s="3" t="s">
        <v>66</v>
      </c>
      <c r="E323" s="3" t="s">
        <v>672</v>
      </c>
      <c r="F323" s="3" t="s">
        <v>68</v>
      </c>
      <c r="G323" s="3" t="s">
        <v>23</v>
      </c>
      <c r="H323" s="21">
        <v>7.1054273576010019E-14</v>
      </c>
      <c r="I323" s="21">
        <v>0</v>
      </c>
      <c r="J323" s="21">
        <v>300</v>
      </c>
      <c r="K323" s="21">
        <v>42.08</v>
      </c>
      <c r="L323" s="22"/>
      <c r="M323" s="21">
        <f>Tabela1[[#This Row],[1ª QZ]]-Tabela1[[#This Row],[SALDO FINAL]]-Tabela1[[#This Row],[SALDO CARTAO]]-Tabela1[[#This Row],[Adiantamento ]]</f>
        <v>257.92</v>
      </c>
      <c r="N323" s="21">
        <f>Tabela1[[#This Row],[SALDO REEMBOLSAR]]*$N$4</f>
        <v>3.5527136788005009E-14</v>
      </c>
      <c r="O323" s="21">
        <f>IF(Tabela1[[#This Row],[CARGA PARCIAL]]&lt;0,0,Tabela1[[#This Row],[CARGA PARCIAL]])+Tabela1[[#This Row],[REEMBOLSO]]</f>
        <v>257.92000000000007</v>
      </c>
      <c r="Q323" t="s">
        <v>24</v>
      </c>
    </row>
    <row r="324" spans="1:17">
      <c r="A324" s="3" t="s">
        <v>813</v>
      </c>
      <c r="B324" s="3" t="s">
        <v>814</v>
      </c>
      <c r="C324" s="5" t="s">
        <v>19</v>
      </c>
      <c r="D324" s="3" t="s">
        <v>30</v>
      </c>
      <c r="E324" s="3" t="s">
        <v>117</v>
      </c>
      <c r="F324" s="3" t="s">
        <v>32</v>
      </c>
      <c r="G324" s="3" t="s">
        <v>33</v>
      </c>
      <c r="H324" s="21">
        <v>13.999999999996788</v>
      </c>
      <c r="I324" s="21">
        <v>0</v>
      </c>
      <c r="J324" s="21">
        <v>1400</v>
      </c>
      <c r="K324" s="21">
        <v>158.22999999999999</v>
      </c>
      <c r="L324" s="22"/>
      <c r="M324" s="21">
        <f>Tabela1[[#This Row],[1ª QZ]]-Tabela1[[#This Row],[SALDO FINAL]]-Tabela1[[#This Row],[SALDO CARTAO]]-Tabela1[[#This Row],[Adiantamento ]]</f>
        <v>1241.77</v>
      </c>
      <c r="N324" s="21">
        <f>Tabela1[[#This Row],[SALDO REEMBOLSAR]]*$N$4</f>
        <v>6.9999999999983942</v>
      </c>
      <c r="O324" s="21">
        <f>IF(Tabela1[[#This Row],[CARGA PARCIAL]]&lt;0,0,Tabela1[[#This Row],[CARGA PARCIAL]])+Tabela1[[#This Row],[REEMBOLSO]]</f>
        <v>1248.7699999999984</v>
      </c>
      <c r="Q324" t="s">
        <v>24</v>
      </c>
    </row>
    <row r="325" spans="1:17">
      <c r="A325" s="3" t="s">
        <v>815</v>
      </c>
      <c r="B325" s="3" t="s">
        <v>816</v>
      </c>
      <c r="C325" s="5" t="s">
        <v>19</v>
      </c>
      <c r="D325" s="3" t="s">
        <v>30</v>
      </c>
      <c r="E325" s="3" t="s">
        <v>294</v>
      </c>
      <c r="F325" s="3" t="s">
        <v>32</v>
      </c>
      <c r="G325" s="3" t="s">
        <v>33</v>
      </c>
      <c r="H325" s="21">
        <v>56.800000000000296</v>
      </c>
      <c r="I325" s="21">
        <v>0</v>
      </c>
      <c r="J325" s="21">
        <v>700</v>
      </c>
      <c r="K325" s="21">
        <v>662.16</v>
      </c>
      <c r="L325" s="22"/>
      <c r="M325" s="21">
        <f>Tabela1[[#This Row],[1ª QZ]]-Tabela1[[#This Row],[SALDO FINAL]]-Tabela1[[#This Row],[SALDO CARTAO]]-Tabela1[[#This Row],[Adiantamento ]]</f>
        <v>37.840000000000032</v>
      </c>
      <c r="N325" s="21">
        <f>Tabela1[[#This Row],[SALDO REEMBOLSAR]]*$N$4</f>
        <v>28.400000000000148</v>
      </c>
      <c r="O325" s="21">
        <f>IF(Tabela1[[#This Row],[CARGA PARCIAL]]&lt;0,0,Tabela1[[#This Row],[CARGA PARCIAL]])+Tabela1[[#This Row],[REEMBOLSO]]</f>
        <v>66.24000000000018</v>
      </c>
      <c r="Q325" t="s">
        <v>24</v>
      </c>
    </row>
    <row r="326" spans="1:17">
      <c r="A326" s="3" t="s">
        <v>817</v>
      </c>
      <c r="B326" s="3" t="s">
        <v>818</v>
      </c>
      <c r="C326" s="5" t="s">
        <v>19</v>
      </c>
      <c r="D326" s="3" t="s">
        <v>44</v>
      </c>
      <c r="E326" s="3" t="s">
        <v>170</v>
      </c>
      <c r="F326" s="3" t="s">
        <v>46</v>
      </c>
      <c r="G326" s="3" t="s">
        <v>47</v>
      </c>
      <c r="H326" s="21">
        <v>48.31999999999789</v>
      </c>
      <c r="I326" s="21">
        <v>0</v>
      </c>
      <c r="J326" s="21">
        <v>800</v>
      </c>
      <c r="K326" s="21">
        <v>800</v>
      </c>
      <c r="L326" s="22"/>
      <c r="M326" s="21">
        <f>Tabela1[[#This Row],[1ª QZ]]-Tabela1[[#This Row],[SALDO FINAL]]-Tabela1[[#This Row],[SALDO CARTAO]]-Tabela1[[#This Row],[Adiantamento ]]</f>
        <v>0</v>
      </c>
      <c r="N326" s="21">
        <f>Tabela1[[#This Row],[SALDO REEMBOLSAR]]*$N$4</f>
        <v>24.159999999998945</v>
      </c>
      <c r="O326" s="21">
        <f>IF(Tabela1[[#This Row],[CARGA PARCIAL]]&lt;0,0,Tabela1[[#This Row],[CARGA PARCIAL]])+Tabela1[[#This Row],[REEMBOLSO]]</f>
        <v>24.159999999998945</v>
      </c>
      <c r="Q326" t="s">
        <v>24</v>
      </c>
    </row>
    <row r="327" spans="1:17">
      <c r="A327" s="3" t="s">
        <v>819</v>
      </c>
      <c r="B327" s="3" t="s">
        <v>820</v>
      </c>
      <c r="C327" s="5" t="s">
        <v>19</v>
      </c>
      <c r="D327" s="3" t="s">
        <v>20</v>
      </c>
      <c r="E327" s="3" t="s">
        <v>75</v>
      </c>
      <c r="F327" s="3" t="s">
        <v>22</v>
      </c>
      <c r="G327" s="3" t="s">
        <v>23</v>
      </c>
      <c r="H327" s="21">
        <v>119</v>
      </c>
      <c r="I327" s="21">
        <v>0</v>
      </c>
      <c r="J327" s="21">
        <v>1000</v>
      </c>
      <c r="K327" s="21">
        <v>881</v>
      </c>
      <c r="L327" s="22"/>
      <c r="M327" s="21">
        <f>Tabela1[[#This Row],[1ª QZ]]-Tabela1[[#This Row],[SALDO FINAL]]-Tabela1[[#This Row],[SALDO CARTAO]]-Tabela1[[#This Row],[Adiantamento ]]</f>
        <v>119</v>
      </c>
      <c r="N327" s="21">
        <f>Tabela1[[#This Row],[SALDO REEMBOLSAR]]*$N$4</f>
        <v>59.5</v>
      </c>
      <c r="O327" s="21">
        <f>IF(Tabela1[[#This Row],[CARGA PARCIAL]]&lt;0,0,Tabela1[[#This Row],[CARGA PARCIAL]])+Tabela1[[#This Row],[REEMBOLSO]]</f>
        <v>178.5</v>
      </c>
      <c r="Q327" t="s">
        <v>24</v>
      </c>
    </row>
    <row r="328" spans="1:17">
      <c r="A328" s="3" t="s">
        <v>821</v>
      </c>
      <c r="B328" s="3" t="s">
        <v>822</v>
      </c>
      <c r="C328" s="5" t="s">
        <v>19</v>
      </c>
      <c r="D328" s="3" t="s">
        <v>50</v>
      </c>
      <c r="E328" s="3" t="s">
        <v>348</v>
      </c>
      <c r="F328" s="3" t="s">
        <v>52</v>
      </c>
      <c r="G328" s="3" t="s">
        <v>33</v>
      </c>
      <c r="H328" s="21">
        <v>322.47000000000003</v>
      </c>
      <c r="I328" s="21">
        <v>0</v>
      </c>
      <c r="J328" s="21">
        <v>1500</v>
      </c>
      <c r="K328" s="21">
        <v>8.7200000000000006</v>
      </c>
      <c r="L328" s="22"/>
      <c r="M328" s="21">
        <f>Tabela1[[#This Row],[1ª QZ]]-Tabela1[[#This Row],[SALDO FINAL]]-Tabela1[[#This Row],[SALDO CARTAO]]-Tabela1[[#This Row],[Adiantamento ]]</f>
        <v>1491.28</v>
      </c>
      <c r="N328" s="21">
        <f>Tabela1[[#This Row],[SALDO REEMBOLSAR]]*$N$4</f>
        <v>161.23500000000001</v>
      </c>
      <c r="O328" s="21">
        <f>IF(Tabela1[[#This Row],[CARGA PARCIAL]]&lt;0,0,Tabela1[[#This Row],[CARGA PARCIAL]])+Tabela1[[#This Row],[REEMBOLSO]]</f>
        <v>1652.5149999999999</v>
      </c>
      <c r="Q328" t="s">
        <v>24</v>
      </c>
    </row>
    <row r="329" spans="1:17">
      <c r="A329" s="3" t="s">
        <v>823</v>
      </c>
      <c r="B329" s="3" t="s">
        <v>824</v>
      </c>
      <c r="C329" s="5" t="s">
        <v>19</v>
      </c>
      <c r="D329" s="3" t="s">
        <v>36</v>
      </c>
      <c r="E329" s="3" t="s">
        <v>825</v>
      </c>
      <c r="F329" s="3" t="s">
        <v>38</v>
      </c>
      <c r="G329" s="3" t="s">
        <v>23</v>
      </c>
      <c r="H329" s="21">
        <v>576.54000000000178</v>
      </c>
      <c r="I329" s="21">
        <v>0</v>
      </c>
      <c r="J329" s="21">
        <v>640</v>
      </c>
      <c r="K329" s="21">
        <v>17.21</v>
      </c>
      <c r="L329" s="22"/>
      <c r="M329" s="21">
        <f>Tabela1[[#This Row],[1ª QZ]]-Tabela1[[#This Row],[SALDO FINAL]]-Tabela1[[#This Row],[SALDO CARTAO]]-Tabela1[[#This Row],[Adiantamento ]]</f>
        <v>622.79</v>
      </c>
      <c r="N329" s="21">
        <f>Tabela1[[#This Row],[SALDO REEMBOLSAR]]*$N$4</f>
        <v>288.27000000000089</v>
      </c>
      <c r="O329" s="21">
        <f>IF(Tabela1[[#This Row],[CARGA PARCIAL]]&lt;0,0,Tabela1[[#This Row],[CARGA PARCIAL]])+Tabela1[[#This Row],[REEMBOLSO]]</f>
        <v>911.06000000000085</v>
      </c>
      <c r="Q329" t="s">
        <v>24</v>
      </c>
    </row>
    <row r="330" spans="1:17">
      <c r="A330" s="3" t="s">
        <v>826</v>
      </c>
      <c r="B330" s="3" t="s">
        <v>827</v>
      </c>
      <c r="C330" s="5" t="s">
        <v>19</v>
      </c>
      <c r="D330" s="3" t="s">
        <v>50</v>
      </c>
      <c r="E330" s="3" t="s">
        <v>55</v>
      </c>
      <c r="F330" s="3" t="s">
        <v>52</v>
      </c>
      <c r="G330" s="3" t="s">
        <v>33</v>
      </c>
      <c r="H330" s="21">
        <v>640.32000000000482</v>
      </c>
      <c r="I330" s="21">
        <v>0</v>
      </c>
      <c r="J330" s="21">
        <v>1800</v>
      </c>
      <c r="K330" s="21">
        <v>45.6</v>
      </c>
      <c r="L330" s="22"/>
      <c r="M330" s="21">
        <f>Tabela1[[#This Row],[1ª QZ]]-Tabela1[[#This Row],[SALDO FINAL]]-Tabela1[[#This Row],[SALDO CARTAO]]-Tabela1[[#This Row],[Adiantamento ]]</f>
        <v>1754.4</v>
      </c>
      <c r="N330" s="21">
        <f>Tabela1[[#This Row],[SALDO REEMBOLSAR]]*$N$4</f>
        <v>320.16000000000241</v>
      </c>
      <c r="O330" s="21">
        <f>IF(Tabela1[[#This Row],[CARGA PARCIAL]]&lt;0,0,Tabela1[[#This Row],[CARGA PARCIAL]])+Tabela1[[#This Row],[REEMBOLSO]]</f>
        <v>2074.5600000000027</v>
      </c>
      <c r="Q330" t="s">
        <v>24</v>
      </c>
    </row>
    <row r="331" spans="1:17">
      <c r="A331" s="3" t="s">
        <v>828</v>
      </c>
      <c r="B331" s="3" t="s">
        <v>829</v>
      </c>
      <c r="C331" s="5" t="s">
        <v>19</v>
      </c>
      <c r="D331" s="3" t="s">
        <v>93</v>
      </c>
      <c r="E331" s="3" t="s">
        <v>830</v>
      </c>
      <c r="F331" s="3" t="s">
        <v>95</v>
      </c>
      <c r="G331" s="3" t="s">
        <v>33</v>
      </c>
      <c r="H331" s="21">
        <v>336.05000000000405</v>
      </c>
      <c r="I331" s="21">
        <v>0</v>
      </c>
      <c r="J331" s="21">
        <v>1000</v>
      </c>
      <c r="K331" s="21">
        <v>12.53</v>
      </c>
      <c r="L331" s="22"/>
      <c r="M331" s="21">
        <f>Tabela1[[#This Row],[1ª QZ]]-Tabela1[[#This Row],[SALDO FINAL]]-Tabela1[[#This Row],[SALDO CARTAO]]-Tabela1[[#This Row],[Adiantamento ]]</f>
        <v>987.47</v>
      </c>
      <c r="N331" s="21">
        <f>Tabela1[[#This Row],[SALDO REEMBOLSAR]]*$N$4</f>
        <v>168.02500000000202</v>
      </c>
      <c r="O331" s="21">
        <f>IF(Tabela1[[#This Row],[CARGA PARCIAL]]&lt;0,0,Tabela1[[#This Row],[CARGA PARCIAL]])+Tabela1[[#This Row],[REEMBOLSO]]</f>
        <v>1155.4950000000022</v>
      </c>
      <c r="Q331" t="s">
        <v>24</v>
      </c>
    </row>
    <row r="332" spans="1:17">
      <c r="A332" s="3" t="s">
        <v>831</v>
      </c>
      <c r="B332" s="3" t="s">
        <v>832</v>
      </c>
      <c r="C332" s="5" t="s">
        <v>19</v>
      </c>
      <c r="D332" s="3" t="s">
        <v>101</v>
      </c>
      <c r="E332" s="3" t="s">
        <v>478</v>
      </c>
      <c r="F332" s="3" t="s">
        <v>103</v>
      </c>
      <c r="G332" s="3" t="s">
        <v>33</v>
      </c>
      <c r="H332" s="21">
        <v>127.12000000000046</v>
      </c>
      <c r="I332" s="21">
        <v>0</v>
      </c>
      <c r="J332" s="21">
        <v>50</v>
      </c>
      <c r="K332" s="21">
        <v>38.619999999999997</v>
      </c>
      <c r="L332" s="22"/>
      <c r="M332" s="21">
        <f>Tabela1[[#This Row],[1ª QZ]]-Tabela1[[#This Row],[SALDO FINAL]]-Tabela1[[#This Row],[SALDO CARTAO]]-Tabela1[[#This Row],[Adiantamento ]]</f>
        <v>11.380000000000003</v>
      </c>
      <c r="N332" s="21">
        <f>Tabela1[[#This Row],[SALDO REEMBOLSAR]]*$N$4</f>
        <v>63.56000000000023</v>
      </c>
      <c r="O332" s="21">
        <f>IF(Tabela1[[#This Row],[CARGA PARCIAL]]&lt;0,0,Tabela1[[#This Row],[CARGA PARCIAL]])+Tabela1[[#This Row],[REEMBOLSO]]</f>
        <v>74.940000000000225</v>
      </c>
      <c r="Q332" t="s">
        <v>24</v>
      </c>
    </row>
    <row r="333" spans="1:17">
      <c r="A333" s="3" t="s">
        <v>833</v>
      </c>
      <c r="B333" s="3" t="s">
        <v>834</v>
      </c>
      <c r="C333" s="5" t="s">
        <v>19</v>
      </c>
      <c r="D333" s="3" t="s">
        <v>93</v>
      </c>
      <c r="E333" s="3" t="s">
        <v>111</v>
      </c>
      <c r="F333" s="3" t="s">
        <v>95</v>
      </c>
      <c r="G333" s="3" t="s">
        <v>33</v>
      </c>
      <c r="H333" s="21">
        <v>660.64999999999748</v>
      </c>
      <c r="I333" s="21">
        <v>0</v>
      </c>
      <c r="J333" s="21">
        <v>800</v>
      </c>
      <c r="K333" s="21">
        <v>71.099999999999994</v>
      </c>
      <c r="L333" s="22"/>
      <c r="M333" s="21">
        <f>Tabela1[[#This Row],[1ª QZ]]-Tabela1[[#This Row],[SALDO FINAL]]-Tabela1[[#This Row],[SALDO CARTAO]]-Tabela1[[#This Row],[Adiantamento ]]</f>
        <v>728.9</v>
      </c>
      <c r="N333" s="21">
        <f>Tabela1[[#This Row],[SALDO REEMBOLSAR]]*$N$4</f>
        <v>330.32499999999874</v>
      </c>
      <c r="O333" s="21">
        <f>IF(Tabela1[[#This Row],[CARGA PARCIAL]]&lt;0,0,Tabela1[[#This Row],[CARGA PARCIAL]])+Tabela1[[#This Row],[REEMBOLSO]]</f>
        <v>1059.2249999999988</v>
      </c>
      <c r="Q333" t="s">
        <v>24</v>
      </c>
    </row>
    <row r="334" spans="1:17">
      <c r="A334" s="3" t="s">
        <v>835</v>
      </c>
      <c r="B334" s="3" t="s">
        <v>836</v>
      </c>
      <c r="C334" s="5" t="s">
        <v>19</v>
      </c>
      <c r="D334" s="3" t="s">
        <v>44</v>
      </c>
      <c r="E334" s="3" t="s">
        <v>170</v>
      </c>
      <c r="F334" s="3" t="s">
        <v>46</v>
      </c>
      <c r="G334" s="3" t="s">
        <v>47</v>
      </c>
      <c r="H334" s="21">
        <v>396.32999999999993</v>
      </c>
      <c r="I334" s="21">
        <v>0</v>
      </c>
      <c r="J334" s="21">
        <v>500</v>
      </c>
      <c r="K334" s="21">
        <v>13</v>
      </c>
      <c r="L334" s="22"/>
      <c r="M334" s="21">
        <f>Tabela1[[#This Row],[1ª QZ]]-Tabela1[[#This Row],[SALDO FINAL]]-Tabela1[[#This Row],[SALDO CARTAO]]-Tabela1[[#This Row],[Adiantamento ]]</f>
        <v>487</v>
      </c>
      <c r="N334" s="21">
        <f>Tabela1[[#This Row],[SALDO REEMBOLSAR]]*$N$4</f>
        <v>198.16499999999996</v>
      </c>
      <c r="O334" s="21">
        <f>IF(Tabela1[[#This Row],[CARGA PARCIAL]]&lt;0,0,Tabela1[[#This Row],[CARGA PARCIAL]])+Tabela1[[#This Row],[REEMBOLSO]]</f>
        <v>685.16499999999996</v>
      </c>
      <c r="Q334" t="s">
        <v>24</v>
      </c>
    </row>
    <row r="335" spans="1:17">
      <c r="A335" s="3" t="s">
        <v>837</v>
      </c>
      <c r="B335" s="3" t="s">
        <v>838</v>
      </c>
      <c r="C335" s="5" t="s">
        <v>19</v>
      </c>
      <c r="D335" s="3" t="s">
        <v>20</v>
      </c>
      <c r="E335" s="3" t="s">
        <v>71</v>
      </c>
      <c r="F335" s="3" t="s">
        <v>22</v>
      </c>
      <c r="G335" s="3" t="s">
        <v>23</v>
      </c>
      <c r="H335" s="21">
        <v>1611.329999999999</v>
      </c>
      <c r="I335" s="21">
        <v>0</v>
      </c>
      <c r="J335" s="21">
        <v>4000</v>
      </c>
      <c r="K335" s="21">
        <v>97.54</v>
      </c>
      <c r="L335" s="22"/>
      <c r="M335" s="21">
        <f>Tabela1[[#This Row],[1ª QZ]]-Tabela1[[#This Row],[SALDO FINAL]]-Tabela1[[#This Row],[SALDO CARTAO]]-Tabela1[[#This Row],[Adiantamento ]]</f>
        <v>3902.46</v>
      </c>
      <c r="N335" s="21">
        <f>Tabela1[[#This Row],[SALDO REEMBOLSAR]]*$N$4</f>
        <v>805.66499999999951</v>
      </c>
      <c r="O335" s="21">
        <f>IF(Tabela1[[#This Row],[CARGA PARCIAL]]&lt;0,0,Tabela1[[#This Row],[CARGA PARCIAL]])+Tabela1[[#This Row],[REEMBOLSO]]</f>
        <v>4708.125</v>
      </c>
      <c r="Q335" t="s">
        <v>24</v>
      </c>
    </row>
    <row r="336" spans="1:17">
      <c r="A336" s="3" t="s">
        <v>839</v>
      </c>
      <c r="B336" s="3" t="s">
        <v>840</v>
      </c>
      <c r="C336" s="5" t="s">
        <v>19</v>
      </c>
      <c r="D336" s="3" t="s">
        <v>20</v>
      </c>
      <c r="E336" s="3" t="s">
        <v>841</v>
      </c>
      <c r="F336" s="3" t="s">
        <v>22</v>
      </c>
      <c r="G336" s="3" t="s">
        <v>23</v>
      </c>
      <c r="H336" s="21">
        <v>0</v>
      </c>
      <c r="I336" s="21">
        <v>0</v>
      </c>
      <c r="J336" s="21">
        <v>500</v>
      </c>
      <c r="K336" s="21">
        <v>0</v>
      </c>
      <c r="L336" s="22">
        <v>500</v>
      </c>
      <c r="M336" s="21">
        <f>Tabela1[[#This Row],[1ª QZ]]-Tabela1[[#This Row],[SALDO FINAL]]-Tabela1[[#This Row],[SALDO CARTAO]]-Tabela1[[#This Row],[Adiantamento ]]</f>
        <v>0</v>
      </c>
      <c r="N336" s="21">
        <f>Tabela1[[#This Row],[SALDO REEMBOLSAR]]*$N$4</f>
        <v>0</v>
      </c>
      <c r="O336" s="21">
        <f>IF(Tabela1[[#This Row],[CARGA PARCIAL]]&lt;0,0,Tabela1[[#This Row],[CARGA PARCIAL]])+Tabela1[[#This Row],[REEMBOLSO]]</f>
        <v>0</v>
      </c>
      <c r="Q336" t="s">
        <v>667</v>
      </c>
    </row>
    <row r="337" spans="1:17">
      <c r="A337" s="3" t="s">
        <v>842</v>
      </c>
      <c r="B337" s="3" t="s">
        <v>843</v>
      </c>
      <c r="C337" s="5" t="s">
        <v>19</v>
      </c>
      <c r="D337" s="3" t="s">
        <v>101</v>
      </c>
      <c r="E337" s="3" t="s">
        <v>159</v>
      </c>
      <c r="F337" s="3" t="s">
        <v>103</v>
      </c>
      <c r="G337" s="3" t="s">
        <v>33</v>
      </c>
      <c r="H337" s="21">
        <v>83.200000000000045</v>
      </c>
      <c r="I337" s="21">
        <v>0</v>
      </c>
      <c r="J337" s="21">
        <v>120</v>
      </c>
      <c r="K337" s="21">
        <v>0</v>
      </c>
      <c r="L337" s="22"/>
      <c r="M337" s="21">
        <f>Tabela1[[#This Row],[1ª QZ]]-Tabela1[[#This Row],[SALDO FINAL]]-Tabela1[[#This Row],[SALDO CARTAO]]-Tabela1[[#This Row],[Adiantamento ]]</f>
        <v>120</v>
      </c>
      <c r="N337" s="21">
        <f>Tabela1[[#This Row],[SALDO REEMBOLSAR]]*$N$4</f>
        <v>41.600000000000023</v>
      </c>
      <c r="O337" s="21">
        <f>IF(Tabela1[[#This Row],[CARGA PARCIAL]]&lt;0,0,Tabela1[[#This Row],[CARGA PARCIAL]])+Tabela1[[#This Row],[REEMBOLSO]]</f>
        <v>161.60000000000002</v>
      </c>
      <c r="Q337" t="s">
        <v>24</v>
      </c>
    </row>
    <row r="338" spans="1:17">
      <c r="A338" s="3" t="s">
        <v>844</v>
      </c>
      <c r="B338" s="3" t="s">
        <v>845</v>
      </c>
      <c r="C338" s="5" t="s">
        <v>19</v>
      </c>
      <c r="D338" s="3" t="s">
        <v>36</v>
      </c>
      <c r="E338" s="3" t="s">
        <v>142</v>
      </c>
      <c r="F338" s="3" t="s">
        <v>38</v>
      </c>
      <c r="G338" s="3" t="s">
        <v>23</v>
      </c>
      <c r="H338" s="21">
        <v>85.980000000010477</v>
      </c>
      <c r="I338" s="21">
        <v>0</v>
      </c>
      <c r="J338" s="21">
        <v>5700</v>
      </c>
      <c r="K338" s="21">
        <v>60</v>
      </c>
      <c r="L338" s="22"/>
      <c r="M338" s="21">
        <f>Tabela1[[#This Row],[1ª QZ]]-Tabela1[[#This Row],[SALDO FINAL]]-Tabela1[[#This Row],[SALDO CARTAO]]-Tabela1[[#This Row],[Adiantamento ]]</f>
        <v>5640</v>
      </c>
      <c r="N338" s="21">
        <f>Tabela1[[#This Row],[SALDO REEMBOLSAR]]*$N$4</f>
        <v>42.990000000005239</v>
      </c>
      <c r="O338" s="21">
        <f>IF(Tabela1[[#This Row],[CARGA PARCIAL]]&lt;0,0,Tabela1[[#This Row],[CARGA PARCIAL]])+Tabela1[[#This Row],[REEMBOLSO]]</f>
        <v>5682.9900000000052</v>
      </c>
      <c r="Q338" t="s">
        <v>24</v>
      </c>
    </row>
    <row r="339" spans="1:17">
      <c r="A339" s="3" t="s">
        <v>846</v>
      </c>
      <c r="B339" s="3" t="s">
        <v>847</v>
      </c>
      <c r="C339" s="5" t="s">
        <v>19</v>
      </c>
      <c r="D339" s="3" t="s">
        <v>50</v>
      </c>
      <c r="E339" s="3" t="s">
        <v>134</v>
      </c>
      <c r="F339" s="3" t="s">
        <v>52</v>
      </c>
      <c r="G339" s="3" t="s">
        <v>33</v>
      </c>
      <c r="H339" s="21">
        <v>384.25000000000023</v>
      </c>
      <c r="I339" s="21">
        <v>0</v>
      </c>
      <c r="J339" s="21">
        <v>1500</v>
      </c>
      <c r="K339" s="21">
        <v>6</v>
      </c>
      <c r="L339" s="22"/>
      <c r="M339" s="21">
        <f>Tabela1[[#This Row],[1ª QZ]]-Tabela1[[#This Row],[SALDO FINAL]]-Tabela1[[#This Row],[SALDO CARTAO]]-Tabela1[[#This Row],[Adiantamento ]]</f>
        <v>1494</v>
      </c>
      <c r="N339" s="21">
        <f>Tabela1[[#This Row],[SALDO REEMBOLSAR]]*$N$4</f>
        <v>192.12500000000011</v>
      </c>
      <c r="O339" s="21">
        <f>IF(Tabela1[[#This Row],[CARGA PARCIAL]]&lt;0,0,Tabela1[[#This Row],[CARGA PARCIAL]])+Tabela1[[#This Row],[REEMBOLSO]]</f>
        <v>1686.125</v>
      </c>
      <c r="Q339" t="s">
        <v>24</v>
      </c>
    </row>
    <row r="340" spans="1:17">
      <c r="A340" s="3" t="s">
        <v>848</v>
      </c>
      <c r="B340" s="3" t="s">
        <v>849</v>
      </c>
      <c r="C340" s="5" t="s">
        <v>19</v>
      </c>
      <c r="D340" s="3" t="s">
        <v>66</v>
      </c>
      <c r="E340" s="3" t="s">
        <v>303</v>
      </c>
      <c r="F340" s="3" t="s">
        <v>68</v>
      </c>
      <c r="G340" s="3" t="s">
        <v>23</v>
      </c>
      <c r="H340" s="21">
        <v>3803.5300000000243</v>
      </c>
      <c r="I340" s="21">
        <v>0</v>
      </c>
      <c r="J340" s="21">
        <v>1500</v>
      </c>
      <c r="K340" s="21">
        <v>3</v>
      </c>
      <c r="L340" s="22"/>
      <c r="M340" s="21">
        <f>Tabela1[[#This Row],[1ª QZ]]-Tabela1[[#This Row],[SALDO FINAL]]-Tabela1[[#This Row],[SALDO CARTAO]]-Tabela1[[#This Row],[Adiantamento ]]</f>
        <v>1497</v>
      </c>
      <c r="N340" s="21">
        <f>Tabela1[[#This Row],[SALDO REEMBOLSAR]]*$N$4</f>
        <v>1901.7650000000122</v>
      </c>
      <c r="O340" s="21">
        <f>IF(Tabela1[[#This Row],[CARGA PARCIAL]]&lt;0,0,Tabela1[[#This Row],[CARGA PARCIAL]])+Tabela1[[#This Row],[REEMBOLSO]]</f>
        <v>3398.7650000000122</v>
      </c>
      <c r="Q340" t="s">
        <v>24</v>
      </c>
    </row>
    <row r="341" spans="1:17">
      <c r="A341" s="3" t="s">
        <v>850</v>
      </c>
      <c r="B341" s="3" t="s">
        <v>851</v>
      </c>
      <c r="C341" s="5" t="s">
        <v>19</v>
      </c>
      <c r="D341" s="3" t="s">
        <v>50</v>
      </c>
      <c r="E341" s="3" t="s">
        <v>852</v>
      </c>
      <c r="F341" s="3" t="s">
        <v>52</v>
      </c>
      <c r="G341" s="3" t="s">
        <v>33</v>
      </c>
      <c r="H341" s="21">
        <v>779.18000000000029</v>
      </c>
      <c r="I341" s="21">
        <v>0</v>
      </c>
      <c r="J341" s="21">
        <v>600</v>
      </c>
      <c r="K341" s="21">
        <v>3</v>
      </c>
      <c r="L341" s="22"/>
      <c r="M341" s="21">
        <f>Tabela1[[#This Row],[1ª QZ]]-Tabela1[[#This Row],[SALDO FINAL]]-Tabela1[[#This Row],[SALDO CARTAO]]-Tabela1[[#This Row],[Adiantamento ]]</f>
        <v>597</v>
      </c>
      <c r="N341" s="21">
        <f>Tabela1[[#This Row],[SALDO REEMBOLSAR]]*$N$4</f>
        <v>389.59000000000015</v>
      </c>
      <c r="O341" s="21">
        <f>IF(Tabela1[[#This Row],[CARGA PARCIAL]]&lt;0,0,Tabela1[[#This Row],[CARGA PARCIAL]])+Tabela1[[#This Row],[REEMBOLSO]]</f>
        <v>986.59000000000015</v>
      </c>
      <c r="Q341" t="s">
        <v>24</v>
      </c>
    </row>
    <row r="342" spans="1:17">
      <c r="A342" s="3" t="s">
        <v>853</v>
      </c>
      <c r="B342" s="3" t="s">
        <v>854</v>
      </c>
      <c r="C342" s="5" t="s">
        <v>19</v>
      </c>
      <c r="D342" s="3" t="s">
        <v>44</v>
      </c>
      <c r="E342" s="3" t="s">
        <v>855</v>
      </c>
      <c r="F342" s="3" t="s">
        <v>46</v>
      </c>
      <c r="G342" s="3" t="s">
        <v>47</v>
      </c>
      <c r="H342" s="21">
        <v>1707.9899999999943</v>
      </c>
      <c r="I342" s="21">
        <v>0</v>
      </c>
      <c r="J342" s="21">
        <v>1000</v>
      </c>
      <c r="K342" s="21">
        <v>1000</v>
      </c>
      <c r="L342" s="22"/>
      <c r="M342" s="21">
        <f>Tabela1[[#This Row],[1ª QZ]]-Tabela1[[#This Row],[SALDO FINAL]]-Tabela1[[#This Row],[SALDO CARTAO]]-Tabela1[[#This Row],[Adiantamento ]]</f>
        <v>0</v>
      </c>
      <c r="N342" s="21">
        <f>Tabela1[[#This Row],[SALDO REEMBOLSAR]]*$N$4</f>
        <v>853.99499999999716</v>
      </c>
      <c r="O342" s="21">
        <f>IF(Tabela1[[#This Row],[CARGA PARCIAL]]&lt;0,0,Tabela1[[#This Row],[CARGA PARCIAL]])+Tabela1[[#This Row],[REEMBOLSO]]</f>
        <v>853.99499999999716</v>
      </c>
      <c r="Q342" t="s">
        <v>24</v>
      </c>
    </row>
    <row r="343" spans="1:17">
      <c r="A343" s="3" t="s">
        <v>856</v>
      </c>
      <c r="B343" s="3" t="s">
        <v>857</v>
      </c>
      <c r="C343" s="5" t="s">
        <v>19</v>
      </c>
      <c r="D343" s="3" t="s">
        <v>44</v>
      </c>
      <c r="E343" s="3" t="s">
        <v>858</v>
      </c>
      <c r="F343" s="3" t="s">
        <v>46</v>
      </c>
      <c r="G343" s="3" t="s">
        <v>47</v>
      </c>
      <c r="H343" s="21">
        <v>153.78999999999996</v>
      </c>
      <c r="I343" s="21">
        <v>0</v>
      </c>
      <c r="J343" s="21">
        <v>750</v>
      </c>
      <c r="K343" s="21">
        <v>393</v>
      </c>
      <c r="L343" s="22"/>
      <c r="M343" s="21">
        <f>Tabela1[[#This Row],[1ª QZ]]-Tabela1[[#This Row],[SALDO FINAL]]-Tabela1[[#This Row],[SALDO CARTAO]]-Tabela1[[#This Row],[Adiantamento ]]</f>
        <v>357</v>
      </c>
      <c r="N343" s="21">
        <f>Tabela1[[#This Row],[SALDO REEMBOLSAR]]*$N$4</f>
        <v>76.894999999999982</v>
      </c>
      <c r="O343" s="21">
        <f>IF(Tabela1[[#This Row],[CARGA PARCIAL]]&lt;0,0,Tabela1[[#This Row],[CARGA PARCIAL]])+Tabela1[[#This Row],[REEMBOLSO]]</f>
        <v>433.89499999999998</v>
      </c>
      <c r="Q343" t="s">
        <v>24</v>
      </c>
    </row>
    <row r="344" spans="1:17">
      <c r="A344" s="3" t="s">
        <v>859</v>
      </c>
      <c r="B344" s="3" t="s">
        <v>860</v>
      </c>
      <c r="C344" s="5" t="s">
        <v>19</v>
      </c>
      <c r="D344" s="3" t="s">
        <v>101</v>
      </c>
      <c r="E344" s="3" t="s">
        <v>861</v>
      </c>
      <c r="F344" s="3" t="s">
        <v>103</v>
      </c>
      <c r="G344" s="3" t="s">
        <v>33</v>
      </c>
      <c r="H344" s="21">
        <v>474.54000000000633</v>
      </c>
      <c r="I344" s="21">
        <v>0</v>
      </c>
      <c r="J344" s="21">
        <v>5600</v>
      </c>
      <c r="K344" s="21">
        <v>4441.84</v>
      </c>
      <c r="L344" s="22"/>
      <c r="M344" s="21">
        <f>Tabela1[[#This Row],[1ª QZ]]-Tabela1[[#This Row],[SALDO FINAL]]-Tabela1[[#This Row],[SALDO CARTAO]]-Tabela1[[#This Row],[Adiantamento ]]</f>
        <v>1158.1599999999999</v>
      </c>
      <c r="N344" s="21">
        <f>Tabela1[[#This Row],[SALDO REEMBOLSAR]]*$N$4</f>
        <v>237.27000000000317</v>
      </c>
      <c r="O344" s="21">
        <f>IF(Tabela1[[#This Row],[CARGA PARCIAL]]&lt;0,0,Tabela1[[#This Row],[CARGA PARCIAL]])+Tabela1[[#This Row],[REEMBOLSO]]</f>
        <v>1395.430000000003</v>
      </c>
      <c r="Q344" t="s">
        <v>24</v>
      </c>
    </row>
    <row r="345" spans="1:17">
      <c r="A345" s="3" t="s">
        <v>862</v>
      </c>
      <c r="B345" s="3" t="s">
        <v>863</v>
      </c>
      <c r="C345" s="5" t="s">
        <v>19</v>
      </c>
      <c r="D345" s="3" t="s">
        <v>30</v>
      </c>
      <c r="E345" s="3" t="s">
        <v>117</v>
      </c>
      <c r="F345" s="3" t="s">
        <v>32</v>
      </c>
      <c r="G345" s="3" t="s">
        <v>33</v>
      </c>
      <c r="H345" s="21">
        <v>25.799999999999635</v>
      </c>
      <c r="I345" s="21">
        <v>0</v>
      </c>
      <c r="J345" s="21">
        <v>800</v>
      </c>
      <c r="K345" s="21">
        <v>54.9</v>
      </c>
      <c r="L345" s="22"/>
      <c r="M345" s="21">
        <f>Tabela1[[#This Row],[1ª QZ]]-Tabela1[[#This Row],[SALDO FINAL]]-Tabela1[[#This Row],[SALDO CARTAO]]-Tabela1[[#This Row],[Adiantamento ]]</f>
        <v>745.1</v>
      </c>
      <c r="N345" s="21">
        <f>Tabela1[[#This Row],[SALDO REEMBOLSAR]]*$N$4</f>
        <v>12.899999999999817</v>
      </c>
      <c r="O345" s="21">
        <f>IF(Tabela1[[#This Row],[CARGA PARCIAL]]&lt;0,0,Tabela1[[#This Row],[CARGA PARCIAL]])+Tabela1[[#This Row],[REEMBOLSO]]</f>
        <v>757.99999999999989</v>
      </c>
      <c r="Q345" t="s">
        <v>24</v>
      </c>
    </row>
    <row r="346" spans="1:17">
      <c r="A346" s="3" t="s">
        <v>864</v>
      </c>
      <c r="B346" s="3" t="s">
        <v>865</v>
      </c>
      <c r="C346" s="5" t="s">
        <v>19</v>
      </c>
      <c r="D346" s="3" t="s">
        <v>93</v>
      </c>
      <c r="E346" s="3" t="s">
        <v>508</v>
      </c>
      <c r="F346" s="3" t="s">
        <v>95</v>
      </c>
      <c r="G346" s="3" t="s">
        <v>33</v>
      </c>
      <c r="H346" s="21">
        <v>4.5474735088646412E-13</v>
      </c>
      <c r="I346" s="21">
        <v>0</v>
      </c>
      <c r="J346" s="21">
        <v>500</v>
      </c>
      <c r="K346" s="21">
        <v>374</v>
      </c>
      <c r="L346" s="22"/>
      <c r="M346" s="21">
        <f>Tabela1[[#This Row],[1ª QZ]]-Tabela1[[#This Row],[SALDO FINAL]]-Tabela1[[#This Row],[SALDO CARTAO]]-Tabela1[[#This Row],[Adiantamento ]]</f>
        <v>126</v>
      </c>
      <c r="N346" s="21">
        <f>Tabela1[[#This Row],[SALDO REEMBOLSAR]]*$N$4</f>
        <v>2.2737367544323206E-13</v>
      </c>
      <c r="O346" s="21">
        <f>IF(Tabela1[[#This Row],[CARGA PARCIAL]]&lt;0,0,Tabela1[[#This Row],[CARGA PARCIAL]])+Tabela1[[#This Row],[REEMBOLSO]]</f>
        <v>126.00000000000023</v>
      </c>
      <c r="Q346" t="s">
        <v>24</v>
      </c>
    </row>
  </sheetData>
  <conditionalFormatting sqref="A6">
    <cfRule type="duplicateValues" dxfId="18" priority="1"/>
    <cfRule type="duplicateValues" dxfId="17" priority="2"/>
    <cfRule type="duplicateValues" dxfId="16" priority="3"/>
  </conditionalFormatting>
  <conditionalFormatting sqref="B6">
    <cfRule type="duplicateValues" dxfId="15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Props1.xml><?xml version="1.0" encoding="utf-8"?>
<ds:datastoreItem xmlns:ds="http://schemas.openxmlformats.org/officeDocument/2006/customXml" ds:itemID="{65F96EC3-3831-4AAC-8DAE-AB7B40466344}"/>
</file>

<file path=customXml/itemProps2.xml><?xml version="1.0" encoding="utf-8"?>
<ds:datastoreItem xmlns:ds="http://schemas.openxmlformats.org/officeDocument/2006/customXml" ds:itemID="{D33BDA97-027F-4EE3-8C0E-6C95036E4884}"/>
</file>

<file path=customXml/itemProps3.xml><?xml version="1.0" encoding="utf-8"?>
<ds:datastoreItem xmlns:ds="http://schemas.openxmlformats.org/officeDocument/2006/customXml" ds:itemID="{0F20597C-8CBB-4700-91E3-96D180DD3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Cardoso Reginaldo</dc:creator>
  <cp:keywords/>
  <dc:description/>
  <cp:lastModifiedBy>Andrey Cardoso Reginaldo</cp:lastModifiedBy>
  <cp:revision/>
  <dcterms:created xsi:type="dcterms:W3CDTF">2026-05-11T13:41:10Z</dcterms:created>
  <dcterms:modified xsi:type="dcterms:W3CDTF">2026-06-11T15:04:06Z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