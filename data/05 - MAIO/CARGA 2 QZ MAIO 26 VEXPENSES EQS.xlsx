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076D7A38-F7C2-411D-9AB9-E1497D4678CF}" xr6:coauthVersionLast="47" xr6:coauthVersionMax="47" xr10:uidLastSave="{00000000-0000-0000-0000-000000000000}"/>
  <bookViews>
    <workbookView xWindow="20370" yWindow="-120" windowWidth="20730" windowHeight="11160" xr2:uid="{F7544B25-9E6B-49AB-A169-672ED7774AC0}"/>
  </bookViews>
  <sheets>
    <sheet name="2 QZ DE MAIO 26" sheetId="1" r:id="rId1"/>
    <sheet name="STATUS CARTÃ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" i="1" l="1"/>
  <c r="K3" i="1" l="1"/>
  <c r="M3" i="1"/>
  <c r="O3" i="1"/>
  <c r="J262" i="1" l="1"/>
  <c r="N262" i="1" s="1"/>
  <c r="P262" i="1" s="1"/>
  <c r="N302" i="1"/>
  <c r="P302" i="1" s="1"/>
  <c r="N189" i="1"/>
  <c r="P189" i="1" s="1"/>
  <c r="N54" i="1" l="1"/>
  <c r="P54" i="1" s="1"/>
  <c r="N307" i="1"/>
  <c r="P307" i="1" s="1"/>
  <c r="L3" i="1" l="1"/>
  <c r="J62" i="1"/>
  <c r="N62" i="1" s="1"/>
  <c r="P62" i="1" s="1"/>
  <c r="N80" i="1"/>
  <c r="P80" i="1" s="1"/>
  <c r="J75" i="1"/>
  <c r="N75" i="1" s="1"/>
  <c r="P75" i="1" s="1"/>
  <c r="J7" i="1"/>
  <c r="N7" i="1" s="1"/>
  <c r="P7" i="1" s="1"/>
  <c r="J105" i="1"/>
  <c r="N105" i="1" s="1"/>
  <c r="P105" i="1" s="1"/>
  <c r="N18" i="1"/>
  <c r="P18" i="1" s="1"/>
  <c r="J20" i="1"/>
  <c r="N20" i="1" s="1"/>
  <c r="P20" i="1" s="1"/>
  <c r="J92" i="1"/>
  <c r="N92" i="1" s="1"/>
  <c r="P92" i="1" s="1"/>
  <c r="J181" i="1"/>
  <c r="N181" i="1" s="1"/>
  <c r="P181" i="1" s="1"/>
  <c r="J99" i="1"/>
  <c r="N99" i="1" s="1"/>
  <c r="P99" i="1" s="1"/>
  <c r="N279" i="1"/>
  <c r="P279" i="1" s="1"/>
  <c r="J59" i="1"/>
  <c r="N59" i="1" s="1"/>
  <c r="P59" i="1" s="1"/>
  <c r="J220" i="1"/>
  <c r="N220" i="1" s="1"/>
  <c r="P220" i="1" s="1"/>
  <c r="N325" i="1"/>
  <c r="P325" i="1" s="1"/>
  <c r="N60" i="1"/>
  <c r="P60" i="1" s="1"/>
  <c r="J204" i="1"/>
  <c r="N204" i="1" s="1"/>
  <c r="P204" i="1" s="1"/>
  <c r="N216" i="1"/>
  <c r="P216" i="1" s="1"/>
  <c r="N106" i="1"/>
  <c r="P106" i="1" s="1"/>
  <c r="J134" i="1"/>
  <c r="N134" i="1" s="1"/>
  <c r="P134" i="1" s="1"/>
  <c r="J90" i="1"/>
  <c r="N90" i="1" s="1"/>
  <c r="P90" i="1" s="1"/>
  <c r="N249" i="1"/>
  <c r="P249" i="1" s="1"/>
  <c r="J125" i="1"/>
  <c r="N125" i="1" s="1"/>
  <c r="P125" i="1" s="1"/>
  <c r="J151" i="1"/>
  <c r="N151" i="1" s="1"/>
  <c r="P151" i="1" s="1"/>
  <c r="J248" i="1"/>
  <c r="N248" i="1" s="1"/>
  <c r="P248" i="1" s="1"/>
  <c r="N212" i="1"/>
  <c r="P212" i="1" s="1"/>
  <c r="N67" i="1"/>
  <c r="P67" i="1" s="1"/>
  <c r="N252" i="1"/>
  <c r="P252" i="1" s="1"/>
  <c r="J245" i="1"/>
  <c r="N245" i="1" s="1"/>
  <c r="P245" i="1" s="1"/>
  <c r="J52" i="1"/>
  <c r="N52" i="1" s="1"/>
  <c r="P52" i="1" s="1"/>
  <c r="N199" i="1"/>
  <c r="P199" i="1" s="1"/>
  <c r="J240" i="1"/>
  <c r="N240" i="1" s="1"/>
  <c r="P240" i="1" s="1"/>
  <c r="N195" i="1"/>
  <c r="P195" i="1" s="1"/>
  <c r="N179" i="1"/>
  <c r="P179" i="1" s="1"/>
  <c r="N13" i="1"/>
  <c r="P13" i="1" s="1"/>
  <c r="N326" i="1"/>
  <c r="P326" i="1" s="1"/>
  <c r="J157" i="1"/>
  <c r="N157" i="1" s="1"/>
  <c r="P157" i="1" s="1"/>
  <c r="J31" i="1"/>
  <c r="N31" i="1" s="1"/>
  <c r="P31" i="1" s="1"/>
  <c r="J9" i="1"/>
  <c r="N9" i="1" s="1"/>
  <c r="P9" i="1" s="1"/>
  <c r="J95" i="1"/>
  <c r="N95" i="1" s="1"/>
  <c r="P95" i="1" s="1"/>
  <c r="N97" i="1"/>
  <c r="P97" i="1" s="1"/>
  <c r="J89" i="1"/>
  <c r="N89" i="1" s="1"/>
  <c r="P89" i="1" s="1"/>
  <c r="N28" i="1"/>
  <c r="P28" i="1" s="1"/>
  <c r="J194" i="1"/>
  <c r="N194" i="1" s="1"/>
  <c r="P194" i="1" s="1"/>
  <c r="N50" i="1"/>
  <c r="P50" i="1" s="1"/>
  <c r="J88" i="1"/>
  <c r="N88" i="1" s="1"/>
  <c r="P88" i="1" s="1"/>
  <c r="J155" i="1"/>
  <c r="N155" i="1" s="1"/>
  <c r="P155" i="1" s="1"/>
  <c r="J196" i="1"/>
  <c r="N196" i="1" s="1"/>
  <c r="P196" i="1" s="1"/>
  <c r="N219" i="1"/>
  <c r="P219" i="1" s="1"/>
  <c r="J317" i="1"/>
  <c r="N317" i="1" s="1"/>
  <c r="P317" i="1" s="1"/>
  <c r="J265" i="1"/>
  <c r="N265" i="1" s="1"/>
  <c r="P265" i="1" s="1"/>
  <c r="N305" i="1"/>
  <c r="P305" i="1" s="1"/>
  <c r="N77" i="1"/>
  <c r="P77" i="1" s="1"/>
  <c r="J221" i="1"/>
  <c r="N221" i="1" s="1"/>
  <c r="P221" i="1" s="1"/>
  <c r="N232" i="1"/>
  <c r="P232" i="1" s="1"/>
  <c r="N224" i="1"/>
  <c r="P224" i="1" s="1"/>
  <c r="J47" i="1"/>
  <c r="N47" i="1" s="1"/>
  <c r="P47" i="1" s="1"/>
  <c r="N145" i="1"/>
  <c r="P145" i="1" s="1"/>
  <c r="N117" i="1"/>
  <c r="P117" i="1" s="1"/>
  <c r="N276" i="1"/>
  <c r="P276" i="1" s="1"/>
  <c r="J306" i="1"/>
  <c r="N306" i="1" s="1"/>
  <c r="P306" i="1" s="1"/>
  <c r="N93" i="1"/>
  <c r="P93" i="1" s="1"/>
  <c r="N271" i="1"/>
  <c r="P271" i="1" s="1"/>
  <c r="J266" i="1"/>
  <c r="N266" i="1" s="1"/>
  <c r="P266" i="1" s="1"/>
  <c r="J184" i="1"/>
  <c r="N184" i="1" s="1"/>
  <c r="P184" i="1" s="1"/>
  <c r="J242" i="1"/>
  <c r="N242" i="1" s="1"/>
  <c r="P242" i="1" s="1"/>
  <c r="N84" i="1"/>
  <c r="P84" i="1" s="1"/>
  <c r="N197" i="1"/>
  <c r="P197" i="1" s="1"/>
  <c r="N273" i="1"/>
  <c r="P273" i="1" s="1"/>
  <c r="N70" i="1"/>
  <c r="P70" i="1" s="1"/>
  <c r="J215" i="1"/>
  <c r="N215" i="1" s="1"/>
  <c r="P215" i="1" s="1"/>
  <c r="J254" i="1"/>
  <c r="N254" i="1" s="1"/>
  <c r="P254" i="1" s="1"/>
  <c r="J284" i="1"/>
  <c r="N284" i="1" s="1"/>
  <c r="P284" i="1" s="1"/>
  <c r="J198" i="1"/>
  <c r="N198" i="1" s="1"/>
  <c r="P198" i="1" s="1"/>
  <c r="N139" i="1"/>
  <c r="P139" i="1" s="1"/>
  <c r="J223" i="1"/>
  <c r="N223" i="1" s="1"/>
  <c r="P223" i="1" s="1"/>
  <c r="N175" i="1"/>
  <c r="P175" i="1" s="1"/>
  <c r="N227" i="1"/>
  <c r="P227" i="1" s="1"/>
  <c r="N76" i="1"/>
  <c r="P76" i="1" s="1"/>
  <c r="N143" i="1"/>
  <c r="P143" i="1" s="1"/>
  <c r="N124" i="1"/>
  <c r="P124" i="1" s="1"/>
  <c r="N211" i="1"/>
  <c r="P211" i="1" s="1"/>
  <c r="J46" i="1"/>
  <c r="N46" i="1" s="1"/>
  <c r="P46" i="1" s="1"/>
  <c r="N193" i="1"/>
  <c r="P193" i="1" s="1"/>
  <c r="J241" i="1"/>
  <c r="N241" i="1" s="1"/>
  <c r="P241" i="1" s="1"/>
  <c r="J69" i="1"/>
  <c r="N69" i="1" s="1"/>
  <c r="P69" i="1" s="1"/>
  <c r="N104" i="1"/>
  <c r="P104" i="1" s="1"/>
  <c r="J170" i="1"/>
  <c r="N170" i="1" s="1"/>
  <c r="P170" i="1" s="1"/>
  <c r="N229" i="1"/>
  <c r="P229" i="1" s="1"/>
  <c r="J115" i="1"/>
  <c r="N115" i="1" s="1"/>
  <c r="P115" i="1" s="1"/>
  <c r="J107" i="1"/>
  <c r="N107" i="1" s="1"/>
  <c r="P107" i="1" s="1"/>
  <c r="N79" i="1"/>
  <c r="P79" i="1" s="1"/>
  <c r="J81" i="1"/>
  <c r="N81" i="1" s="1"/>
  <c r="P81" i="1" s="1"/>
  <c r="N109" i="1"/>
  <c r="P109" i="1" s="1"/>
  <c r="J238" i="1"/>
  <c r="N238" i="1" s="1"/>
  <c r="P238" i="1" s="1"/>
  <c r="J260" i="1"/>
  <c r="N260" i="1" s="1"/>
  <c r="P260" i="1" s="1"/>
  <c r="J296" i="1"/>
  <c r="N296" i="1" s="1"/>
  <c r="P296" i="1" s="1"/>
  <c r="J66" i="1"/>
  <c r="N66" i="1" s="1"/>
  <c r="P66" i="1" s="1"/>
  <c r="N165" i="1"/>
  <c r="P165" i="1" s="1"/>
  <c r="N137" i="1"/>
  <c r="P137" i="1" s="1"/>
  <c r="N300" i="1"/>
  <c r="P300" i="1" s="1"/>
  <c r="N174" i="1"/>
  <c r="P174" i="1" s="1"/>
  <c r="N51" i="1"/>
  <c r="P51" i="1" s="1"/>
  <c r="N38" i="1"/>
  <c r="P38" i="1" s="1"/>
  <c r="J103" i="1"/>
  <c r="N103" i="1" s="1"/>
  <c r="P103" i="1" s="1"/>
  <c r="J246" i="1"/>
  <c r="N246" i="1" s="1"/>
  <c r="P246" i="1" s="1"/>
  <c r="N291" i="1"/>
  <c r="P291" i="1" s="1"/>
  <c r="N101" i="1"/>
  <c r="P101" i="1" s="1"/>
  <c r="J49" i="1"/>
  <c r="N49" i="1" s="1"/>
  <c r="P49" i="1" s="1"/>
  <c r="N258" i="1"/>
  <c r="P258" i="1" s="1"/>
  <c r="J295" i="1"/>
  <c r="N295" i="1" s="1"/>
  <c r="P295" i="1" s="1"/>
  <c r="N87" i="1"/>
  <c r="P87" i="1" s="1"/>
  <c r="J230" i="1"/>
  <c r="N230" i="1" s="1"/>
  <c r="P230" i="1" s="1"/>
  <c r="N168" i="1"/>
  <c r="P168" i="1" s="1"/>
  <c r="J315" i="1"/>
  <c r="N315" i="1" s="1"/>
  <c r="P315" i="1" s="1"/>
  <c r="N275" i="1"/>
  <c r="P275" i="1" s="1"/>
  <c r="J210" i="1"/>
  <c r="N210" i="1" s="1"/>
  <c r="P210" i="1" s="1"/>
  <c r="N253" i="1"/>
  <c r="P253" i="1" s="1"/>
  <c r="N163" i="1"/>
  <c r="P163" i="1" s="1"/>
  <c r="J147" i="1"/>
  <c r="N147" i="1" s="1"/>
  <c r="P147" i="1" s="1"/>
  <c r="N41" i="1"/>
  <c r="P41" i="1" s="1"/>
  <c r="J65" i="1"/>
  <c r="N65" i="1" s="1"/>
  <c r="P65" i="1" s="1"/>
  <c r="J304" i="1"/>
  <c r="N304" i="1" s="1"/>
  <c r="P304" i="1" s="1"/>
  <c r="N172" i="1"/>
  <c r="P172" i="1" s="1"/>
  <c r="J130" i="1"/>
  <c r="N130" i="1" s="1"/>
  <c r="P130" i="1" s="1"/>
  <c r="J218" i="1"/>
  <c r="N218" i="1" s="1"/>
  <c r="P218" i="1" s="1"/>
  <c r="N177" i="1"/>
  <c r="P177" i="1" s="1"/>
  <c r="J169" i="1"/>
  <c r="N169" i="1" s="1"/>
  <c r="P169" i="1" s="1"/>
  <c r="J280" i="1"/>
  <c r="N280" i="1" s="1"/>
  <c r="P280" i="1" s="1"/>
  <c r="N119" i="1"/>
  <c r="P119" i="1" s="1"/>
  <c r="J231" i="1"/>
  <c r="N231" i="1" s="1"/>
  <c r="P231" i="1" s="1"/>
  <c r="J213" i="1"/>
  <c r="N213" i="1" s="1"/>
  <c r="P213" i="1" s="1"/>
  <c r="J122" i="1"/>
  <c r="N122" i="1" s="1"/>
  <c r="P122" i="1" s="1"/>
  <c r="N251" i="1"/>
  <c r="P251" i="1" s="1"/>
  <c r="J217" i="1"/>
  <c r="N217" i="1" s="1"/>
  <c r="P217" i="1" s="1"/>
  <c r="J58" i="1"/>
  <c r="N58" i="1" s="1"/>
  <c r="P58" i="1" s="1"/>
  <c r="J171" i="1"/>
  <c r="N171" i="1" s="1"/>
  <c r="P171" i="1" s="1"/>
  <c r="J257" i="1"/>
  <c r="N257" i="1" s="1"/>
  <c r="P257" i="1" s="1"/>
  <c r="J205" i="1"/>
  <c r="N205" i="1" s="1"/>
  <c r="P205" i="1" s="1"/>
  <c r="J64" i="1"/>
  <c r="N64" i="1" s="1"/>
  <c r="P64" i="1" s="1"/>
  <c r="N94" i="1"/>
  <c r="P94" i="1" s="1"/>
  <c r="N192" i="1"/>
  <c r="P192" i="1" s="1"/>
  <c r="N298" i="1"/>
  <c r="P298" i="1" s="1"/>
  <c r="J324" i="1"/>
  <c r="N324" i="1" s="1"/>
  <c r="P324" i="1" s="1"/>
  <c r="N127" i="1"/>
  <c r="P127" i="1" s="1"/>
  <c r="N96" i="1"/>
  <c r="P96" i="1" s="1"/>
  <c r="N282" i="1"/>
  <c r="P282" i="1" s="1"/>
  <c r="J313" i="1"/>
  <c r="N313" i="1" s="1"/>
  <c r="P313" i="1" s="1"/>
  <c r="J114" i="1"/>
  <c r="N114" i="1" s="1"/>
  <c r="P114" i="1" s="1"/>
  <c r="N244" i="1"/>
  <c r="P244" i="1" s="1"/>
  <c r="N201" i="1"/>
  <c r="P201" i="1" s="1"/>
  <c r="N323" i="1"/>
  <c r="P323" i="1" s="1"/>
  <c r="J148" i="1"/>
  <c r="N148" i="1" s="1"/>
  <c r="P148" i="1" s="1"/>
  <c r="N11" i="1"/>
  <c r="P11" i="1" s="1"/>
  <c r="J6" i="1"/>
  <c r="N6" i="1" s="1"/>
  <c r="P6" i="1" s="1"/>
  <c r="J142" i="1"/>
  <c r="N142" i="1" s="1"/>
  <c r="P142" i="1" s="1"/>
  <c r="J19" i="1"/>
  <c r="N19" i="1" s="1"/>
  <c r="P19" i="1" s="1"/>
  <c r="N166" i="1"/>
  <c r="P166" i="1" s="1"/>
  <c r="N203" i="1"/>
  <c r="P203" i="1" s="1"/>
  <c r="N82" i="1"/>
  <c r="P82" i="1" s="1"/>
  <c r="J327" i="1"/>
  <c r="N327" i="1" s="1"/>
  <c r="P327" i="1" s="1"/>
  <c r="N206" i="1"/>
  <c r="P206" i="1" s="1"/>
  <c r="J102" i="1"/>
  <c r="N102" i="1" s="1"/>
  <c r="P102" i="1" s="1"/>
  <c r="N40" i="1"/>
  <c r="P40" i="1" s="1"/>
  <c r="N263" i="1"/>
  <c r="P263" i="1" s="1"/>
  <c r="J209" i="1"/>
  <c r="N209" i="1" s="1"/>
  <c r="P209" i="1" s="1"/>
  <c r="N234" i="1"/>
  <c r="P234" i="1" s="1"/>
  <c r="J42" i="1"/>
  <c r="N42" i="1" s="1"/>
  <c r="P42" i="1" s="1"/>
  <c r="J160" i="1"/>
  <c r="N160" i="1" s="1"/>
  <c r="P160" i="1" s="1"/>
  <c r="J283" i="1"/>
  <c r="N283" i="1" s="1"/>
  <c r="P283" i="1" s="1"/>
  <c r="J26" i="1"/>
  <c r="N26" i="1" s="1"/>
  <c r="P26" i="1" s="1"/>
  <c r="J314" i="1"/>
  <c r="N314" i="1" s="1"/>
  <c r="P314" i="1" s="1"/>
  <c r="J236" i="1"/>
  <c r="N236" i="1" s="1"/>
  <c r="P236" i="1" s="1"/>
  <c r="N191" i="1"/>
  <c r="P191" i="1" s="1"/>
  <c r="J185" i="1"/>
  <c r="N185" i="1" s="1"/>
  <c r="P185" i="1" s="1"/>
  <c r="J183" i="1"/>
  <c r="N183" i="1" s="1"/>
  <c r="P183" i="1" s="1"/>
  <c r="J239" i="1"/>
  <c r="N239" i="1" s="1"/>
  <c r="P239" i="1" s="1"/>
  <c r="J98" i="1"/>
  <c r="N98" i="1" s="1"/>
  <c r="P98" i="1" s="1"/>
  <c r="N120" i="1"/>
  <c r="P120" i="1" s="1"/>
  <c r="J225" i="1"/>
  <c r="N225" i="1" s="1"/>
  <c r="P225" i="1" s="1"/>
  <c r="J140" i="1"/>
  <c r="N140" i="1" s="1"/>
  <c r="P140" i="1" s="1"/>
  <c r="N149" i="1"/>
  <c r="P149" i="1" s="1"/>
  <c r="N129" i="1"/>
  <c r="P129" i="1" s="1"/>
  <c r="N261" i="1"/>
  <c r="P261" i="1" s="1"/>
  <c r="J21" i="1"/>
  <c r="N21" i="1" s="1"/>
  <c r="P21" i="1" s="1"/>
  <c r="N329" i="1"/>
  <c r="P329" i="1" s="1"/>
  <c r="N116" i="1"/>
  <c r="P116" i="1" s="1"/>
  <c r="J22" i="1"/>
  <c r="N22" i="1" s="1"/>
  <c r="P22" i="1" s="1"/>
  <c r="N39" i="1"/>
  <c r="P39" i="1" s="1"/>
  <c r="N15" i="1"/>
  <c r="P15" i="1" s="1"/>
  <c r="N33" i="1"/>
  <c r="P33" i="1" s="1"/>
  <c r="N289" i="1"/>
  <c r="P289" i="1" s="1"/>
  <c r="J100" i="1"/>
  <c r="N100" i="1" s="1"/>
  <c r="P100" i="1" s="1"/>
  <c r="J34" i="1"/>
  <c r="N34" i="1" s="1"/>
  <c r="P34" i="1" s="1"/>
  <c r="N110" i="1"/>
  <c r="P110" i="1" s="1"/>
  <c r="J113" i="1"/>
  <c r="N113" i="1" s="1"/>
  <c r="P113" i="1" s="1"/>
  <c r="J8" i="1"/>
  <c r="N8" i="1" s="1"/>
  <c r="P8" i="1" s="1"/>
  <c r="J278" i="1"/>
  <c r="N278" i="1" s="1"/>
  <c r="P278" i="1" s="1"/>
  <c r="N269" i="1"/>
  <c r="P269" i="1" s="1"/>
  <c r="J10" i="1"/>
  <c r="N10" i="1" s="1"/>
  <c r="P10" i="1" s="1"/>
  <c r="J118" i="1"/>
  <c r="N118" i="1" s="1"/>
  <c r="P118" i="1" s="1"/>
  <c r="J133" i="1"/>
  <c r="N133" i="1" s="1"/>
  <c r="P133" i="1" s="1"/>
  <c r="J319" i="1"/>
  <c r="N319" i="1" s="1"/>
  <c r="P319" i="1" s="1"/>
  <c r="N162" i="1"/>
  <c r="P162" i="1" s="1"/>
  <c r="N85" i="1"/>
  <c r="P85" i="1" s="1"/>
  <c r="N287" i="1"/>
  <c r="P287" i="1" s="1"/>
  <c r="N43" i="1"/>
  <c r="P43" i="1" s="1"/>
  <c r="N207" i="1"/>
  <c r="P207" i="1" s="1"/>
  <c r="J272" i="1"/>
  <c r="N272" i="1" s="1"/>
  <c r="P272" i="1" s="1"/>
  <c r="N268" i="1"/>
  <c r="P268" i="1" s="1"/>
  <c r="N135" i="1"/>
  <c r="P135" i="1" s="1"/>
  <c r="N255" i="1"/>
  <c r="P255" i="1" s="1"/>
  <c r="N310" i="1"/>
  <c r="P310" i="1" s="1"/>
  <c r="J53" i="1"/>
  <c r="N53" i="1" s="1"/>
  <c r="P53" i="1" s="1"/>
  <c r="J159" i="1"/>
  <c r="N159" i="1" s="1"/>
  <c r="P159" i="1" s="1"/>
  <c r="N173" i="1"/>
  <c r="P173" i="1" s="1"/>
  <c r="N250" i="1"/>
  <c r="P250" i="1" s="1"/>
  <c r="N150" i="1"/>
  <c r="P150" i="1" s="1"/>
  <c r="J128" i="1"/>
  <c r="N128" i="1" s="1"/>
  <c r="P128" i="1" s="1"/>
  <c r="J285" i="1"/>
  <c r="N285" i="1" s="1"/>
  <c r="P285" i="1" s="1"/>
  <c r="N293" i="1"/>
  <c r="P293" i="1" s="1"/>
  <c r="J108" i="1"/>
  <c r="N108" i="1" s="1"/>
  <c r="P108" i="1" s="1"/>
  <c r="N61" i="1"/>
  <c r="P61" i="1" s="1"/>
  <c r="J48" i="1"/>
  <c r="N48" i="1" s="1"/>
  <c r="P48" i="1" s="1"/>
  <c r="J12" i="1"/>
  <c r="N12" i="1" s="1"/>
  <c r="P12" i="1" s="1"/>
  <c r="J30" i="1"/>
  <c r="N30" i="1" s="1"/>
  <c r="P30" i="1" s="1"/>
  <c r="N299" i="1"/>
  <c r="P299" i="1" s="1"/>
  <c r="N274" i="1"/>
  <c r="P274" i="1" s="1"/>
  <c r="N152" i="1"/>
  <c r="P152" i="1" s="1"/>
  <c r="N24" i="1"/>
  <c r="P24" i="1" s="1"/>
  <c r="N57" i="1"/>
  <c r="P57" i="1" s="1"/>
  <c r="N311" i="1"/>
  <c r="P311" i="1" s="1"/>
  <c r="N154" i="1"/>
  <c r="P154" i="1" s="1"/>
  <c r="J25" i="1"/>
  <c r="N25" i="1" s="1"/>
  <c r="P25" i="1" s="1"/>
  <c r="J186" i="1"/>
  <c r="N186" i="1" s="1"/>
  <c r="P186" i="1" s="1"/>
  <c r="J182" i="1"/>
  <c r="N182" i="1" s="1"/>
  <c r="P182" i="1" s="1"/>
  <c r="J292" i="1"/>
  <c r="N292" i="1" s="1"/>
  <c r="P292" i="1" s="1"/>
  <c r="N45" i="1"/>
  <c r="P45" i="1" s="1"/>
  <c r="J136" i="1"/>
  <c r="N136" i="1" s="1"/>
  <c r="P136" i="1" s="1"/>
  <c r="N63" i="1"/>
  <c r="P63" i="1" s="1"/>
  <c r="J321" i="1"/>
  <c r="N321" i="1" s="1"/>
  <c r="P321" i="1" s="1"/>
  <c r="N78" i="1"/>
  <c r="P78" i="1" s="1"/>
  <c r="J270" i="1"/>
  <c r="N270" i="1" s="1"/>
  <c r="P270" i="1" s="1"/>
  <c r="J294" i="1"/>
  <c r="N294" i="1" s="1"/>
  <c r="P294" i="1" s="1"/>
  <c r="N290" i="1"/>
  <c r="P290" i="1" s="1"/>
  <c r="J167" i="1"/>
  <c r="N167" i="1" s="1"/>
  <c r="P167" i="1" s="1"/>
  <c r="N187" i="1"/>
  <c r="P187" i="1" s="1"/>
  <c r="J303" i="1"/>
  <c r="N303" i="1" s="1"/>
  <c r="P303" i="1" s="1"/>
  <c r="J71" i="1"/>
  <c r="N71" i="1" s="1"/>
  <c r="P71" i="1" s="1"/>
  <c r="J72" i="1"/>
  <c r="N72" i="1" s="1"/>
  <c r="P72" i="1" s="1"/>
  <c r="J214" i="1"/>
  <c r="N214" i="1" s="1"/>
  <c r="P214" i="1" s="1"/>
  <c r="N190" i="1"/>
  <c r="P190" i="1" s="1"/>
  <c r="N328" i="1"/>
  <c r="P328" i="1" s="1"/>
  <c r="J56" i="1"/>
  <c r="N56" i="1" s="1"/>
  <c r="P56" i="1" s="1"/>
  <c r="J16" i="1"/>
  <c r="N16" i="1" s="1"/>
  <c r="P16" i="1" s="1"/>
  <c r="N176" i="1"/>
  <c r="P176" i="1" s="1"/>
  <c r="J308" i="1"/>
  <c r="N308" i="1" s="1"/>
  <c r="P308" i="1" s="1"/>
  <c r="J277" i="1"/>
  <c r="N277" i="1" s="1"/>
  <c r="P277" i="1" s="1"/>
  <c r="J91" i="1"/>
  <c r="N91" i="1" s="1"/>
  <c r="P91" i="1" s="1"/>
  <c r="J256" i="1"/>
  <c r="N256" i="1" s="1"/>
  <c r="P256" i="1" s="1"/>
  <c r="J131" i="1"/>
  <c r="N131" i="1" s="1"/>
  <c r="P131" i="1" s="1"/>
  <c r="N121" i="1"/>
  <c r="P121" i="1" s="1"/>
  <c r="N301" i="1"/>
  <c r="P301" i="1" s="1"/>
  <c r="J29" i="1"/>
  <c r="N29" i="1" s="1"/>
  <c r="P29" i="1" s="1"/>
  <c r="J44" i="1"/>
  <c r="N44" i="1" s="1"/>
  <c r="P44" i="1" s="1"/>
  <c r="J316" i="1"/>
  <c r="N316" i="1" s="1"/>
  <c r="P316" i="1" s="1"/>
  <c r="J112" i="1"/>
  <c r="N112" i="1" s="1"/>
  <c r="P112" i="1" s="1"/>
  <c r="J74" i="1"/>
  <c r="N74" i="1" s="1"/>
  <c r="P74" i="1" s="1"/>
  <c r="N161" i="1"/>
  <c r="P161" i="1" s="1"/>
  <c r="N226" i="1"/>
  <c r="P226" i="1" s="1"/>
  <c r="J37" i="1"/>
  <c r="N37" i="1" s="1"/>
  <c r="P37" i="1" s="1"/>
  <c r="N202" i="1"/>
  <c r="P202" i="1" s="1"/>
  <c r="J27" i="1"/>
  <c r="N27" i="1" s="1"/>
  <c r="P27" i="1" s="1"/>
  <c r="J144" i="1"/>
  <c r="N144" i="1" s="1"/>
  <c r="P144" i="1" s="1"/>
  <c r="N200" i="1"/>
  <c r="P200" i="1" s="1"/>
  <c r="N178" i="1"/>
  <c r="P178" i="1" s="1"/>
  <c r="J35" i="1"/>
  <c r="N35" i="1" s="1"/>
  <c r="P35" i="1" s="1"/>
  <c r="J123" i="1"/>
  <c r="N123" i="1" s="1"/>
  <c r="P123" i="1" s="1"/>
  <c r="J286" i="1"/>
  <c r="N286" i="1" s="1"/>
  <c r="P286" i="1" s="1"/>
  <c r="N264" i="1"/>
  <c r="P264" i="1" s="1"/>
  <c r="N312" i="1"/>
  <c r="P312" i="1" s="1"/>
  <c r="J309" i="1"/>
  <c r="N309" i="1" s="1"/>
  <c r="P309" i="1" s="1"/>
  <c r="N237" i="1"/>
  <c r="P237" i="1" s="1"/>
  <c r="J320" i="1"/>
  <c r="N320" i="1" s="1"/>
  <c r="P320" i="1" s="1"/>
  <c r="J180" i="1"/>
  <c r="N180" i="1" s="1"/>
  <c r="P180" i="1" s="1"/>
  <c r="N228" i="1"/>
  <c r="P228" i="1" s="1"/>
  <c r="N222" i="1"/>
  <c r="P222" i="1" s="1"/>
  <c r="J73" i="1"/>
  <c r="N73" i="1" s="1"/>
  <c r="P73" i="1" s="1"/>
  <c r="N164" i="1"/>
  <c r="P164" i="1" s="1"/>
  <c r="N208" i="1"/>
  <c r="P208" i="1" s="1"/>
  <c r="J68" i="1"/>
  <c r="N68" i="1" s="1"/>
  <c r="P68" i="1" s="1"/>
  <c r="J153" i="1"/>
  <c r="N153" i="1" s="1"/>
  <c r="P153" i="1" s="1"/>
  <c r="N322" i="1"/>
  <c r="P322" i="1" s="1"/>
  <c r="N141" i="1"/>
  <c r="P141" i="1" s="1"/>
  <c r="J17" i="1"/>
  <c r="N17" i="1" s="1"/>
  <c r="P17" i="1" s="1"/>
  <c r="N55" i="1"/>
  <c r="P55" i="1" s="1"/>
  <c r="J281" i="1"/>
  <c r="N281" i="1" s="1"/>
  <c r="P281" i="1" s="1"/>
  <c r="J132" i="1"/>
  <c r="N132" i="1" s="1"/>
  <c r="P132" i="1" s="1"/>
  <c r="N36" i="1"/>
  <c r="P36" i="1" s="1"/>
  <c r="N146" i="1"/>
  <c r="P146" i="1" s="1"/>
  <c r="N235" i="1"/>
  <c r="P235" i="1" s="1"/>
  <c r="J86" i="1"/>
  <c r="N86" i="1" s="1"/>
  <c r="P86" i="1" s="1"/>
  <c r="J14" i="1"/>
  <c r="N14" i="1" s="1"/>
  <c r="P14" i="1" s="1"/>
  <c r="N188" i="1"/>
  <c r="P188" i="1" s="1"/>
  <c r="J83" i="1"/>
  <c r="N83" i="1" s="1"/>
  <c r="P83" i="1" s="1"/>
  <c r="J318" i="1"/>
  <c r="N318" i="1" s="1"/>
  <c r="P318" i="1" s="1"/>
  <c r="J138" i="1"/>
  <c r="N138" i="1" s="1"/>
  <c r="P138" i="1" s="1"/>
  <c r="N267" i="1"/>
  <c r="P267" i="1" s="1"/>
  <c r="N297" i="1"/>
  <c r="P297" i="1" s="1"/>
  <c r="J111" i="1"/>
  <c r="N111" i="1" s="1"/>
  <c r="P111" i="1" s="1"/>
  <c r="J288" i="1"/>
  <c r="N288" i="1" s="1"/>
  <c r="P288" i="1" s="1"/>
  <c r="J247" i="1"/>
  <c r="N247" i="1" s="1"/>
  <c r="P247" i="1" s="1"/>
  <c r="N259" i="1"/>
  <c r="P259" i="1" s="1"/>
  <c r="J126" i="1"/>
  <c r="N126" i="1" s="1"/>
  <c r="P126" i="1" s="1"/>
  <c r="N158" i="1"/>
  <c r="P158" i="1" s="1"/>
  <c r="N23" i="1"/>
  <c r="P23" i="1" s="1"/>
  <c r="N243" i="1"/>
  <c r="P243" i="1" s="1"/>
  <c r="J32" i="1"/>
  <c r="N32" i="1" s="1"/>
  <c r="P32" i="1" s="1"/>
  <c r="N156" i="1"/>
  <c r="P156" i="1" s="1"/>
  <c r="J233" i="1"/>
  <c r="N233" i="1" s="1"/>
  <c r="P233" i="1" s="1"/>
  <c r="H3" i="1" l="1"/>
  <c r="J3" i="1" l="1"/>
  <c r="N5" i="1"/>
  <c r="P5" i="1" l="1"/>
  <c r="P2" i="1" s="1"/>
  <c r="N3" i="1"/>
  <c r="I3" i="1" l="1"/>
</calcChain>
</file>

<file path=xl/sharedStrings.xml><?xml version="1.0" encoding="utf-8"?>
<sst xmlns="http://schemas.openxmlformats.org/spreadsheetml/2006/main" count="5930" uniqueCount="1722">
  <si>
    <t>COLABORADOR</t>
  </si>
  <si>
    <t>CPF</t>
  </si>
  <si>
    <t>SITUAÇÃO</t>
  </si>
  <si>
    <t>CENTRO DE CUSTO</t>
  </si>
  <si>
    <t>GESTOR</t>
  </si>
  <si>
    <t>DIRETOR</t>
  </si>
  <si>
    <t>SALDO PENDENTE PARCIAL</t>
  </si>
  <si>
    <t>CARGA 1 QZ</t>
  </si>
  <si>
    <t>SALDO FINAL</t>
  </si>
  <si>
    <t>2ª QZ</t>
  </si>
  <si>
    <t>SALDO CARTAO</t>
  </si>
  <si>
    <t xml:space="preserve">Adiantamento </t>
  </si>
  <si>
    <t>CARGA PARCIAL</t>
  </si>
  <si>
    <t>REEMBOLSO</t>
  </si>
  <si>
    <t xml:space="preserve">Carga Final </t>
  </si>
  <si>
    <t>obs</t>
  </si>
  <si>
    <t>STATUS DO CARTÃO</t>
  </si>
  <si>
    <t>ABNER ANDRADE CAVALCANTE</t>
  </si>
  <si>
    <t>02027745203</t>
  </si>
  <si>
    <t>ATIVO</t>
  </si>
  <si>
    <t>CEF AM AC RR</t>
  </si>
  <si>
    <t>ANGELICA SOARES</t>
  </si>
  <si>
    <t>ROGERIO SCATAMBULO</t>
  </si>
  <si>
    <t>Cartão ativo</t>
  </si>
  <si>
    <t>ADAN LEONARDO SOUZA BATISTA</t>
  </si>
  <si>
    <t>01932662537</t>
  </si>
  <si>
    <t>TELEFONICA BA</t>
  </si>
  <si>
    <t>GERSON OLIVEIRA</t>
  </si>
  <si>
    <t>ADAUTO JOSE PEREIRA</t>
  </si>
  <si>
    <t>85087572634</t>
  </si>
  <si>
    <t>CEF FACILITIES BH</t>
  </si>
  <si>
    <t>HUGO ALEXANDRE</t>
  </si>
  <si>
    <t>MARCOS CARIAS</t>
  </si>
  <si>
    <t>ADEMARCIO DUARTE LOPES</t>
  </si>
  <si>
    <t>06223031980</t>
  </si>
  <si>
    <t>CEF FACILITIES CURITIBA PR</t>
  </si>
  <si>
    <t>LEANDRO MARCUSSO</t>
  </si>
  <si>
    <t>EVERSON GAIDSTIECHI</t>
  </si>
  <si>
    <t>ADILSON MELLO DE CAMARGO</t>
  </si>
  <si>
    <t>67324398049</t>
  </si>
  <si>
    <t>BB SERET RS</t>
  </si>
  <si>
    <t>ALEXANDRE GROSS</t>
  </si>
  <si>
    <t>ADIVAR ANTONIO DA SILVA JUNIOR</t>
  </si>
  <si>
    <t>28604876898</t>
  </si>
  <si>
    <t>CLARO INFRA SC</t>
  </si>
  <si>
    <t>BRUNO EDUARDO</t>
  </si>
  <si>
    <t>ADMILSON DOS SANTOS GALAN</t>
  </si>
  <si>
    <t>04769973993</t>
  </si>
  <si>
    <t>CEF NORTE SC</t>
  </si>
  <si>
    <t>ADRIANO FRANCISCO DE PAULA</t>
  </si>
  <si>
    <t>08813588607</t>
  </si>
  <si>
    <t>CLARO INFRA MG</t>
  </si>
  <si>
    <t>ADSON ARAUJO DA SILVA</t>
  </si>
  <si>
    <t>94551804304</t>
  </si>
  <si>
    <t>CLARO INFRA NORDESTE</t>
  </si>
  <si>
    <t>FELIPE JOSE</t>
  </si>
  <si>
    <t>ADSON SANTOS DA SILVA</t>
  </si>
  <si>
    <t>83058133553</t>
  </si>
  <si>
    <t>AGNO CHRISTIAN DE LIMA TELES</t>
  </si>
  <si>
    <t>06911519624</t>
  </si>
  <si>
    <t>ALAERTE JACINTO JUNIOR</t>
  </si>
  <si>
    <t>03071605994</t>
  </si>
  <si>
    <t>PTB AREAS VERDES SC</t>
  </si>
  <si>
    <t>ALAN RODRIGO SILVA ANDRADE</t>
  </si>
  <si>
    <t>07722232469</t>
  </si>
  <si>
    <t>BB ALAGOAS</t>
  </si>
  <si>
    <t>ALESSANDRO DE OLIVEIRA AZEVEDO</t>
  </si>
  <si>
    <t>27494577858</t>
  </si>
  <si>
    <t>CEF BAURU SP</t>
  </si>
  <si>
    <t>LEANDRO NUNES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</si>
  <si>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</si>
  <si>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</si>
  <si>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</si>
  <si>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</si>
  <si>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</si>
  <si>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</si>
  <si>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</si>
  <si>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</si>
  <si>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</si>
  <si>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ALIRIO THOMAZ VALENTIM</t>
  </si>
  <si>
    <t>99335220000</t>
  </si>
  <si>
    <t>NET LITORAL RS</t>
  </si>
  <si>
    <t>Cartão não vinculado</t>
  </si>
  <si>
    <t>ALISON FERREIRA DA SILVA</t>
  </si>
  <si>
    <t>37377394803</t>
  </si>
  <si>
    <t>TELEFONICA SP</t>
  </si>
  <si>
    <t>Cadastro pendente</t>
  </si>
  <si>
    <t>ALISSON RODRIGO RAMBO</t>
  </si>
  <si>
    <t>07338782962</t>
  </si>
  <si>
    <t>ALLAN CRISTIAN DA CUNHA</t>
  </si>
  <si>
    <t>10132301911</t>
  </si>
  <si>
    <t>CLARO INFRA PR</t>
  </si>
  <si>
    <t>ALLAN JEFFERSON BRANCO RODRIGUES</t>
  </si>
  <si>
    <t>09688866717</t>
  </si>
  <si>
    <t>ADM FILIAL RJ</t>
  </si>
  <si>
    <t>ALLAN JEFFERSON</t>
  </si>
  <si>
    <t>ALTAIR BERTOL</t>
  </si>
  <si>
    <t>01969938900</t>
  </si>
  <si>
    <t>ENGIE FLORIANOPOLIS SC</t>
  </si>
  <si>
    <t>ALVARO RAMON PRIMERA CASTILLO</t>
  </si>
  <si>
    <t>71318758130</t>
  </si>
  <si>
    <t>ARTERIS LITORAL SUL SC</t>
  </si>
  <si>
    <t>AMANDA CRISTINA DA SILVA</t>
  </si>
  <si>
    <t>07809466690</t>
  </si>
  <si>
    <t>ANDERSON BICA PEREZ</t>
  </si>
  <si>
    <t>00053957040</t>
  </si>
  <si>
    <t>NET PORTO ALEGRE RS</t>
  </si>
  <si>
    <t>ANDERSON RICARDO VIEIRA</t>
  </si>
  <si>
    <t>07822591975</t>
  </si>
  <si>
    <t>BB NORTE OESTE PR</t>
  </si>
  <si>
    <t>ANDRE ARANHA MEISTER</t>
  </si>
  <si>
    <t>03032275326</t>
  </si>
  <si>
    <t>BB MARANHAO MA</t>
  </si>
  <si>
    <t>ANDRE LUIZ SANTANA</t>
  </si>
  <si>
    <t>11897381638</t>
  </si>
  <si>
    <t>CEF SERRA GAUCHA RS</t>
  </si>
  <si>
    <t>ANDRE PINHEIRO BALOTIN</t>
  </si>
  <si>
    <t>98603566020</t>
  </si>
  <si>
    <t>CELESC NORTE SC</t>
  </si>
  <si>
    <t>ANDRE VALERIO DE PAIVA</t>
  </si>
  <si>
    <t>12682517633</t>
  </si>
  <si>
    <t>ANGELICA SOARES AMARANTE SILVA</t>
  </si>
  <si>
    <t>07643300712</t>
  </si>
  <si>
    <t>ADM FILIAL CO</t>
  </si>
  <si>
    <t>ANTONIO DE PADUA LEITE</t>
  </si>
  <si>
    <t>26992280600</t>
  </si>
  <si>
    <t>VTAL CYBER MG</t>
  </si>
  <si>
    <t>ANTONIO FERREIRA DE MENDONCA NETO</t>
  </si>
  <si>
    <t>05766838760</t>
  </si>
  <si>
    <t>TRIBUNAL DE JUSTICA RJ</t>
  </si>
  <si>
    <t>ANTONIO JOSE PEREIRA DA SILVA</t>
  </si>
  <si>
    <t>08326260401</t>
  </si>
  <si>
    <t>TELEFONICA NE</t>
  </si>
  <si>
    <t>ANTONIO MARCOS CAMARGO</t>
  </si>
  <si>
    <t>04836584990</t>
  </si>
  <si>
    <t>TRIBUNAL DE JUSTICA PR</t>
  </si>
  <si>
    <t>ARLEY HENRIQUE DE SOUZA LUZ</t>
  </si>
  <si>
    <t>01170402232</t>
  </si>
  <si>
    <t>CEF GOIANIA CO</t>
  </si>
  <si>
    <t>ARTHUR GOMES DE PAULO</t>
  </si>
  <si>
    <t>12877857603</t>
  </si>
  <si>
    <t>ARTHUR SANTOS DE OLIVEIRA</t>
  </si>
  <si>
    <t>13921847621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</si>
  <si>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</si>
  <si>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</si>
  <si>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</si>
  <si>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</si>
  <si>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</si>
  <si>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</si>
  <si>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CEF SP SUL</t>
  </si>
  <si>
    <t>BEN HUR MENDES OLIVEIRA</t>
  </si>
  <si>
    <t>00046347054</t>
  </si>
  <si>
    <t>BRUNA LAIS AZEVEDO CUNHA</t>
  </si>
  <si>
    <t>07747008406</t>
  </si>
  <si>
    <t>BRUNA LAIS DOS SANTOS PESSOA</t>
  </si>
  <si>
    <t>13459423625</t>
  </si>
  <si>
    <t>ASSEMBLEIA LEGISLATIVA MG</t>
  </si>
  <si>
    <t>BRUNO DE SOUZA PACHECO</t>
  </si>
  <si>
    <t>04252409160</t>
  </si>
  <si>
    <t>BB PREDIAL MS</t>
  </si>
  <si>
    <t>BRUNO EDUARDO DE SOUZA</t>
  </si>
  <si>
    <t>82341478972</t>
  </si>
  <si>
    <t>ADM FILIAL SC</t>
  </si>
  <si>
    <t>BRUNO FERREIRA DE SOUZA RODRIGUES</t>
  </si>
  <si>
    <t>16306431730</t>
  </si>
  <si>
    <t>TELEFONICA RJ</t>
  </si>
  <si>
    <t>BRUNO OLIVEIRA DIAS</t>
  </si>
  <si>
    <t>11992259755</t>
  </si>
  <si>
    <t>PTB TIC INFRA</t>
  </si>
  <si>
    <t>VINICIUS LOCATELLY</t>
  </si>
  <si>
    <t>CAIO FRANCESCONI RIBEIRO</t>
  </si>
  <si>
    <t>08924586904</t>
  </si>
  <si>
    <t>TJ APOIO PR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</si>
  <si>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</si>
  <si>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</si>
  <si>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</si>
  <si>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</si>
  <si>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</si>
  <si>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</si>
  <si>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</si>
  <si>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</si>
  <si>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EDUARDO SCATAMBULO</t>
  </si>
  <si>
    <t>22730778829</t>
  </si>
  <si>
    <t>CEF LESTE SP</t>
  </si>
  <si>
    <t>CARLOS FRANCISCO GODOY</t>
  </si>
  <si>
    <t>82741980004</t>
  </si>
  <si>
    <t>CEF LESTE GAUCHO RS</t>
  </si>
  <si>
    <t>CARLOS NASCIMENTO NONATO JUNIOR</t>
  </si>
  <si>
    <t>65973500225</t>
  </si>
  <si>
    <t>CARLOS RENATO PACHECO DA SILVA</t>
  </si>
  <si>
    <t>90443306087</t>
  </si>
  <si>
    <t>CARLOS ROBERTO DE CARVALHO PERES</t>
  </si>
  <si>
    <t>09867858816</t>
  </si>
  <si>
    <t>CLARO CO</t>
  </si>
  <si>
    <t>CELIO GONCALVES DE OLIVEIRA JUNIOR</t>
  </si>
  <si>
    <t>12712136640</t>
  </si>
  <si>
    <t>NET LESTE MG</t>
  </si>
  <si>
    <t>CHARLES NEVES MATTIUZZI</t>
  </si>
  <si>
    <t>12547938790</t>
  </si>
  <si>
    <t>TELEFONICA ES</t>
  </si>
  <si>
    <t>CLAUDEMIR GREGOSKI RODRIGUES</t>
  </si>
  <si>
    <t>05144026958</t>
  </si>
  <si>
    <t>CLAUDEMIR MOREIRA</t>
  </si>
  <si>
    <t>75609444004</t>
  </si>
  <si>
    <t>CLAUDINEI AMARAL</t>
  </si>
  <si>
    <t>10433881844</t>
  </si>
  <si>
    <t>CLAUDINEI VICENTE DE LIMA</t>
  </si>
  <si>
    <t>91920795987</t>
  </si>
  <si>
    <t>CLAUDIO DONIZETE DA SILVA</t>
  </si>
  <si>
    <t>93457235953</t>
  </si>
  <si>
    <t>CLAUDIO RENALDI NUNES</t>
  </si>
  <si>
    <t>02705722955</t>
  </si>
  <si>
    <t>CLAYTON DE OLIVEIRA</t>
  </si>
  <si>
    <t>02928835954</t>
  </si>
  <si>
    <t>CLEBERSON APARECIDO BORGES DOS SANTOS</t>
  </si>
  <si>
    <t>05864921947</t>
  </si>
  <si>
    <t>CLERITON BACILA DOS SANTOS</t>
  </si>
  <si>
    <t>05456615959</t>
  </si>
  <si>
    <t>NET CTA PR</t>
  </si>
  <si>
    <t>CLEVERSON PAULOUSKI</t>
  </si>
  <si>
    <t>08609699919</t>
  </si>
  <si>
    <t>CREOL APARECIDO DOS SANTOS</t>
  </si>
  <si>
    <t>03363725906</t>
  </si>
  <si>
    <t>CRISTIANO ANESIO GOMES DO NASCIMENTO</t>
  </si>
  <si>
    <t>02862032786</t>
  </si>
  <si>
    <t>CEF INTERIOR RJ</t>
  </si>
  <si>
    <t>DANIEL DA SILVA LOPES</t>
  </si>
  <si>
    <t>94288259053</t>
  </si>
  <si>
    <t>NET APOIO SC</t>
  </si>
  <si>
    <t>DANIEL SANTOS DE ASSUNCAO</t>
  </si>
  <si>
    <t>97592439549</t>
  </si>
  <si>
    <t>BANCO ITAU BA</t>
  </si>
  <si>
    <t>DANIELA CARVALHO STAHLER</t>
  </si>
  <si>
    <t>01066881030</t>
  </si>
  <si>
    <t>NET APOIO RS</t>
  </si>
  <si>
    <t>DANILO ZANATTA LUCIANO</t>
  </si>
  <si>
    <t>06285125970</t>
  </si>
  <si>
    <t>DAVID DA SILVA PEREIRA</t>
  </si>
  <si>
    <t>02344854002</t>
  </si>
  <si>
    <t>DEFENSORIA PUBLICA RS</t>
  </si>
  <si>
    <t>DAVID DE OLIVEIRA FRIGERIO</t>
  </si>
  <si>
    <t>04817177900</t>
  </si>
  <si>
    <t>CEF NORTE PR</t>
  </si>
  <si>
    <t>DAVID VICHI DE BRITO</t>
  </si>
  <si>
    <t>21641472863</t>
  </si>
  <si>
    <t>CEF FACILITIES PE</t>
  </si>
  <si>
    <t>DEBORA ARAUJO FIGUEIREDO</t>
  </si>
  <si>
    <t>85225720030</t>
  </si>
  <si>
    <t>DRF NOVO HAMBURGO RS</t>
  </si>
  <si>
    <t>DEISE SOARES DE CAMPOS</t>
  </si>
  <si>
    <t>69116709004</t>
  </si>
  <si>
    <t>DELVANO AILTON DA SILVA</t>
  </si>
  <si>
    <t>05289382666</t>
  </si>
  <si>
    <t>DENILSO DIDONE</t>
  </si>
  <si>
    <t>04859818903</t>
  </si>
  <si>
    <t>DENIS FERREIRA DA SILVA</t>
  </si>
  <si>
    <t>06637541435</t>
  </si>
  <si>
    <t>ORIGEM ENERGIA AL</t>
  </si>
  <si>
    <t>DHIEGO RIBEIRO DINIZ</t>
  </si>
  <si>
    <t>00049250256</t>
  </si>
  <si>
    <t>DIEGO DE ALCANTARA MOTA MENDES</t>
  </si>
  <si>
    <t>09407167631</t>
  </si>
  <si>
    <t>DIEGO DOS SANTOS DE JESUS</t>
  </si>
  <si>
    <t>05769658550</t>
  </si>
  <si>
    <t>PTB MARAGOGIPE BA</t>
  </si>
  <si>
    <t>DIEGO GRIME DE MELO</t>
  </si>
  <si>
    <t>05597823906</t>
  </si>
  <si>
    <t>DIEGO JOSE DE PAULO</t>
  </si>
  <si>
    <t>01553544692</t>
  </si>
  <si>
    <t>DIVAN ALVES DE AMORIM</t>
  </si>
  <si>
    <t>11422891844</t>
  </si>
  <si>
    <t>DOMINIQUE SILVA DE SOUZA</t>
  </si>
  <si>
    <t>00851999077</t>
  </si>
  <si>
    <t>DOUGLAS BRUCK MACHADO</t>
  </si>
  <si>
    <t>03241621030</t>
  </si>
  <si>
    <t>DOUGLAS TIAGO DE OLIVEIRA</t>
  </si>
  <si>
    <t>08492402989</t>
  </si>
  <si>
    <t>DOUGLAS WESLEN CARDOSO DOS SANTOS</t>
  </si>
  <si>
    <t>08784554932</t>
  </si>
  <si>
    <t>EDER AUGUSTO DE ARAUJO CARVALHO</t>
  </si>
  <si>
    <t>03985382638</t>
  </si>
  <si>
    <t>EDER MEDICI</t>
  </si>
  <si>
    <t>03040370952</t>
  </si>
  <si>
    <t>EDERSON LUIS BARROS DA ROSA</t>
  </si>
  <si>
    <t>04614285988</t>
  </si>
  <si>
    <t>EDEVALDO DUTRA GONCALVES</t>
  </si>
  <si>
    <t>00312735057</t>
  </si>
  <si>
    <t>NET LITORAL PR</t>
  </si>
  <si>
    <t>EDIBERTO GEORGE RELIQUIAS</t>
  </si>
  <si>
    <t>34596010862</t>
  </si>
  <si>
    <t>CEF FACILITIES SP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</si>
  <si>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</si>
  <si>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</si>
  <si>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</si>
  <si>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</si>
  <si>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</si>
  <si>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</si>
  <si>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EDSON CALIXTO THOMAZ</t>
  </si>
  <si>
    <t>05765681719</t>
  </si>
  <si>
    <t>EDSON VEIGA SILVEIRA</t>
  </si>
  <si>
    <t>62063774072</t>
  </si>
  <si>
    <t>EDUARDO ANDREY VENSON SILVA</t>
  </si>
  <si>
    <t>02960685946</t>
  </si>
  <si>
    <t>CEF OESTE SC</t>
  </si>
  <si>
    <t>EDUARDO SANTOS</t>
  </si>
  <si>
    <t>91270529072</t>
  </si>
  <si>
    <t>ELIANDRO BRUNING</t>
  </si>
  <si>
    <t>00461757923</t>
  </si>
  <si>
    <t>EMERSON CHOUBI PRADO</t>
  </si>
  <si>
    <t>29722576852</t>
  </si>
  <si>
    <t>EMERSON LEITE DE BARROS</t>
  </si>
  <si>
    <t>34168918807</t>
  </si>
  <si>
    <t>PTB INFRA SUDESTE</t>
  </si>
  <si>
    <t>ENZIO CARVALHO DA MOTA</t>
  </si>
  <si>
    <t>38548259515</t>
  </si>
  <si>
    <t>ERICO BRUNO DA SILVA MATOS</t>
  </si>
  <si>
    <t>00011945265</t>
  </si>
  <si>
    <t>ERICSON PINHEIRO DOS SANTOS</t>
  </si>
  <si>
    <t>29157549850</t>
  </si>
  <si>
    <t>EVERSON ESTEVES DOS SANTOS</t>
  </si>
  <si>
    <t>01755089090</t>
  </si>
  <si>
    <t>PTB REDUC RJ</t>
  </si>
  <si>
    <t>EVERTON CAMARGO DE LOURETO</t>
  </si>
  <si>
    <t>91688205004</t>
  </si>
  <si>
    <t>CEF VALE SINOS RS</t>
  </si>
  <si>
    <t>FABIO DA CONCEICAO LIMA</t>
  </si>
  <si>
    <t>31275798888</t>
  </si>
  <si>
    <t>PTB UTGCA SP</t>
  </si>
  <si>
    <t>FABIO DIOGO BITTENCOURT</t>
  </si>
  <si>
    <t>00526143959</t>
  </si>
  <si>
    <t>CEF CENTRO GAUCHO RS</t>
  </si>
  <si>
    <t>FABIO HENRIQUE PECORARI CRUZ</t>
  </si>
  <si>
    <t>39297665829</t>
  </si>
  <si>
    <t>FABIO MARTINS BORGES</t>
  </si>
  <si>
    <t>05492458981</t>
  </si>
  <si>
    <t>FABIO PROVESI</t>
  </si>
  <si>
    <t>05731312958</t>
  </si>
  <si>
    <t>BB SERET SC</t>
  </si>
  <si>
    <t>FELIPE JOSE DE ALBUQUERQUE OLIVEIRA</t>
  </si>
  <si>
    <t>73574031491</t>
  </si>
  <si>
    <t>FELIPE MORAES COSTA DE BRITTO</t>
  </si>
  <si>
    <t>04347084102</t>
  </si>
  <si>
    <t>INSS MT</t>
  </si>
  <si>
    <t>FERNANDO RODRIGUES DUARTE</t>
  </si>
  <si>
    <t>03377983112</t>
  </si>
  <si>
    <t>FILIPE MENEZES KLING</t>
  </si>
  <si>
    <t>10664298710</t>
  </si>
  <si>
    <t>PTB CENPES RJ</t>
  </si>
  <si>
    <t>FLAVIO FERNANDES DOS REIS LIMA</t>
  </si>
  <si>
    <t>01767960107</t>
  </si>
  <si>
    <t>TELEFONICA CO</t>
  </si>
  <si>
    <t>FLAVIO HENRIQUE ALVES ROMERO</t>
  </si>
  <si>
    <t>82871396000</t>
  </si>
  <si>
    <t>FRANCIELLY FELIX CAVALCANTE DE ANDRADE</t>
  </si>
  <si>
    <t>09276240446</t>
  </si>
  <si>
    <t>FRANCINILDO JACKSON DE ALMEIDA ARAUJO</t>
  </si>
  <si>
    <t>07021071400</t>
  </si>
  <si>
    <t>FRANCISCO VALDENIR DE SOUSA</t>
  </si>
  <si>
    <t>79248160387</t>
  </si>
  <si>
    <t>FRANCO CARLOS DALLACQUA</t>
  </si>
  <si>
    <t>34757123850</t>
  </si>
  <si>
    <t>GABRIEL HENRIQUE DALL AGNOL</t>
  </si>
  <si>
    <t>09983432935</t>
  </si>
  <si>
    <t>GENISSON DE PAIVA FERREIRA</t>
  </si>
  <si>
    <t>00714806501</t>
  </si>
  <si>
    <t>BB ARACAJU SE</t>
  </si>
  <si>
    <t>GERSON PEREIRA</t>
  </si>
  <si>
    <t>38950693291</t>
  </si>
  <si>
    <t>GIOVANI DONNANTUONI</t>
  </si>
  <si>
    <t>15226997833</t>
  </si>
  <si>
    <t>BB EDIFICIOS SP</t>
  </si>
  <si>
    <t>GUILHERME FERREIRA DA SILVA</t>
  </si>
  <si>
    <t>41997553813</t>
  </si>
  <si>
    <t>CEF RECIFE PE</t>
  </si>
  <si>
    <t>GUILHERME MATEUS VAZ DOS SANTOS</t>
  </si>
  <si>
    <t>44519188806</t>
  </si>
  <si>
    <t>GUILHERME MOTTA RIBEIRO SILVA</t>
  </si>
  <si>
    <t>11178519740</t>
  </si>
  <si>
    <t>CEF ES</t>
  </si>
  <si>
    <t>GUSTAVO RODRIGUES FARIA</t>
  </si>
  <si>
    <t>10531222926</t>
  </si>
  <si>
    <t>HEDER SILVA CAMPODONICO</t>
  </si>
  <si>
    <t>03066906086</t>
  </si>
  <si>
    <t>HELDER USTULIN</t>
  </si>
  <si>
    <t>37562230862</t>
  </si>
  <si>
    <t>HIGOR KELVYN SILVA AMORIM</t>
  </si>
  <si>
    <t>09199781930</t>
  </si>
  <si>
    <t>TELEFONICA SC</t>
  </si>
  <si>
    <t>HIGOR LUIZ CERQUEIRA</t>
  </si>
  <si>
    <t>33832720871</t>
  </si>
  <si>
    <t>BANCO CENTRAL PREDIAL SP</t>
  </si>
  <si>
    <t>HUGO ALEXANDRE DE SOUSA</t>
  </si>
  <si>
    <t>07646535630</t>
  </si>
  <si>
    <t>ADM FILIAL MG</t>
  </si>
  <si>
    <t>HUGO AZEVEDO SANTOS</t>
  </si>
  <si>
    <t>13514820686</t>
  </si>
  <si>
    <t>PROSEGUR MG</t>
  </si>
  <si>
    <t>HUGO NUNES DA SILVA</t>
  </si>
  <si>
    <t>04370282918</t>
  </si>
  <si>
    <t>ICARO MEDEIROS SILVA</t>
  </si>
  <si>
    <t>01565661338</t>
  </si>
  <si>
    <t>ISAIAS DA SILVA</t>
  </si>
  <si>
    <t>04083479965</t>
  </si>
  <si>
    <t>IVO LUCIANO DA SILVA WAGNER JUNIOR</t>
  </si>
  <si>
    <t>12068745976</t>
  </si>
  <si>
    <t>PATRIMONIO</t>
  </si>
  <si>
    <t>GUILHERME FORTKAMP</t>
  </si>
  <si>
    <t>THIAGO NEVES</t>
  </si>
  <si>
    <t>JACKSON NATAN RODRIGUES DA SILVA</t>
  </si>
  <si>
    <t>01456786288</t>
  </si>
  <si>
    <t>JACSSON MAYLON CASTRO CORREA</t>
  </si>
  <si>
    <t>10206563957</t>
  </si>
  <si>
    <t>JAEDER RODRIGUES JUNIOR</t>
  </si>
  <si>
    <t>07505987607</t>
  </si>
  <si>
    <t>CEF NORDESTE MG</t>
  </si>
  <si>
    <t>JAFER DA FONTOURA AHMAD</t>
  </si>
  <si>
    <t>00041171071</t>
  </si>
  <si>
    <t>CEF PORTO ALEGRE RS</t>
  </si>
  <si>
    <t>JAIME ALVES DE ABREU SILVA</t>
  </si>
  <si>
    <t>00965306186</t>
  </si>
  <si>
    <t>JAIR ASSIS DA SILVA</t>
  </si>
  <si>
    <t>60377348953</t>
  </si>
  <si>
    <t>JAQUELINE LEVATI PEREIRA</t>
  </si>
  <si>
    <t>01310014264</t>
  </si>
  <si>
    <t>CEF MANAUS AM</t>
  </si>
  <si>
    <t>JAQUELINE ONORIO DOS SANTOS ALVES</t>
  </si>
  <si>
    <t>37258325875</t>
  </si>
  <si>
    <t>JAZEMIR DE SANTANA MARQUES</t>
  </si>
  <si>
    <t>44012861549</t>
  </si>
  <si>
    <t>PTB TRANSMISSAO BA</t>
  </si>
  <si>
    <t>JEAN FABIO OLIVERIO</t>
  </si>
  <si>
    <t>00645883948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</si>
  <si>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</si>
  <si>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</si>
  <si>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</si>
  <si>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</si>
  <si>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</si>
  <si>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</si>
  <si>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JESSICA DE MIRANDA MEDEIROS FELICIANO</t>
  </si>
  <si>
    <t>10137575483</t>
  </si>
  <si>
    <t>CEF PIRACICABA SP</t>
  </si>
  <si>
    <t>JHEFERSON DIASSIS</t>
  </si>
  <si>
    <t>07972796955</t>
  </si>
  <si>
    <t>JOAO ALEXANDRE LIMA</t>
  </si>
  <si>
    <t>10588522996</t>
  </si>
  <si>
    <t>JOAO DA SILVA VIANA</t>
  </si>
  <si>
    <t>88367550978</t>
  </si>
  <si>
    <t>JOELSON FERREIRA DOS SANTOS</t>
  </si>
  <si>
    <t>07690263623</t>
  </si>
  <si>
    <t>CEF SUDESTE MG</t>
  </si>
  <si>
    <t>JOELSON JUNIOR MARTINS DE GOES</t>
  </si>
  <si>
    <t>03528389907</t>
  </si>
  <si>
    <t>UFPR PR</t>
  </si>
  <si>
    <t>JONAS CAVALCANTI DE OLIVEIRA</t>
  </si>
  <si>
    <t>01696239478</t>
  </si>
  <si>
    <t>3R PETROLEUM NE</t>
  </si>
  <si>
    <t>JONAS PAULO DE MATOS</t>
  </si>
  <si>
    <t>69010544915</t>
  </si>
  <si>
    <t>JORGE ANTONIO VARGAS DA SILVA</t>
  </si>
  <si>
    <t>01063690080</t>
  </si>
  <si>
    <t>JORGE NEGRI NETO</t>
  </si>
  <si>
    <t>44997574600</t>
  </si>
  <si>
    <t>PTB TIC NORDESTE</t>
  </si>
  <si>
    <t>JOSE CARLOS BATISTA</t>
  </si>
  <si>
    <t>26652452804</t>
  </si>
  <si>
    <t>JOSE CLAUDIO RIBEIRO</t>
  </si>
  <si>
    <t>61158852649</t>
  </si>
  <si>
    <t>JOSE DO PRADO ROSA</t>
  </si>
  <si>
    <t>78296277972</t>
  </si>
  <si>
    <t>JOSE EUSTAQUIO DE SOUZA</t>
  </si>
  <si>
    <t>27335364191</t>
  </si>
  <si>
    <t>JOSE JONAS FURLANETTO</t>
  </si>
  <si>
    <t>55889913115</t>
  </si>
  <si>
    <t>JOSE NEI DOS SANTOS DUTRA</t>
  </si>
  <si>
    <t>55278612053</t>
  </si>
  <si>
    <t>JOSE NILDA DA CUNHA</t>
  </si>
  <si>
    <t>69808112900</t>
  </si>
  <si>
    <t>JOSE VICTOR ARAUJO FELIX</t>
  </si>
  <si>
    <t>06323566346</t>
  </si>
  <si>
    <t>JOSE WILKESON OLIVEIRA SILVA</t>
  </si>
  <si>
    <t>03393455354</t>
  </si>
  <si>
    <t>PTB LUBNOR CE</t>
  </si>
  <si>
    <t>JOSEANE DA SILVA SOUZA</t>
  </si>
  <si>
    <t>71944885234</t>
  </si>
  <si>
    <t>JULIANO MESSIAS MOREIRA DE LIMA</t>
  </si>
  <si>
    <t>10649064941</t>
  </si>
  <si>
    <t>JULIO CESAR ALVES DA ROCHA</t>
  </si>
  <si>
    <t>02265549967</t>
  </si>
  <si>
    <t>JUNIO VICENTE BARBOSA</t>
  </si>
  <si>
    <t>10054353670</t>
  </si>
  <si>
    <t>JUSTINO NOGUEIRA PEIXOTO JUNIOR</t>
  </si>
  <si>
    <t>09246793790</t>
  </si>
  <si>
    <t>PTB EDISE RJ</t>
  </si>
  <si>
    <t>KATIA RESENDE DA SILVA</t>
  </si>
  <si>
    <t>45154701836</t>
  </si>
  <si>
    <t>KLEBER SILVA DA SILVA</t>
  </si>
  <si>
    <t>48210811053</t>
  </si>
  <si>
    <t>BB POA RS</t>
  </si>
  <si>
    <t>LAERCIO SOARES CANABARRO</t>
  </si>
  <si>
    <t>58763376091</t>
  </si>
  <si>
    <t>LARISSA SANTOS DA SILVA</t>
  </si>
  <si>
    <t>45120065830</t>
  </si>
  <si>
    <t>BRADESCO MANUT PRINCIPAL SP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</si>
  <si>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</si>
  <si>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</si>
  <si>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</si>
  <si>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</si>
  <si>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</si>
  <si>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</si>
  <si>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</si>
  <si>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</si>
  <si>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LEANDRO FIGUEREDO BELCHIOR</t>
  </si>
  <si>
    <t>26513583802</t>
  </si>
  <si>
    <t>INSS SP</t>
  </si>
  <si>
    <t>LEANDRO GUSMAO MUNIZ</t>
  </si>
  <si>
    <t>13126691790</t>
  </si>
  <si>
    <t>LEANDRO PINTO NUNES</t>
  </si>
  <si>
    <t>08325368730</t>
  </si>
  <si>
    <t>ADM FILIAL SP</t>
  </si>
  <si>
    <t>LEANDRO SOUSA</t>
  </si>
  <si>
    <t>00584427905</t>
  </si>
  <si>
    <t>LEONARDO MURATORI ATHAYDE</t>
  </si>
  <si>
    <t>03374811647</t>
  </si>
  <si>
    <t>CEF FACILITIES CE</t>
  </si>
  <si>
    <t>LEONARDO ORESTES SOARES</t>
  </si>
  <si>
    <t>05892698440</t>
  </si>
  <si>
    <t>LUAN THIAGO DA SILVA</t>
  </si>
  <si>
    <t>08030478437</t>
  </si>
  <si>
    <t>LUCAS CARVALHO DE SOUZA</t>
  </si>
  <si>
    <t>08781221924</t>
  </si>
  <si>
    <t>LUCAS DE PAULA SILVA</t>
  </si>
  <si>
    <t>08204909977</t>
  </si>
  <si>
    <t>LUCAS HENRIQUE ALVES DE OLIVEIRA</t>
  </si>
  <si>
    <t>10977673618</t>
  </si>
  <si>
    <t>LUCAS HENRIQUE CORREA DOS SANTOS</t>
  </si>
  <si>
    <t>10652119964</t>
  </si>
  <si>
    <t>LUCAS HENRIQUE PINHO</t>
  </si>
  <si>
    <t>45211709861</t>
  </si>
  <si>
    <t>LUCAS MARTINS MACAN</t>
  </si>
  <si>
    <t>00975748998</t>
  </si>
  <si>
    <t>CEF CEARA</t>
  </si>
  <si>
    <t>LUCAS PEREIRA GONCALVES</t>
  </si>
  <si>
    <t>11128978601</t>
  </si>
  <si>
    <t>LUCAS RODRIGUES DE MOURA GALVAO</t>
  </si>
  <si>
    <t>04013986175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</si>
  <si>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</si>
  <si>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</si>
  <si>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</si>
  <si>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</si>
  <si>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</si>
  <si>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</si>
  <si>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CEF CENTRO NORTE SUL RJ</t>
  </si>
  <si>
    <t>LUDGERO HORACIO DE OLIVEIRA</t>
  </si>
  <si>
    <t>06576198922</t>
  </si>
  <si>
    <t>LUIS FELIPE RAYMUNDO GARCIA</t>
  </si>
  <si>
    <t>06837861999</t>
  </si>
  <si>
    <t>LUIZ FERNANDO CAVALHEIRO</t>
  </si>
  <si>
    <t>03898579980</t>
  </si>
  <si>
    <t>LUIZ GUSTAVO DI GIORGIO</t>
  </si>
  <si>
    <t>29856268893</t>
  </si>
  <si>
    <t>LUIZ PAULO SILVA SOUSA JUNIOR</t>
  </si>
  <si>
    <t>02678045129</t>
  </si>
  <si>
    <t>MARCEL DA HORA CARVALHO</t>
  </si>
  <si>
    <t>01730674500</t>
  </si>
  <si>
    <t>POLICIA FEDERAL BA</t>
  </si>
  <si>
    <t>MARCEL GOMES DE OLIVEIRA</t>
  </si>
  <si>
    <t>29011288823</t>
  </si>
  <si>
    <t>MARCELO CARVALHO DA SILVA</t>
  </si>
  <si>
    <t>69153825004</t>
  </si>
  <si>
    <t>NET CAXIAS RS</t>
  </si>
  <si>
    <t>MARCELO DE ANDRADE CALVETTI</t>
  </si>
  <si>
    <t>02587708052</t>
  </si>
  <si>
    <t>MARCELO DE SOUZA DALA VEDOVA</t>
  </si>
  <si>
    <t>05375810654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</si>
  <si>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</si>
  <si>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</si>
  <si>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</si>
  <si>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</si>
  <si>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</si>
  <si>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</si>
  <si>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MARCIO BOUZAS FERREIRA</t>
  </si>
  <si>
    <t>07318362780</t>
  </si>
  <si>
    <t>VTAL CYBER RJ</t>
  </si>
  <si>
    <t>MARCIO CAMPOS RIBEIRO</t>
  </si>
  <si>
    <t>17427326822</t>
  </si>
  <si>
    <t>MARCIO CORREA DA SILVA</t>
  </si>
  <si>
    <t>98717251087</t>
  </si>
  <si>
    <t>MARCIO DA COSTA JOAO</t>
  </si>
  <si>
    <t>02524841936</t>
  </si>
  <si>
    <t>BB CENOP CURITIBA PR</t>
  </si>
  <si>
    <t>MARCO AURELIO DE ANDRADE MORAES</t>
  </si>
  <si>
    <t>72756284220</t>
  </si>
  <si>
    <t>MARCO AURELIO DE LIMA</t>
  </si>
  <si>
    <t>01356318665</t>
  </si>
  <si>
    <t>TELEFONICA MG</t>
  </si>
  <si>
    <t>MARCOS SEGER</t>
  </si>
  <si>
    <t>97135631900</t>
  </si>
  <si>
    <t>MARCOS VINICIUS DE SOUZA ALVES</t>
  </si>
  <si>
    <t>11823866603</t>
  </si>
  <si>
    <t xml:space="preserve"> NET LESTE MG</t>
  </si>
  <si>
    <t>MARIA EDUARDA ARAGAO</t>
  </si>
  <si>
    <t>10363402950</t>
  </si>
  <si>
    <t>CEF SUL SC</t>
  </si>
  <si>
    <t>MARLON ARAUJO</t>
  </si>
  <si>
    <t>07774700986</t>
  </si>
  <si>
    <t>MATEUS DE CARVALHO BERTOL</t>
  </si>
  <si>
    <t>01304856674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</si>
  <si>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</si>
  <si>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</si>
  <si>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</si>
  <si>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</si>
  <si>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</si>
  <si>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</si>
  <si>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01816236098</t>
  </si>
  <si>
    <t>MAURO PEDRO SAUGO</t>
  </si>
  <si>
    <t>90573625972</t>
  </si>
  <si>
    <t>MICHAEL RODRIGUES SANTOS</t>
  </si>
  <si>
    <t>37425574837</t>
  </si>
  <si>
    <t>MICHEL DOS SANTOS VENANCIO</t>
  </si>
  <si>
    <t>06271222994</t>
  </si>
  <si>
    <t>MILTON FERREIRA DAS NEVES JUNIOR</t>
  </si>
  <si>
    <t>05100355581</t>
  </si>
  <si>
    <t>ACELEN AR</t>
  </si>
  <si>
    <t>MOISES DOS SANTOS CABRAL</t>
  </si>
  <si>
    <t>68746458204</t>
  </si>
  <si>
    <t>CEF FAC RO</t>
  </si>
  <si>
    <t>MURILO DE ALMEIDA</t>
  </si>
  <si>
    <t>10521167957</t>
  </si>
  <si>
    <t>BB LESTE PR</t>
  </si>
  <si>
    <t>NEUDO SAMPIETRO</t>
  </si>
  <si>
    <t>04885659957</t>
  </si>
  <si>
    <t>NILSON RODRIGUES CARDOSO JUNIOR</t>
  </si>
  <si>
    <t>04025408325</t>
  </si>
  <si>
    <t>NIVALDO THIAGO DA CRUZ SANTOS</t>
  </si>
  <si>
    <t>04442316929</t>
  </si>
  <si>
    <t>NORMAN CRANI PORTELLA</t>
  </si>
  <si>
    <t>79794157953</t>
  </si>
  <si>
    <t>ODAIR CIRCO SOARES</t>
  </si>
  <si>
    <t>84219122915</t>
  </si>
  <si>
    <t>ORESTE BARBOSA DA SILVA JUNIOR</t>
  </si>
  <si>
    <t>25075562850</t>
  </si>
  <si>
    <t>OSCAR DOMINGO PALARO</t>
  </si>
  <si>
    <t>03067535960</t>
  </si>
  <si>
    <t>PALOMA CARLOS SPINOLA</t>
  </si>
  <si>
    <t>11340265796</t>
  </si>
  <si>
    <t>PAOLA CAROLINI BARBOSA</t>
  </si>
  <si>
    <t>03445951969</t>
  </si>
  <si>
    <t>PTB PREDIAL REPAR PR</t>
  </si>
  <si>
    <t>PATRICK ANTONIEVICZ ALVES</t>
  </si>
  <si>
    <t>06456801923</t>
  </si>
  <si>
    <t>PAULO ALEXANDRE DE AMORIM</t>
  </si>
  <si>
    <t>04179369907</t>
  </si>
  <si>
    <t>PAULO DE FREITAS PEREIRA</t>
  </si>
  <si>
    <t>11634696611</t>
  </si>
  <si>
    <t>PAULO NILTON COSTA MOREIRA</t>
  </si>
  <si>
    <t>45159599053</t>
  </si>
  <si>
    <t>CEF EXTREMO SUL RS</t>
  </si>
  <si>
    <t>PEDRO DO NASCIMENTO FARO</t>
  </si>
  <si>
    <t>42694515215</t>
  </si>
  <si>
    <t>CENSIPAM PA</t>
  </si>
  <si>
    <t>PITER ROBSON DA SILVA</t>
  </si>
  <si>
    <t>91388686953</t>
  </si>
  <si>
    <t>PRISCILA GOTARDO PEREIRA</t>
  </si>
  <si>
    <t>05168980945</t>
  </si>
  <si>
    <t>RAFAEL ALMEIDA LOPES</t>
  </si>
  <si>
    <t>46850229800</t>
  </si>
  <si>
    <t>RAFAEL AMORIM VELLO</t>
  </si>
  <si>
    <t>01677920599</t>
  </si>
  <si>
    <t>CEF NORTE OESTE BA</t>
  </si>
  <si>
    <t>RAFAEL CARNIEL DA SILVA</t>
  </si>
  <si>
    <t>05337927973</t>
  </si>
  <si>
    <t>RAFAEL NATAL LACHI</t>
  </si>
  <si>
    <t>03710085900</t>
  </si>
  <si>
    <t>RAFAEL PORTO ALVES DA CRUZ</t>
  </si>
  <si>
    <t>11914988671</t>
  </si>
  <si>
    <t>RAFAEL RAMOS DAS NEVES</t>
  </si>
  <si>
    <t>06149576485</t>
  </si>
  <si>
    <t>RAMON GOMES TEIXEIRA</t>
  </si>
  <si>
    <t>83978054515</t>
  </si>
  <si>
    <t>RAQUEL PANTOJA SANTOS</t>
  </si>
  <si>
    <t>89395140259</t>
  </si>
  <si>
    <t>CEF BELEM FACILITIES PA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</si>
  <si>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</si>
  <si>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</si>
  <si>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</si>
  <si>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</si>
  <si>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</si>
  <si>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</si>
  <si>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RICARDO MURCIA GARCIA FILHO</t>
  </si>
  <si>
    <t>27668763830</t>
  </si>
  <si>
    <t>RICARDO ZORZETTO</t>
  </si>
  <si>
    <t>00539580040</t>
  </si>
  <si>
    <t>CEF QUERENCIA RS</t>
  </si>
  <si>
    <t>ROBERTO DOMINGUES PEREIRA</t>
  </si>
  <si>
    <t>81480261068</t>
  </si>
  <si>
    <t>ROBSON DOS SANTOS GUEDES</t>
  </si>
  <si>
    <t>08418392983</t>
  </si>
  <si>
    <t>ROBSON FURTADO</t>
  </si>
  <si>
    <t>05236669936</t>
  </si>
  <si>
    <t>RODRIGO BOLDO</t>
  </si>
  <si>
    <t>27104988807</t>
  </si>
  <si>
    <t>RODRIGO CESAR DOS SANTOS</t>
  </si>
  <si>
    <t>07024923610</t>
  </si>
  <si>
    <t>RODRIGO FRANCISCO CORREA</t>
  </si>
  <si>
    <t>03059202940</t>
  </si>
  <si>
    <t>RODRIGO FRANCISCO DE SOUSA</t>
  </si>
  <si>
    <t>34459886847</t>
  </si>
  <si>
    <t>RODRIGO JOSE DE PAULA</t>
  </si>
  <si>
    <t>03348917956</t>
  </si>
  <si>
    <t>RODRIGO ROBERTO DE SOUZA</t>
  </si>
  <si>
    <t>05664820969</t>
  </si>
  <si>
    <t>BB GRANDE FLORIANOPOLIS SC</t>
  </si>
  <si>
    <t>RODRIGO ROQUE</t>
  </si>
  <si>
    <t>02062513941</t>
  </si>
  <si>
    <t>CORREIOS SAO JOSE SC</t>
  </si>
  <si>
    <t>RODRIGO SANTOS DA SILVA</t>
  </si>
  <si>
    <t>05504962706</t>
  </si>
  <si>
    <t>BANCO ITAU RJ</t>
  </si>
  <si>
    <t>RODRIGO VANZETTA</t>
  </si>
  <si>
    <t>99532344004</t>
  </si>
  <si>
    <t>CEF NORTE GAUCHO RS</t>
  </si>
  <si>
    <t>ROGERIO GOMES DE OLIVEIRA</t>
  </si>
  <si>
    <t>89591640030</t>
  </si>
  <si>
    <t>ROGERIO MACARIO PINTO</t>
  </si>
  <si>
    <t>14355734803</t>
  </si>
  <si>
    <t>RONALDO DE MATOS LELIS</t>
  </si>
  <si>
    <t>47502843604</t>
  </si>
  <si>
    <t>RONALDO RUFINO SANTANA</t>
  </si>
  <si>
    <t>29758827855</t>
  </si>
  <si>
    <t>SANDRO BARRETO DE SOUZA</t>
  </si>
  <si>
    <t>78021324953</t>
  </si>
  <si>
    <t>SANDRO CAPISTRANO</t>
  </si>
  <si>
    <t>16996346886</t>
  </si>
  <si>
    <t>SANDRO QUITERIO LOPES DOS SANTOS</t>
  </si>
  <si>
    <t>02988581428</t>
  </si>
  <si>
    <t>POLICIA FEDERAL AL</t>
  </si>
  <si>
    <t>SARA ARAGAO DA SILVA BARBOSA</t>
  </si>
  <si>
    <t>49637513809</t>
  </si>
  <si>
    <t>BANCO ITAU SP</t>
  </si>
  <si>
    <t>SAULO ARAUJO DE PAULA</t>
  </si>
  <si>
    <t>31040091806</t>
  </si>
  <si>
    <t>SERGIO ESTEVAM DEBIAZI</t>
  </si>
  <si>
    <t>02063139342</t>
  </si>
  <si>
    <t>CONTRATO SUSPENSO</t>
  </si>
  <si>
    <t>SIDNEI FRANCISCO DA SILVA</t>
  </si>
  <si>
    <t>02224415931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</si>
  <si>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</si>
  <si>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</si>
  <si>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</si>
  <si>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</si>
  <si>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</si>
  <si>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</si>
  <si>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</si>
  <si>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SILVIO VINICIUS PINHEIRO GOES</t>
  </si>
  <si>
    <t>51182084168</t>
  </si>
  <si>
    <t>TEOFILO TOLLENDAL PACHECO</t>
  </si>
  <si>
    <t>26687333836</t>
  </si>
  <si>
    <t>TERCILA DA SILVA LOPES</t>
  </si>
  <si>
    <t>67752721387</t>
  </si>
  <si>
    <t>THALITA MANCILIO DIAS GONDIM</t>
  </si>
  <si>
    <t>30941372880</t>
  </si>
  <si>
    <t>THIAGO DE MEDEIROS VANZELER</t>
  </si>
  <si>
    <t>11590627733</t>
  </si>
  <si>
    <t>THIAGO PEREIRA DE LIMA</t>
  </si>
  <si>
    <t>06478105490</t>
  </si>
  <si>
    <t>THIAGO SEPULVEDA CUNHA</t>
  </si>
  <si>
    <t>47111830865</t>
  </si>
  <si>
    <t>BB SUDESTE MG</t>
  </si>
  <si>
    <t>THIEGO LEANDRO ALVES DE OLIVEIRA</t>
  </si>
  <si>
    <t>07198282440</t>
  </si>
  <si>
    <t>TIAGO DE JESUS ARAUJO</t>
  </si>
  <si>
    <t>04661413199</t>
  </si>
  <si>
    <t>TIAGO DE OLIVEIRA PAIVA</t>
  </si>
  <si>
    <t>10491624719</t>
  </si>
  <si>
    <t>PTB REVAP REVITALIZACAO</t>
  </si>
  <si>
    <t>TIAGO FERNANDES SANTOS DE OLIVEIRA</t>
  </si>
  <si>
    <t>00849381533</t>
  </si>
  <si>
    <t>CARMO ENERGY</t>
  </si>
  <si>
    <t>TULIO VELOSO HONORATO</t>
  </si>
  <si>
    <t>12609931670</t>
  </si>
  <si>
    <t>UBIRAJARA DE ARAUJO TEIXEIRA</t>
  </si>
  <si>
    <t>74548565949</t>
  </si>
  <si>
    <t>BB APOIO PR</t>
  </si>
  <si>
    <t>UELITON SANTANA SANTOS</t>
  </si>
  <si>
    <t>03686605597</t>
  </si>
  <si>
    <t>TRANSPETRO BA</t>
  </si>
  <si>
    <t>ULISSES FERREIRA DE OLIVEIRA</t>
  </si>
  <si>
    <t>01595939644</t>
  </si>
  <si>
    <t>VALDIR LEONARDO VOIGT</t>
  </si>
  <si>
    <t>48089869904</t>
  </si>
  <si>
    <t>VANDERLEI DE SOUZA NORONHA JUNIOR</t>
  </si>
  <si>
    <t>37695259810</t>
  </si>
  <si>
    <t>VANDERLEI DOS SANTOS</t>
  </si>
  <si>
    <t>21262405840</t>
  </si>
  <si>
    <t>VICTOR MIGUEL PALARO</t>
  </si>
  <si>
    <t>09265596996</t>
  </si>
  <si>
    <t>VICTOR SIGOLO PINHEIRO PIMENTA</t>
  </si>
  <si>
    <t>12237490619</t>
  </si>
  <si>
    <t>VINICIUS PEIXOTO BONETTI</t>
  </si>
  <si>
    <t>09785002969</t>
  </si>
  <si>
    <t>WAGNER DOS SANTOS PEREIRA</t>
  </si>
  <si>
    <t>94512043004</t>
  </si>
  <si>
    <t>BB SHOPPING ESTACAO PR</t>
  </si>
  <si>
    <t>WALTER DE CAMPOS NUNES NETO</t>
  </si>
  <si>
    <t>99114160030</t>
  </si>
  <si>
    <t>CLARO INFRA RS</t>
  </si>
  <si>
    <t>WELERSON PUFF RODRIGUES</t>
  </si>
  <si>
    <t>04352219657</t>
  </si>
  <si>
    <t>WELLINGTON ARION TAVARES</t>
  </si>
  <si>
    <t>04747951954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</si>
  <si>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</si>
  <si>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</si>
  <si>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</si>
  <si>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</si>
  <si>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</si>
  <si>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</si>
  <si>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</si>
  <si>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</si>
  <si>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</si>
  <si>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</si>
  <si>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</si>
  <si>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</si>
  <si>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</si>
  <si>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</si>
  <si>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</si>
  <si>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</si>
  <si>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</si>
  <si>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</si>
  <si>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</si>
  <si>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</si>
  <si>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</si>
  <si>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</si>
  <si>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</si>
  <si>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</si>
  <si>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 ANTONIO JACINTO</t>
  </si>
  <si>
    <t>dirson4867@yahoo.com</t>
  </si>
  <si>
    <t>adilsoncamargo@eqseng.com.br</t>
  </si>
  <si>
    <t>ADILSON RODRIGUES FERREIRA</t>
  </si>
  <si>
    <t>adilson.ferreira@eqsengenharia.com.br</t>
  </si>
  <si>
    <t>Intermediário</t>
  </si>
  <si>
    <t>adivarjunior@gmail.com</t>
  </si>
  <si>
    <t>ADMILSON DA SILVA FARIAS</t>
  </si>
  <si>
    <t>admilsonfarias2016@gmail.com</t>
  </si>
  <si>
    <t>admilsongalan@gmail.com</t>
  </si>
  <si>
    <t>ADRIANA DA CONCEICAO PEREIRA DE MELO</t>
  </si>
  <si>
    <t>adriana.melo@eqsengenharia.com.br</t>
  </si>
  <si>
    <t>ADRIANE CARON</t>
  </si>
  <si>
    <t>adriane.caron@eqseng.com.br</t>
  </si>
  <si>
    <t>ADRIANO BORGES TEIXEIRA</t>
  </si>
  <si>
    <t>adrianoteixeiraeletricista@gmail.com</t>
  </si>
  <si>
    <t>adriano.paula@eqsengenharia.com.br</t>
  </si>
  <si>
    <t>adson.silva@eqsengenharia.com.br</t>
  </si>
  <si>
    <t>adson.santos@eqsengenharia.com.br</t>
  </si>
  <si>
    <t>AFONSO FIORELLO CARVALHO</t>
  </si>
  <si>
    <t>afonso.fiorello@eqsengenharia.com.br</t>
  </si>
  <si>
    <t>agno.teles@eqsengenharia.com.br</t>
  </si>
  <si>
    <t>AILTON MENDES AGUILAR</t>
  </si>
  <si>
    <t>ailtonaguilarmg@gmail.com</t>
  </si>
  <si>
    <t>alaerte.junior@eqsengenharia.com.br</t>
  </si>
  <si>
    <t>alan.andrade@eqseng.com.br</t>
  </si>
  <si>
    <t>ALAN WAGNER MEDEIROS DE SOUZA</t>
  </si>
  <si>
    <t>alan.peacv@gmail.com</t>
  </si>
  <si>
    <t>ALEKSANDER GONCALVES DE ALMEIDA</t>
  </si>
  <si>
    <t>aleksalmeida1988@gmail.com</t>
  </si>
  <si>
    <t>alessandrooa@bol.com.br</t>
  </si>
  <si>
    <t>pastrellia044@gmail.com</t>
  </si>
  <si>
    <t>ALEX CARVALHO DOS SANTOS</t>
  </si>
  <si>
    <t>alexcarvalhosantos05@gmail.com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</si>
  <si>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</si>
  <si>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</si>
  <si>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</si>
  <si>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</si>
  <si>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</si>
  <si>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</si>
  <si>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MACHADO DA CONCEICAO</t>
  </si>
  <si>
    <t>alexandre.conceicao@eqsengenharia.com.br</t>
  </si>
  <si>
    <t>ALEXANDRE PIRES DE JESUS</t>
  </si>
  <si>
    <t>pireseqs@gmail.com</t>
  </si>
  <si>
    <t>ALEXSANDRO RAULINO DOS SANTOS</t>
  </si>
  <si>
    <t>alexsandroraulino843@gmail.com</t>
  </si>
  <si>
    <t>ALEXSANDRO SANTOS DA CONCEICAO</t>
  </si>
  <si>
    <t>alexsandro.conceicao@eqsengenharia.com.br</t>
  </si>
  <si>
    <t>alirio.valentim@eqseng.com.br</t>
  </si>
  <si>
    <t>alisonsilva-artur@hotmail.com</t>
  </si>
  <si>
    <t>alisson.rambo@eqseng.com.br</t>
  </si>
  <si>
    <t>ALLANCRISTIAN20@HOTMAIL.COM</t>
  </si>
  <si>
    <t>allan.rodrigues@eqsengenharia.com.br</t>
  </si>
  <si>
    <t>ALMIR DA SILVA SOARES</t>
  </si>
  <si>
    <t>almirdasilvasoares@gmail.com</t>
  </si>
  <si>
    <t>jocabertol@gmail.com</t>
  </si>
  <si>
    <t>primeraalvaro51@gmail.com</t>
  </si>
  <si>
    <t>amanda.cristina@eqsengenharia.com.br</t>
  </si>
  <si>
    <t>AMARAL RODRIGUES NUNES</t>
  </si>
  <si>
    <t>AMARALNUNES2012@HOTMAIL.COM</t>
  </si>
  <si>
    <t>ANA CRISTINA FREIRE HOLANDA</t>
  </si>
  <si>
    <t>ana.holanda@eqsengenharia.com.br</t>
  </si>
  <si>
    <t>anderson.perez@eqsengenharia.com.br</t>
  </si>
  <si>
    <t>ANDERSON FERNANDES DE ALMEIDA</t>
  </si>
  <si>
    <t>dyttofernandesalmeida1@gmail.com</t>
  </si>
  <si>
    <t>ANDERSON GOMES</t>
  </si>
  <si>
    <t>eqsengenharia.jlle@gmail.com</t>
  </si>
  <si>
    <t>ANDERSON LUIS GONCALVES</t>
  </si>
  <si>
    <t>andygoncalves011@gmail.com</t>
  </si>
  <si>
    <t>ANDERSON MARTINS ELIZEU</t>
  </si>
  <si>
    <t>elizeuandersonmartins@gmail.com</t>
  </si>
  <si>
    <t>anderson.vieira@eqsengenharia.com.br</t>
  </si>
  <si>
    <t>andre.meister@eqsengenharia.com.br</t>
  </si>
  <si>
    <t>ANDRE CHAVES LIMA</t>
  </si>
  <si>
    <t>andre.chaves@eqsengenharia.com.br</t>
  </si>
  <si>
    <t>ANDRE DE MOURA ESCOBAR</t>
  </si>
  <si>
    <t>andre.escobar@eqseng.com.br</t>
  </si>
  <si>
    <t>ANDRE LUIZ COSTA CHAVES</t>
  </si>
  <si>
    <t>andre4602@gmail.com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</si>
  <si>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</si>
  <si>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</si>
  <si>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</si>
  <si>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</si>
  <si>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</si>
  <si>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</si>
  <si>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</si>
  <si>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 INDIRA SANTANA AGGIO</t>
  </si>
  <si>
    <t>andresa.aggio@eqsengenharia.com.br</t>
  </si>
  <si>
    <t>ANDREY CARDOSO REGINALDO</t>
  </si>
  <si>
    <t>andrey.reginaldo@eqsengenharia.com.br</t>
  </si>
  <si>
    <t>Administrador</t>
  </si>
  <si>
    <t>Gestor de Contas</t>
  </si>
  <si>
    <t>ANELISE MENDONCA DE AVILA</t>
  </si>
  <si>
    <t>anelise@eqsengenharia.com.br</t>
  </si>
  <si>
    <t>Angelica Sampaio Sousa</t>
  </si>
  <si>
    <t>angelica.sousa@eqsengenharia.com.br</t>
  </si>
  <si>
    <t>angelica.amarante@eqsengenharia.com.br</t>
  </si>
  <si>
    <t>antonio@eqseng.com.br</t>
  </si>
  <si>
    <t>adimendonca@gmail.com</t>
  </si>
  <si>
    <t>antonio.j1.silva26@gmail.com</t>
  </si>
  <si>
    <t>camargo0713@hotmail.com</t>
  </si>
  <si>
    <t>ANTONIO MARCOS DE SOUZA</t>
  </si>
  <si>
    <t>amssouzaeqs@hotmail.com</t>
  </si>
  <si>
    <t>arley.luz@eqsengenharia.com.br</t>
  </si>
  <si>
    <t>ARNALDO VARGAS NETO</t>
  </si>
  <si>
    <t>arnaldo211vargas@gmail.com</t>
  </si>
  <si>
    <t>arthur.gomes@eqsengenharia.com.br</t>
  </si>
  <si>
    <t>arthursantos58@live.com</t>
  </si>
  <si>
    <t>arturpagani@gmail.com</t>
  </si>
  <si>
    <t>ATILA LOPES DE MOURA</t>
  </si>
  <si>
    <t>atila_moura@hotmail.com</t>
  </si>
  <si>
    <t>auro.pedroso@eqsengenharia.com.br</t>
  </si>
  <si>
    <t>beatriz.siqueira@eqseng.com.br</t>
  </si>
  <si>
    <t>mmcanoas@hotmail.com</t>
  </si>
  <si>
    <t>brunalais_ac@hotmail.com</t>
  </si>
  <si>
    <t>bruna.pessoa@eqsengenharia.com.br</t>
  </si>
  <si>
    <t>bruninhopacheco44@gmail.com</t>
  </si>
  <si>
    <t>bruno@eqsengenharia.com.br</t>
  </si>
  <si>
    <t>BRUNO EDUARDO SOLANO</t>
  </si>
  <si>
    <t>bruno.solano@eqsengenharia.com.br</t>
  </si>
  <si>
    <t>brunoenf02@icloud.com</t>
  </si>
  <si>
    <t>BRUNO LOPES DE CAMARGO</t>
  </si>
  <si>
    <t>brunolopes15061991@gmail.com</t>
  </si>
  <si>
    <t>bruno.dias@eqsengenharia.com.br</t>
  </si>
  <si>
    <t>caio.ribeiro@eqsengenharia.com.br</t>
  </si>
  <si>
    <t>caios.nunes@eqsengenharia.com.br</t>
  </si>
  <si>
    <t>CAMILA DE FRANCA FARIA</t>
  </si>
  <si>
    <t>camila.faria@eqsengenharia.com.br</t>
  </si>
  <si>
    <t>camila.veloso@bcb.gov.br</t>
  </si>
  <si>
    <t>CAMILA DOS SANTOS DO LIVRAMENTO</t>
  </si>
  <si>
    <t>camila@eqsengenharia.com.br</t>
  </si>
  <si>
    <t>carlos.gigi@eqseng.com.br</t>
  </si>
  <si>
    <t>carlos.eduardo@eqsengenharia.com.br</t>
  </si>
  <si>
    <t>CARLOS FERNANDO PAINES SILVA</t>
  </si>
  <si>
    <t>carlospaines@hotmail.com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</si>
  <si>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</si>
  <si>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</si>
  <si>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</si>
  <si>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</si>
  <si>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</si>
  <si>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</si>
  <si>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</si>
  <si>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</si>
  <si>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</si>
  <si>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</si>
  <si>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</si>
  <si>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</si>
  <si>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Celio Goncalves de Oliveira Junior</t>
  </si>
  <si>
    <t>CELIO.OLIVEIRA.CJ@GMAIL.COM</t>
  </si>
  <si>
    <t>CELSO ROGERIO DE OLIVEIRA</t>
  </si>
  <si>
    <t>celso.rogerio@eqsengenharia.com.br</t>
  </si>
  <si>
    <t>cmattyuzzy@gmail.com</t>
  </si>
  <si>
    <t>CHARLYTON COSTA ANDRADE</t>
  </si>
  <si>
    <t>charlyton.andrade@eqsengenharia.com.br</t>
  </si>
  <si>
    <t>CINTIA DOS SANTOS RABELO</t>
  </si>
  <si>
    <t>cintia.rabelo@eqsengenharia.com.br</t>
  </si>
  <si>
    <t>claudemir.rodrigues@eqsengenharia.com.br</t>
  </si>
  <si>
    <t>claudemir.moreura054@gmail.com</t>
  </si>
  <si>
    <t>amaralclaudinei@hotmail.com</t>
  </si>
  <si>
    <t>claudinei.lima@eqsengenharia.com.br</t>
  </si>
  <si>
    <t>claudiodonizete8321@gmail.com</t>
  </si>
  <si>
    <t>clrenaldinunes@gmail.com</t>
  </si>
  <si>
    <t>claytonpr@gmail.com</t>
  </si>
  <si>
    <t>binhoclebersonsantos@gmail.com</t>
  </si>
  <si>
    <t>CLEDIVALDO DINIZ BERNARDO</t>
  </si>
  <si>
    <t>DINIZCLEDIVALDO@GMAIL.COM</t>
  </si>
  <si>
    <t>Cartão não habilitado</t>
  </si>
  <si>
    <t>CLEITON DA SILVA MONTALVAO</t>
  </si>
  <si>
    <t>cleiton.montalvao@eqsengenharia.com.br</t>
  </si>
  <si>
    <t>CLEITON TAVARES JARDIM</t>
  </si>
  <si>
    <t>tavarescleiton1986@gmail.com</t>
  </si>
  <si>
    <t>cleriton.santos@hotmail.com</t>
  </si>
  <si>
    <t>bmx_sdr@hotmail.com</t>
  </si>
  <si>
    <t>CLOVIS RICARDO PALHARES E CORDEIRO</t>
  </si>
  <si>
    <t>clovisricardo@hotmail.com</t>
  </si>
  <si>
    <t>conf</t>
  </si>
  <si>
    <t>conf@eqsengenharia.com.br</t>
  </si>
  <si>
    <t>creol.santos@gmail.com</t>
  </si>
  <si>
    <t>cristiano.anesio@gmail.com</t>
  </si>
  <si>
    <t>CRISTIANO DA SILVA VALADARES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</si>
  <si>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</si>
  <si>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</si>
  <si>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</si>
  <si>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</si>
  <si>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</si>
  <si>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</si>
  <si>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dsassuncao@hotmail.com</t>
  </si>
  <si>
    <t>daniela.carvalho@eqsengenharia.com.br</t>
  </si>
  <si>
    <t>danilo.zanatta@eqseng.com.br</t>
  </si>
  <si>
    <t>DARLAN SPIER PAZ</t>
  </si>
  <si>
    <t>darlan@eqsengenharia.com.br</t>
  </si>
  <si>
    <t>davidspereira92@gmail.com</t>
  </si>
  <si>
    <t>david.frigerio@eqsengenharia.com.br</t>
  </si>
  <si>
    <t>david.brito@eqsengenharia.com.br</t>
  </si>
  <si>
    <t>deboraaf2017@gmail.com</t>
  </si>
  <si>
    <t>deise@eqsengenharia.com.br</t>
  </si>
  <si>
    <t>delvano.silva@eqsengenharia.com.br</t>
  </si>
  <si>
    <t>DEMETRIUS LOPES GIANGROSSI</t>
  </si>
  <si>
    <t>demetriusgiangrossi@gmail.com</t>
  </si>
  <si>
    <t>denilsodidone@gmail.com</t>
  </si>
  <si>
    <t>DENILSON PERRIM NAVARRO</t>
  </si>
  <si>
    <t>denilson.navarro@eqsengenharia.com.br</t>
  </si>
  <si>
    <t>denis.silva@eqsengenharia.com.br</t>
  </si>
  <si>
    <t>DENIVALDO GONCALVES MIRANDA</t>
  </si>
  <si>
    <t>denisvzp@gmail.com</t>
  </si>
  <si>
    <t>dhiego.diniz@eqsengenharia.com.br</t>
  </si>
  <si>
    <t>diegoalcan@hotmail.com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</si>
  <si>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</si>
  <si>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</si>
  <si>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</si>
  <si>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</si>
  <si>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</si>
  <si>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divanmiroma@gmail.com</t>
  </si>
  <si>
    <t>DIVANIA RITA DE SOUSA ASSIS FREITAS</t>
  </si>
  <si>
    <t>divaniarita@yahoo.com.br</t>
  </si>
  <si>
    <t>DJONATAN JULIO GORGES VENTURI</t>
  </si>
  <si>
    <t>djony254@gmail.com</t>
  </si>
  <si>
    <t>DMITRI MORAIS DA SILVA</t>
  </si>
  <si>
    <t>dmitri92silva@gmail.com</t>
  </si>
  <si>
    <t>dominique.souza@eqseng.com.br</t>
  </si>
  <si>
    <t>bruckdoug@gmail.com</t>
  </si>
  <si>
    <t>odouglastiago@gmail.com</t>
  </si>
  <si>
    <t>DOUGLAS VENTURA SILVEIRA</t>
  </si>
  <si>
    <t>douglas.silveira@eqseng.com.br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</si>
  <si>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</si>
  <si>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</si>
  <si>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</si>
  <si>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</si>
  <si>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</si>
  <si>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 GUIZOLFI PEREIRA</t>
  </si>
  <si>
    <t>ederson.pereira@eqseng.com.br</t>
  </si>
  <si>
    <t>Ederson_tjmsn@hotmail.com</t>
  </si>
  <si>
    <t>EDERSON STRELOW</t>
  </si>
  <si>
    <t>strelowederson@gmail.com</t>
  </si>
  <si>
    <t>ede_dutra@hotmail.com</t>
  </si>
  <si>
    <t>ediberto@eqseng.com.br</t>
  </si>
  <si>
    <t>EDILENE CRISTIANA DA SILVA ZIMMERMANN</t>
  </si>
  <si>
    <t>cristiana.zimmermann@eqsengenharia.com.br</t>
  </si>
  <si>
    <t>edipo.barreto@eqsengenharia.com.br</t>
  </si>
  <si>
    <t>EDISON FERREIRA GONCALVES</t>
  </si>
  <si>
    <t>edisonfgoncalves@gmail.com</t>
  </si>
  <si>
    <t>EDJUNIO FERNANDES DE SANTANA</t>
  </si>
  <si>
    <t>juniof66.jf@gmail.com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</si>
  <si>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</si>
  <si>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</si>
  <si>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</si>
  <si>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</si>
  <si>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</si>
  <si>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</si>
  <si>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</si>
  <si>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</si>
  <si>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EDSON DA SILVA DELLINGHAUSEN</t>
  </si>
  <si>
    <t>edsondellin@yahoo.com.br</t>
  </si>
  <si>
    <t>edson.silveira@eqsengenharia.com.br</t>
  </si>
  <si>
    <t>EDUARDA CONCEICAO DE ALMEIDA</t>
  </si>
  <si>
    <t>eduarda.almeida@eqsengenharia.com.br</t>
  </si>
  <si>
    <t>eduardo.silva@eqsengenharia.com.br</t>
  </si>
  <si>
    <t>EDUARDO FRAGA DOS REIS</t>
  </si>
  <si>
    <t>eduardo.reis@eqsengenharia.com.br</t>
  </si>
  <si>
    <t>eduardo.santos@eqsengenharia.com.br</t>
  </si>
  <si>
    <t>eliandrobruning@hotmail.com</t>
  </si>
  <si>
    <t>ELIANDRO CUNHA DO NASCIMENTO</t>
  </si>
  <si>
    <t>eliandrocunha2017@hotmail.com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</si>
  <si>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</si>
  <si>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</si>
  <si>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</si>
  <si>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</si>
  <si>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</si>
  <si>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</si>
  <si>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emerson.prado@eqseng.com.br</t>
  </si>
  <si>
    <t>emerson1002barros@gmail.com</t>
  </si>
  <si>
    <t>ENIOIR NOGUEIRA ANTUNES</t>
  </si>
  <si>
    <t>mannykantunes@gmail.com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</si>
  <si>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</si>
  <si>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</si>
  <si>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</si>
  <si>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</si>
  <si>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</si>
  <si>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</si>
  <si>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</si>
  <si>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</si>
  <si>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</si>
  <si>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</si>
  <si>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</si>
  <si>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EVERTON REIS DO NASCIMENTO</t>
  </si>
  <si>
    <t>ereisdonascimento@gmail.com</t>
  </si>
  <si>
    <t>FABIANA CAMILA BARBOSA DE MORAES LIMA</t>
  </si>
  <si>
    <t>fabiana.lima@eqsengenharia.com.br</t>
  </si>
  <si>
    <t>FABIANO LITTER</t>
  </si>
  <si>
    <t>fabianolitter@gmail.com</t>
  </si>
  <si>
    <t>FABIO APARECIDO DE SOUSA PEREIRA</t>
  </si>
  <si>
    <t>fabio.pereira@eqsengenharia.com.br</t>
  </si>
  <si>
    <t>FABIOLIMA01@YAHOO.COM.BR</t>
  </si>
  <si>
    <t>fabio.hidelma@gmail.com</t>
  </si>
  <si>
    <t>fabiohenriquepcruz@gmail.com</t>
  </si>
  <si>
    <t>fabinhomborges0304@gmail.com</t>
  </si>
  <si>
    <t>provesi85@gmail.com</t>
  </si>
  <si>
    <t>FABIO RODRIGUES JUREVICZ</t>
  </si>
  <si>
    <t>frj3455@gmail.com</t>
  </si>
  <si>
    <t>FABRICIO SANTOS DA COSTA</t>
  </si>
  <si>
    <t>fscsantos82@yahoo.com.br</t>
  </si>
  <si>
    <t>felipe.albuquerque@eqsengenharia.com.br</t>
  </si>
  <si>
    <t>FELIPE MELILLO FONTAN</t>
  </si>
  <si>
    <t>felipe.fontan@eqsengenharia.com.br</t>
  </si>
  <si>
    <t>FELIPE-BRITTO@HOTMAIL.COM</t>
  </si>
  <si>
    <t>FERNANDA ARAGAO LOPES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</si>
  <si>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</si>
  <si>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</si>
  <si>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</si>
  <si>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</si>
  <si>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</si>
  <si>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filipekling.eqs@petrobras.com.br</t>
  </si>
  <si>
    <t>flavio.fernandes@eqsengenharia.com.br</t>
  </si>
  <si>
    <t>flavio.romero@eqsengenharia.com.br</t>
  </si>
  <si>
    <t>FLAVIO PATRICIO DA LUZ</t>
  </si>
  <si>
    <t>flaviopatrono77@gmail.com</t>
  </si>
  <si>
    <t>FLAVIO PEREIRA DE SOUZA</t>
  </si>
  <si>
    <t>flavio.p.souza.prestserv@petrobras.com.br</t>
  </si>
  <si>
    <t>francielly.andrade@outlook.com</t>
  </si>
  <si>
    <t>FRANCIMARIO BEZERRA DA SILVA</t>
  </si>
  <si>
    <t>b.francimario@yahoo.com</t>
  </si>
  <si>
    <t>francinildo.araujo@eqsengenharia.com.br</t>
  </si>
  <si>
    <t>FRANCIONE DE SOUZA LUCENA</t>
  </si>
  <si>
    <t>francione.souza.lucena@gmail.com</t>
  </si>
  <si>
    <t>FRANCISCA VALERIA LIMA PORTELA</t>
  </si>
  <si>
    <t>francisca.portela@eqsengenharia.com.br</t>
  </si>
  <si>
    <t>FRANCISCO MICHAEL CASTRO FERNANDES</t>
  </si>
  <si>
    <t>MICHAEL_CFERNANDES@HOTMAIL.COM</t>
  </si>
  <si>
    <t>FRANCISCO RICARDO DOS SANTOS</t>
  </si>
  <si>
    <t>francisco.ricardosantos@gmail.com</t>
  </si>
  <si>
    <t>franvalsousafv@gmail.com</t>
  </si>
  <si>
    <t>franco_dallacqua@hotmail.com</t>
  </si>
  <si>
    <t>FREDERICO PEDROSO FERNANDES</t>
  </si>
  <si>
    <t>frederico.pedroso@eqsengenharia.com.br</t>
  </si>
  <si>
    <t>GABRIEL CABRAL DA SILVA</t>
  </si>
  <si>
    <t>Gaelcabral0@outlook.com</t>
  </si>
  <si>
    <t>GABRIEL EGGER</t>
  </si>
  <si>
    <t>gabriel.egger@eqseng.com.br</t>
  </si>
  <si>
    <t>gabriel.agnol@eqseng.com.br</t>
  </si>
  <si>
    <t>GABRIELA DALLA VECHIA MONTEIRO</t>
  </si>
  <si>
    <t>adm.claro.pr@eqsengenharia.com.br</t>
  </si>
  <si>
    <t>GEFERSON FLORIANO PRICHULA</t>
  </si>
  <si>
    <t>gefersonprichula@gmail.com</t>
  </si>
  <si>
    <t>genisson.ferreira@eqseng.com.br</t>
  </si>
  <si>
    <t>GERRY ARYAGUINO FERNANDES DE SOUSA</t>
  </si>
  <si>
    <t>gerryfernandes33@gmail.com</t>
  </si>
  <si>
    <t>GERSON ALMEIDA DE ANDRADE</t>
  </si>
  <si>
    <t>gerson.andrade@eqsengenharia.com.br</t>
  </si>
  <si>
    <t>GERSON OLIVEIRA DE CARVALHO</t>
  </si>
  <si>
    <t>gerson.carvalho@eqsengenharia.com.br</t>
  </si>
  <si>
    <t>gerson.pereira.gerson@gmail.com</t>
  </si>
  <si>
    <t>GILBERTO DE ALMEIDA</t>
  </si>
  <si>
    <t>gibaalfa@gmail.com</t>
  </si>
  <si>
    <t>GILMAR DUARTE LACERDA</t>
  </si>
  <si>
    <t>gilmar.lacerda@eqsengenharia.com.br</t>
  </si>
  <si>
    <t>GILSON CRISTIANO FLORES BRUM</t>
  </si>
  <si>
    <t>gilsoncbr@hotmail.com</t>
  </si>
  <si>
    <t>GILSON DOS SANTOS PIAUILINO</t>
  </si>
  <si>
    <t>quimbagilson@gmail.com</t>
  </si>
  <si>
    <t>giovani.dunnantuoni@eqsengenharia.com.br</t>
  </si>
  <si>
    <t>GIOVANNA SIDOTI MARQUES ROLLO</t>
  </si>
  <si>
    <t>giovannasidoti04@gmail.com</t>
  </si>
  <si>
    <t>Cartão bloqueado</t>
  </si>
  <si>
    <t>GISELE CRISTINE DE SOUZA</t>
  </si>
  <si>
    <t>gisele.souza@eqsengenharia.com.br</t>
  </si>
  <si>
    <t>GLAUBERTY CANDIDO COELHO</t>
  </si>
  <si>
    <t>GLAUBERTYJOGLAU@HOTMAIL.COM</t>
  </si>
  <si>
    <t>GLEIDE CONCEICAO NASCIMENTO ALVES</t>
  </si>
  <si>
    <t>gleide.alves@eqsengenharia.com.br</t>
  </si>
  <si>
    <t>GUILHERME DE MATTOS NASCIMENTO ROSA</t>
  </si>
  <si>
    <t>aureliomattos127@gmail.com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</si>
  <si>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</si>
  <si>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</si>
  <si>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</si>
  <si>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</si>
  <si>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</si>
  <si>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guilhermemateus31@outlook.com</t>
  </si>
  <si>
    <t>guilherme.silva@eqsengenharia.com.br</t>
  </si>
  <si>
    <t>GUSTAVO GONCALVES DA SILVA</t>
  </si>
  <si>
    <t>gustavodeosorio@hotmail.com</t>
  </si>
  <si>
    <t>gustavorfaria1000@gmail.com</t>
  </si>
  <si>
    <t>hedersilva22@hotmail.com</t>
  </si>
  <si>
    <t>HEITOR MAURMANN LEITAO</t>
  </si>
  <si>
    <t>heitormaurmann@gmail.com</t>
  </si>
  <si>
    <t>HELDER ARCHANJO FERREIRA</t>
  </si>
  <si>
    <t>helder.ferreira@eqsengenharia.com.br</t>
  </si>
  <si>
    <t>helder.ustulin@eqsengenharia.com.br</t>
  </si>
  <si>
    <t>HENRIQUE ALMEIDA LAIGNIER</t>
  </si>
  <si>
    <t>henrique.laignier@eqsengenharia.com.br</t>
  </si>
  <si>
    <t>HERLANDSON BRUNO CARNEIRO MATIAS</t>
  </si>
  <si>
    <t>herlandson.matias@eqsengenharia.com.br</t>
  </si>
  <si>
    <t>SILVAHIGOR356@GMAIL.COM</t>
  </si>
  <si>
    <t>higorlcerqueira@gmail.com</t>
  </si>
  <si>
    <t>hugo.alexandre@eqsengenharia.com.br</t>
  </si>
  <si>
    <t>hugo.santos@eqsengenharia.com.br</t>
  </si>
  <si>
    <t>HUGO DELLA JUSTINA</t>
  </si>
  <si>
    <t>hugo@eqsengenharia.com.br</t>
  </si>
  <si>
    <t>hugoeletric@gmail.com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</si>
  <si>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</si>
  <si>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</si>
  <si>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</si>
  <si>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</si>
  <si>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</si>
  <si>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</si>
  <si>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</si>
  <si>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ISABELA FERNANDA DA SILVA SOUZA</t>
  </si>
  <si>
    <t>isabela.silva@eqsengenharia.com.br</t>
  </si>
  <si>
    <t>ISABELE CRISTINE OLIVEIRA DA SILVA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</si>
  <si>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</si>
  <si>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</si>
  <si>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</si>
  <si>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</si>
  <si>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</si>
  <si>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</si>
  <si>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</si>
  <si>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</si>
  <si>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ITAMAR SOUZA LOPES</t>
  </si>
  <si>
    <t>ITAMARLOPES@GMAIL.COM</t>
  </si>
  <si>
    <t>LOGISTICA@EQSENGENHARIA.COM.BR</t>
  </si>
  <si>
    <t>IVON RAMOS MIRANDA</t>
  </si>
  <si>
    <t>ivonr.m.325@gmail.com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</si>
  <si>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</si>
  <si>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</si>
  <si>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</si>
  <si>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</si>
  <si>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</si>
  <si>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</si>
  <si>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jaime.silva@eqsengenharia.com.br</t>
  </si>
  <si>
    <t>JAIRASSIS@HOTMAIL.COM</t>
  </si>
  <si>
    <t>Jaqueline.pereira@eqsengenharia.com.br</t>
  </si>
  <si>
    <t>jaquelineonorioa@hotmail.com</t>
  </si>
  <si>
    <t>jazemir.marques@eqsengenharia.com.br</t>
  </si>
  <si>
    <t>jeanfabiooliverio@gmail.com</t>
  </si>
  <si>
    <t>JEAN LUCAS DA LUZ FERREIRA</t>
  </si>
  <si>
    <t>jeanlucasdaluzboletos@gmail.com</t>
  </si>
  <si>
    <t>JWERNER95@OUTLOOK.COM</t>
  </si>
  <si>
    <t>JEFERSON MELO BOPSIN</t>
  </si>
  <si>
    <t>jebopsin@hotmail.com</t>
  </si>
  <si>
    <t>Cadastro reprovado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</si>
  <si>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</si>
  <si>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</si>
  <si>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</si>
  <si>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</si>
  <si>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</si>
  <si>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</si>
  <si>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</si>
  <si>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</si>
  <si>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</si>
  <si>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joaoviana631@gmail.com</t>
  </si>
  <si>
    <t>JOAO ELIAS ESTOCHER LEAL</t>
  </si>
  <si>
    <t>jonestockler@gmail.com</t>
  </si>
  <si>
    <t>JOAO MARCELO MARTINS DA SILVA BARBOSA</t>
  </si>
  <si>
    <t>joao.barbosa@eqsengenharia.com.br</t>
  </si>
  <si>
    <t>joelson.santos@eqsengenharia.com.br</t>
  </si>
  <si>
    <t>joelson001@gmail.com</t>
  </si>
  <si>
    <t>Jcavalcanti2412@gmail.com</t>
  </si>
  <si>
    <t>desplanchesjonas@gmail.com</t>
  </si>
  <si>
    <t>JONATA OLIVEIRA DA SILVA</t>
  </si>
  <si>
    <t>jonatafilhomiguel@gmail.com</t>
  </si>
  <si>
    <t>JONES ALEXANDRE DIAS CARVALHO</t>
  </si>
  <si>
    <t>carvalhojon7@gmail.com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</si>
  <si>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</si>
  <si>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</si>
  <si>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</si>
  <si>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</si>
  <si>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</si>
  <si>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</si>
  <si>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</si>
  <si>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avnribeiro@hotmail.com</t>
  </si>
  <si>
    <t>zepradoeqs@gmail.com</t>
  </si>
  <si>
    <t>jose.eustaquio@eqsengenharia.com.br</t>
  </si>
  <si>
    <t>jose.furlanetto@eqsengenharia.com.br</t>
  </si>
  <si>
    <t>JOSE MARCOS PEREIRA VAZ</t>
  </si>
  <si>
    <t>josevazcsl.53@gmail.com</t>
  </si>
  <si>
    <t>nei.engeman@gmail.com</t>
  </si>
  <si>
    <t>josenildodacunha@hotmail.com</t>
  </si>
  <si>
    <t>JOSE ROGERIO DA SILVEIRA CARDOSO JUNIOR</t>
  </si>
  <si>
    <t>juniorrogerio7@gmail.com</t>
  </si>
  <si>
    <t>JOSE VALDOIR LEITE</t>
  </si>
  <si>
    <t>valdoir@eqseng.com.br</t>
  </si>
  <si>
    <t>jose.felix@eqsengenharia.com.br</t>
  </si>
  <si>
    <t>jose.oliveira@eqsengenharia.com.br</t>
  </si>
  <si>
    <t>joseane.souza@eqsengenharia.com.br</t>
  </si>
  <si>
    <t>JUAN CARLOS PANTOJA AMANAJAS</t>
  </si>
  <si>
    <t>juan.amanajas@gmail.com</t>
  </si>
  <si>
    <t>JUAN FANGIO LUCAS DOS SANTOS</t>
  </si>
  <si>
    <t>juan.santos@eqsengenharia.com.br</t>
  </si>
  <si>
    <t>JULIA FIGUEIREDO NECHEL</t>
  </si>
  <si>
    <t>julia.nechel@eqsengenharia.com.br</t>
  </si>
  <si>
    <t>JULIA SCHURHAUS PERETTI</t>
  </si>
  <si>
    <t>julia.peretti@eqsengenharia.com.br</t>
  </si>
  <si>
    <t>JULIANA RIBEIRO RAMOS</t>
  </si>
  <si>
    <t>qualidade@eqsengenharia.com.br</t>
  </si>
  <si>
    <t>JULIANO MACHADO DE MIRANDA</t>
  </si>
  <si>
    <t>julianomachdodemiranda5@gmail.com</t>
  </si>
  <si>
    <t>JULIANO MACIEL MELGARE</t>
  </si>
  <si>
    <t>juliano.melgare@eqsengenharia.com.br</t>
  </si>
  <si>
    <t>Julianomessiassk8@gmail.com</t>
  </si>
  <si>
    <t>JULIANO SALBEGO ROSBACK</t>
  </si>
  <si>
    <t>rosbackj@hotmail.com</t>
  </si>
  <si>
    <t>juliorocha160877@gmail.com</t>
  </si>
  <si>
    <t>JULIO CESAR ARAUJO VIEIRA</t>
  </si>
  <si>
    <t>juliocav0801@gmail.com</t>
  </si>
  <si>
    <t>JULIO CESAR DE SOUZA</t>
  </si>
  <si>
    <t>JULIOCS62@LIVE.COM</t>
  </si>
  <si>
    <t>juniovb7@hotmail.com</t>
  </si>
  <si>
    <t>justino.nogueira@eqsengenharia.com.br</t>
  </si>
  <si>
    <t>katiaaclf98@gmail.com</t>
  </si>
  <si>
    <t>KEVIN WILLIAMS COUTINHO BEZERRA PENA</t>
  </si>
  <si>
    <t>marketing@eqsengenharia.com.br</t>
  </si>
  <si>
    <t>kleber4766@gmail.com</t>
  </si>
  <si>
    <t>KLEITON DE ALMEIDA TORRES</t>
  </si>
  <si>
    <t>kleitontorres@gmail.com</t>
  </si>
  <si>
    <t>lscanabarro@yahoo.com.br</t>
  </si>
  <si>
    <t>LARISSA MOTA GAIA ALBUQUERQUE</t>
  </si>
  <si>
    <t>larissa.gaia@eqsengenharia.com.br</t>
  </si>
  <si>
    <t>larissa.silva@eqseng.com.br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</si>
  <si>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</si>
  <si>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</si>
  <si>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</si>
  <si>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</si>
  <si>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</si>
  <si>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</si>
  <si>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</si>
  <si>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leandro@eqsengenharia.com.br</t>
  </si>
  <si>
    <t>LEANDRO EGAS</t>
  </si>
  <si>
    <t>leandro.egas@eqseng.com.br</t>
  </si>
  <si>
    <t>leandro.figueredo@eqsengenharia.com.br</t>
  </si>
  <si>
    <t>LEANDRO.GMUNIZ@OUTLOOK.COM</t>
  </si>
  <si>
    <t>leandro.marcusso@eqsengenharia.com.br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</si>
  <si>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</si>
  <si>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</si>
  <si>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</si>
  <si>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</si>
  <si>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</si>
  <si>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</si>
  <si>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leonardo.athayde@eqsengenharia.com.br</t>
  </si>
  <si>
    <t>leonardo_orestes@hotmail.com</t>
  </si>
  <si>
    <t>LEONARDO SCHNEIDER AVILA</t>
  </si>
  <si>
    <t>leuavila@hotmail.com</t>
  </si>
  <si>
    <t>LEONARDO SIMOES DA SILVA</t>
  </si>
  <si>
    <t>leonardosimoeslgae@gmail.com</t>
  </si>
  <si>
    <t>LETICIA ANGENITA SCHEIMANN BAUER</t>
  </si>
  <si>
    <t>leticia@eqsengenharia.com.br</t>
  </si>
  <si>
    <t>LISANDRO DA SILVA LOURENCO</t>
  </si>
  <si>
    <t>lisandro.123silva@gmail.com</t>
  </si>
  <si>
    <t>LOI BATISTA ANTUNES SARAIVA</t>
  </si>
  <si>
    <t>loibatistaantunessaraiva@gmail.com</t>
  </si>
  <si>
    <t>LUAN DOS SANTOS LACERDA</t>
  </si>
  <si>
    <t>luansapphire@gmail.com</t>
  </si>
  <si>
    <t>luan.silva@eqseng.com.br</t>
  </si>
  <si>
    <t>LUCAS ALECSANDER RIBEIRO</t>
  </si>
  <si>
    <t>lucas.ribeiro@eqsengenharia.com.br</t>
  </si>
  <si>
    <t>luucascarvalho@outlook.com</t>
  </si>
  <si>
    <t>LUCAS DANIEL DE SOUSA ARAUJO</t>
  </si>
  <si>
    <t>lucas.araujo@eqsengenharia.com.br</t>
  </si>
  <si>
    <t>lucasdepaulasilva2411@gmail.com</t>
  </si>
  <si>
    <t>LUCAS DIOVANI CASTRO BERNARDO</t>
  </si>
  <si>
    <t>lucas.bernado@eqseng.com.br</t>
  </si>
  <si>
    <t>lucas.alves@eqsengenharia.com.br</t>
  </si>
  <si>
    <t>lucas.santos@eqsengenharia.com.br</t>
  </si>
  <si>
    <t>lucas1.cta1@gmail.com</t>
  </si>
  <si>
    <t>lucas.macan@eqsengenharia.com.br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</si>
  <si>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</si>
  <si>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</si>
  <si>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</si>
  <si>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</si>
  <si>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</si>
  <si>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</si>
  <si>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</si>
  <si>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</si>
  <si>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</si>
  <si>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</si>
  <si>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</si>
  <si>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</si>
  <si>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 FELIPE COSTA</t>
  </si>
  <si>
    <t>luis.costa@eqsengenharia.com.br</t>
  </si>
  <si>
    <t>luis.felipe.1992@gmail.com</t>
  </si>
  <si>
    <t>LUIS HENRIQUE DA SILVA BUHL</t>
  </si>
  <si>
    <t>luisbuhll@gmail.com</t>
  </si>
  <si>
    <t>LUIZ ANTONIO DE SOUZA JUNIOR</t>
  </si>
  <si>
    <t>luiz.junior@eqsengenharia.com.br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</si>
  <si>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</si>
  <si>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</si>
  <si>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</si>
  <si>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</si>
  <si>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</si>
  <si>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</si>
  <si>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</si>
  <si>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</si>
  <si>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</si>
  <si>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</si>
  <si>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</si>
  <si>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</si>
  <si>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marcela.carvalho@eqsengenharia.com.br</t>
  </si>
  <si>
    <t>MARCELO BRIG CAMPINA</t>
  </si>
  <si>
    <t>marcelocampina77@gmail.com</t>
  </si>
  <si>
    <t>marcelo.silva@eqsengenharia.com.br</t>
  </si>
  <si>
    <t>marcelo.calvertti@eqsengenharia.com.br</t>
  </si>
  <si>
    <t>marcelo.vedova@yahoo.com.br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</si>
  <si>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</si>
  <si>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</si>
  <si>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</si>
  <si>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</si>
  <si>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</si>
  <si>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</si>
  <si>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 WELTER</t>
  </si>
  <si>
    <t>welter1377@gmail.com</t>
  </si>
  <si>
    <t>MARCIA CRISTINA DA CUNHA SCATAMBULO</t>
  </si>
  <si>
    <t>marcia.s@eqsengenharia.com.br</t>
  </si>
  <si>
    <t>marcio.ferreira@eqseng.com.br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</si>
  <si>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</si>
  <si>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</si>
  <si>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</si>
  <si>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</si>
  <si>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</si>
  <si>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</si>
  <si>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</si>
  <si>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marco.moraes@eqsengenharia.com.br</t>
  </si>
  <si>
    <t>marco.lima@eqsengenharia.com.br</t>
  </si>
  <si>
    <t>MARCOS ALESSANDRO SILVA GOMES</t>
  </si>
  <si>
    <t>marcosalessandro870@gmail.com</t>
  </si>
  <si>
    <t>MARCOS AURELIO CARIAS ASSIS</t>
  </si>
  <si>
    <t>marcos@eqsengenharia.com.br</t>
  </si>
  <si>
    <t>MARCOS LUIZ SCHULTZ</t>
  </si>
  <si>
    <t>schultzmarcos@yahoo.com.br</t>
  </si>
  <si>
    <t>seger@eqsengenharia.com.br</t>
  </si>
  <si>
    <t>marcosvinicius@eqsengenharia.com.br</t>
  </si>
  <si>
    <t>MARIA CRISTINA DE OLIVEIRA NEVES</t>
  </si>
  <si>
    <t>maria.neves@eqsengenharia.com.br</t>
  </si>
  <si>
    <t>maria.aragao@eqsengenharia.com.br</t>
  </si>
  <si>
    <t>marlonaraujo1991@hotmail.com</t>
  </si>
  <si>
    <t>MATEUS DANTAS MIRANDA</t>
  </si>
  <si>
    <t>mateus.miranda@eqsengenharia.com.br</t>
  </si>
  <si>
    <t>mateus.bertol@yahoo.com.br</t>
  </si>
  <si>
    <t>MATEUS FLOR GUESSER</t>
  </si>
  <si>
    <t>mateus.guesser@eqsengenharia.com.br</t>
  </si>
  <si>
    <t>matheus.guimaraes@eqseng.com.br</t>
  </si>
  <si>
    <t>MAURICIO DA SILVEIRA GUIMARAES</t>
  </si>
  <si>
    <t>mauricio.guimaraes@eqsengenharia.com.br</t>
  </si>
  <si>
    <t>mauricio.jose@eqseng.com.br</t>
  </si>
  <si>
    <t>MAURICIO SIMOES FARIAS JUNIOR</t>
  </si>
  <si>
    <t>mauricio.junior@eqseng.com.br</t>
  </si>
  <si>
    <t>mauricio.camargo@eqseng.com.br</t>
  </si>
  <si>
    <t>MAURO DE OLIVEIRA CERINO</t>
  </si>
  <si>
    <t>maurocerino2013@hotmail.com</t>
  </si>
  <si>
    <t>MAURO FERREIRA DIAS</t>
  </si>
  <si>
    <t>maurokombi2022@gmail.com</t>
  </si>
  <si>
    <t>mauro.saugo@gmail.com</t>
  </si>
  <si>
    <t>MAYKON JEAN RIBEIRO FERREIRA</t>
  </si>
  <si>
    <t>maykon1.bnu@gmail.com</t>
  </si>
  <si>
    <t>MELSO CEZAR DA SILVA NETO</t>
  </si>
  <si>
    <t>melsocezar@gmail.com</t>
  </si>
  <si>
    <t>michael.santos@eqseng.com.br</t>
  </si>
  <si>
    <t>michel.venancio29@gmail.com</t>
  </si>
  <si>
    <t>MICHEL VINHORTE DE SOUZA</t>
  </si>
  <si>
    <t>michellmvs@gmail.com</t>
  </si>
  <si>
    <t>MIGUEL JOAO DINIS MOTA</t>
  </si>
  <si>
    <t>mjdmota@gmail.com</t>
  </si>
  <si>
    <t>MILTON BRASIL CAVALCANTE</t>
  </si>
  <si>
    <t>v.tiomilton@gmail.com</t>
  </si>
  <si>
    <t>milton.neves@eqsengenharia.com.br</t>
  </si>
  <si>
    <t>MILTON FLECK PITROWSKI</t>
  </si>
  <si>
    <t>milton.pitrowski@eqseng.com.br</t>
  </si>
  <si>
    <t>moises.cabral@eqsengenharia.com.br</t>
  </si>
  <si>
    <t>murilo.almeida@eqsengenharia.com.br</t>
  </si>
  <si>
    <t>NELSON FILIPE MARTINS DA SILVA</t>
  </si>
  <si>
    <t>nelsonfilipe316@gmail.com</t>
  </si>
  <si>
    <t>NERTAN DE CASTRO MAIA</t>
  </si>
  <si>
    <t>nertancastromaia@gmail.com</t>
  </si>
  <si>
    <t>neudoengeman@gmail.com</t>
  </si>
  <si>
    <t>nilson.cardoso@eqsengenharia.com.br</t>
  </si>
  <si>
    <t>NILSON SILVA DOS SANTOS JUNIOR</t>
  </si>
  <si>
    <t>nilsonjuniooor@gmail.com</t>
  </si>
  <si>
    <t>NILTON FARIAS JUNIOR</t>
  </si>
  <si>
    <t>nilton.farias@eqseng.com.br</t>
  </si>
  <si>
    <t>NILTON SANTOS DA SILVA</t>
  </si>
  <si>
    <t>niltondepaoli@gmail.com</t>
  </si>
  <si>
    <t>thiagonival@hotmail.com</t>
  </si>
  <si>
    <t>NORMAMCP2012@GMAIL.COM</t>
  </si>
  <si>
    <t>odairsoares.eqsengenharia@gmail.com</t>
  </si>
  <si>
    <t>oreste.junior@eqseng.com.br</t>
  </si>
  <si>
    <t>ORIELSON CORREA</t>
  </si>
  <si>
    <t>orieslon.eqs@gmail.com</t>
  </si>
  <si>
    <t>oscar.palaro22@gmail.com</t>
  </si>
  <si>
    <t>OSMAN DOS SANTOS MORAIS JUNIOR</t>
  </si>
  <si>
    <t>osmanjunior@hotmail.com</t>
  </si>
  <si>
    <t>paloma.spinola@eqsengenharia.com.br</t>
  </si>
  <si>
    <t>paolacarolini@hotmail.com</t>
  </si>
  <si>
    <t>patrickantonievicz@gmail.com</t>
  </si>
  <si>
    <t>pamorim22@gmail.com</t>
  </si>
  <si>
    <t>PAULO AUGUSTO OLIVEIRA LIMA</t>
  </si>
  <si>
    <t>1991paulinho03@gmail.com</t>
  </si>
  <si>
    <t>paulo92freitas@gmail.com</t>
  </si>
  <si>
    <t>PAULO HENRIQUE SOARES BAZZO</t>
  </si>
  <si>
    <t>boenosoares3@gmail.com</t>
  </si>
  <si>
    <t>PAULO MARQUES TAVARES</t>
  </si>
  <si>
    <t>paulomarquestavares2019@gmail.com</t>
  </si>
  <si>
    <t>paulonilton.costa@gmail.com</t>
  </si>
  <si>
    <t>PAULO OLDAIR CUNHA PINTO</t>
  </si>
  <si>
    <t>paulo.oldair.cunha@gmail.com</t>
  </si>
  <si>
    <t>PAULO TIAGO SANTOS DA SILVA</t>
  </si>
  <si>
    <t>tiagoomoi@gmail.com</t>
  </si>
  <si>
    <t>PEDRO ALBERTO AMBROSIO ROCHA</t>
  </si>
  <si>
    <t>pedroalbertor19@gmail.com</t>
  </si>
  <si>
    <t>penfaro02@gmail.com</t>
  </si>
  <si>
    <t>PEDRO HENRIQUE MARTINS BOTELHO</t>
  </si>
  <si>
    <t>pedro.botelho@eqsengenharia.com.br</t>
  </si>
  <si>
    <t>PEDRO LUIS PIRES DOS SANTOS</t>
  </si>
  <si>
    <t>pedropires.luis@gmail.com</t>
  </si>
  <si>
    <t>terpiprs@hotmail.com</t>
  </si>
  <si>
    <t>priscila.pereira@eqsengenharia.com.br</t>
  </si>
  <si>
    <t>Rafael Almeida Lopes</t>
  </si>
  <si>
    <t>rafael.lopes@eqseng.com.br</t>
  </si>
  <si>
    <t>rafael.vello@eqsengenharia.com.br</t>
  </si>
  <si>
    <t>carnielrafael3@gmail.com</t>
  </si>
  <si>
    <t>RAFAEL DORNELLES</t>
  </si>
  <si>
    <t>rafael.dornelles@eqseng.com.br</t>
  </si>
  <si>
    <t>RAFAEL MENESES</t>
  </si>
  <si>
    <t>rafael.meneses@eqsengenharia.com.br</t>
  </si>
  <si>
    <t>rafael_natal_lachi@hotmail.com</t>
  </si>
  <si>
    <t>rafael.cruz@eqsengenharia.com.br</t>
  </si>
  <si>
    <t>rafael.ramos@eqsengenharia.com.br</t>
  </si>
  <si>
    <t>RAFAEL ROCHA MOURA</t>
  </si>
  <si>
    <t>rafael.moura@eqsengenharia.com.br</t>
  </si>
  <si>
    <t>RGTSSA@GMAIL.COM</t>
  </si>
  <si>
    <t>RAMONY AVYSSON GOMES DA SILVA</t>
  </si>
  <si>
    <t>ramony.silva@eqsengenharia.com.br</t>
  </si>
  <si>
    <t>RANIERI HIKARU YAMASHITA RAMOS</t>
  </si>
  <si>
    <t>ranieri.ramos@eqsengenharia.com.br</t>
  </si>
  <si>
    <t>raquel.pantoja@eqsengenharia.com.br</t>
  </si>
  <si>
    <t>adriano_rsraul@outlook.com</t>
  </si>
  <si>
    <t>RAYMUNDO FABIO PINHEIRO DE SOUZA</t>
  </si>
  <si>
    <t>raymundo.souza.prestserv@petrobras.com.br</t>
  </si>
  <si>
    <t>RENAN VICTORIO DE LIMA</t>
  </si>
  <si>
    <t>renan.lima@eqseng.com.br</t>
  </si>
  <si>
    <t>renato.parreiras@eqsengenharia.com.br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</si>
  <si>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</si>
  <si>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</si>
  <si>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</si>
  <si>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</si>
  <si>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</si>
  <si>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RIQUELME DE OLIVEIRA E SILVA</t>
  </si>
  <si>
    <t>riquelmepoa@gmail.com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</si>
  <si>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</si>
  <si>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</si>
  <si>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</si>
  <si>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</si>
  <si>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</si>
  <si>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</si>
  <si>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</si>
  <si>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</si>
  <si>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</si>
  <si>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 ALFAMA FURTADO</t>
  </si>
  <si>
    <t>rodrigo.furtado@eqsengenharia.com.br</t>
  </si>
  <si>
    <t>rodrigo.boldo@eqsengenharia.com.br</t>
  </si>
  <si>
    <t>rodrigocesar@eqseng.com.br</t>
  </si>
  <si>
    <t>RODRIGO DE SOUZA ROSA</t>
  </si>
  <si>
    <t>rodrigo.equisul@hotmail.com</t>
  </si>
  <si>
    <t>rodrigo.fran.correa@gmail.com</t>
  </si>
  <si>
    <t>rodrigo.sousa25@outlook.com</t>
  </si>
  <si>
    <t>rodrigo@eqsengenharia.com.br</t>
  </si>
  <si>
    <t>RODRIGO PIMENTEL FARIA</t>
  </si>
  <si>
    <t>rodrigo.faria@eqsengenharia.com.br</t>
  </si>
  <si>
    <t>RODRIGO RIOS VELOSO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</si>
  <si>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</si>
  <si>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</si>
  <si>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</si>
  <si>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</si>
  <si>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</si>
  <si>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</si>
  <si>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rogeriomacariopinto@gmail.com</t>
  </si>
  <si>
    <t>rogerio.s@eqsengenharia.com.br</t>
  </si>
  <si>
    <t>RONALDO DE CARVALHO</t>
  </si>
  <si>
    <t>ronaldo.carvalho@eqsengenharia.com.br</t>
  </si>
  <si>
    <t>ronaldo.lelis@eqsengenharia.com.br</t>
  </si>
  <si>
    <t>ronaldorsantana@gmail.com</t>
  </si>
  <si>
    <t>RONIO JOSE ROSA</t>
  </si>
  <si>
    <t>roniojoserosa@gmail.com</t>
  </si>
  <si>
    <t>RUBENS BELO HERBSTER</t>
  </si>
  <si>
    <t>rubens.herbester@eqsengenharia.com.br</t>
  </si>
  <si>
    <t>RUDINEI MACHADO RODRIGUES</t>
  </si>
  <si>
    <t>rudinho3108@gmail.com</t>
  </si>
  <si>
    <t>SANDRO ADRIANO PRIMO</t>
  </si>
  <si>
    <t>sandrogorete2022@gmail.com</t>
  </si>
  <si>
    <t>sandro.barreto@eqsengenharia.com.br</t>
  </si>
  <si>
    <t>capistrano@eqseng.com.br</t>
  </si>
  <si>
    <t>sandroquiteriolopes@gmail.com</t>
  </si>
  <si>
    <t>sara.barbosa@eqseng.com.br</t>
  </si>
  <si>
    <t>sauloap30@gmail.com</t>
  </si>
  <si>
    <t>sergio.debiazi@eqseng.com.br</t>
  </si>
  <si>
    <t>SHELDA CRISTINE LIMA TRINDADE</t>
  </si>
  <si>
    <t>shelda.trindade@eqsengenharia.com.br</t>
  </si>
  <si>
    <t>sidney010409@gmail.com</t>
  </si>
  <si>
    <t>sidneimachado1979@gmail.com</t>
  </si>
  <si>
    <t>silmara@eqsengenharia.com.br</t>
  </si>
  <si>
    <t>silvio.odeli.filho@gmail.com</t>
  </si>
  <si>
    <t>silvio.goes@eqsengenharia.com.br</t>
  </si>
  <si>
    <t>STEFANI OLIVEIRA ALVES</t>
  </si>
  <si>
    <t>stefani.alves@eqsengenharia.com.br</t>
  </si>
  <si>
    <t>STEPHANIE THAINARA DE OLIVEIRA ROCHA DA COSTA</t>
  </si>
  <si>
    <t>rh.mg@eqsengenharia.com.br</t>
  </si>
  <si>
    <t>TANDARA MARIA DO VALES PEREIRA ALVES</t>
  </si>
  <si>
    <t>tandara.alves@eqsengenharia.com.br</t>
  </si>
  <si>
    <t>teofilo.pacheco@eqseng.com.br</t>
  </si>
  <si>
    <t>TERCILA.lopes@eqsengenharia.com.br</t>
  </si>
  <si>
    <t>thalita.gondim@eqseng.com.br</t>
  </si>
  <si>
    <t>thiago_vanzeler@hotmail.com</t>
  </si>
  <si>
    <t>THIAGO DUARTE VARGAS</t>
  </si>
  <si>
    <t>duarte@eqsengenharia.com.br</t>
  </si>
  <si>
    <t>THIAGO LEANDRO DOS SANTOS</t>
  </si>
  <si>
    <t>thiago.santos@eqseng.com.br</t>
  </si>
  <si>
    <t>THIAGO NEVES DE FREITAS</t>
  </si>
  <si>
    <t>thiago@eqsengenharia.com.br</t>
  </si>
  <si>
    <t>thiagolima.benco@gmail.com</t>
  </si>
  <si>
    <t>thiago.sepulveda@eqsengenharia.com.br</t>
  </si>
  <si>
    <t>thiego.oliveira@eqseng.com.br</t>
  </si>
  <si>
    <t>THUANE DE OLIVEIRA MILSONI</t>
  </si>
  <si>
    <t>milsonithuane@gmail.com</t>
  </si>
  <si>
    <t>TIAGO ALVES PINTO</t>
  </si>
  <si>
    <t>tiago.alves@eqseng.com.br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</si>
  <si>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</si>
  <si>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</si>
  <si>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</si>
  <si>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</si>
  <si>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</si>
  <si>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</si>
  <si>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</si>
  <si>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</si>
  <si>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</si>
  <si>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</si>
  <si>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</si>
  <si>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</si>
  <si>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</si>
  <si>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</si>
  <si>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</si>
  <si>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</si>
  <si>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</si>
  <si>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UELITON CANDIDO</t>
  </si>
  <si>
    <t>ueliton.candido@eqsengenharia.com.br</t>
  </si>
  <si>
    <t>ueliton.santos@eqsengenharia.com.br</t>
  </si>
  <si>
    <t>UESIO DA SILVA SIMOES</t>
  </si>
  <si>
    <t>uesiosimoes@gmail.com</t>
  </si>
  <si>
    <t>ulisses.oliveira@eqsengenharia.com.br</t>
  </si>
  <si>
    <t>VALDEMIR ANTONIO CORREA JUNIOR</t>
  </si>
  <si>
    <t>valdemir@eqsengenharia.com.br</t>
  </si>
  <si>
    <t>valdir.voigt@eqsengenharia.com.br</t>
  </si>
  <si>
    <t>VALDOIR NOGUEIRA ANTUNES</t>
  </si>
  <si>
    <t>valdoir.nogueira.antunes@gmail.com</t>
  </si>
  <si>
    <t>JUNNIORNORONHA9@GMAIL.COM</t>
  </si>
  <si>
    <t>vanderleid1@yahoo.com.br</t>
  </si>
  <si>
    <t>VICTOR HUGO MONTEIRO FREIRE</t>
  </si>
  <si>
    <t>victorhugo_mf@outlook.com</t>
  </si>
  <si>
    <t>VICTOR LEONARDO LIMA DA CRUZ</t>
  </si>
  <si>
    <t>victorcruz2201@gmail.com</t>
  </si>
  <si>
    <t>victor23pb@gmail.com</t>
  </si>
  <si>
    <t>victor@eqseng.com.br</t>
  </si>
  <si>
    <t>viniciuspeixotobonetti@gmail.com</t>
  </si>
  <si>
    <t>wagner.pereira@eqsengenharia.com.br</t>
  </si>
  <si>
    <t>WAGNER FERNANDES DA SILVA</t>
  </si>
  <si>
    <t>wagner.fsilva99@gmail.com</t>
  </si>
  <si>
    <t>WAGNER RAFAEL GERHARDT</t>
  </si>
  <si>
    <t>wagner.gerhardt@eqsengenharia.com.br</t>
  </si>
  <si>
    <t>walternn79@gmail.com</t>
  </si>
  <si>
    <t>WANDEILSON EMIDIO MARTINS PEREIRA</t>
  </si>
  <si>
    <t>wanmartinss10@gmail.com</t>
  </si>
  <si>
    <t>welerson.rodrigues@eqsengenharia.com.br</t>
  </si>
  <si>
    <t>welltadaniela@bol.com.br</t>
  </si>
  <si>
    <t>WELLINGTON SILVA DE AGUIAR</t>
  </si>
  <si>
    <t>wellingtonaguiar205@gmail.com</t>
  </si>
  <si>
    <t>geraldowelton1@gmail.com</t>
  </si>
  <si>
    <t>WERYKSON ISRAEL DE BEM PIRES</t>
  </si>
  <si>
    <t>werykson.pires@eqsengenharia.com.br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</si>
  <si>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</si>
  <si>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</si>
  <si>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</si>
  <si>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</si>
  <si>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</si>
  <si>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WILLIAM ANTONIO MARTELET STEFANO</t>
  </si>
  <si>
    <t>williammartelet@gmail.com</t>
  </si>
  <si>
    <t>teixeira.will@gmail.com</t>
  </si>
  <si>
    <t>william.nunes@eqsengenharia.com.br</t>
  </si>
  <si>
    <t>WILLIAN CARLOS RODRIGUES VIEIRA</t>
  </si>
  <si>
    <t>willy_1604@yahoo.com.br</t>
  </si>
  <si>
    <t>WILSON JOAQUIM CAMPOS</t>
  </si>
  <si>
    <t>wilson.campos@eqseng.com.br</t>
  </si>
  <si>
    <t>WILSON LUIZ CABRAL</t>
  </si>
  <si>
    <t>wilson.cabral@eqsengenharia.com.br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</si>
</sst>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222222"/>
      <name val="Arial"/>
      <family val="2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444444"/>
      <name val="Arial"/>
      <family val="2"/>
    </font>
    <font>
      <sz val="7"/>
      <color rgb="FF9D0505"/>
      <name val="Arial"/>
      <family val="2"/>
    </font>
    <font>
      <b/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2060"/>
        <bgColor theme="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6"/>
        <bgColor theme="6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8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44" fontId="3" fillId="5" borderId="2" xfId="0" applyNumberFormat="1" applyFont="1" applyFill="1" applyBorder="1" applyAlignment="1">
      <alignment horizontal="center" vertical="center"/>
    </xf>
    <xf numFmtId="164" fontId="3" fillId="6" borderId="2" xfId="0" quotePrefix="1" applyNumberFormat="1" applyFont="1" applyFill="1" applyBorder="1" applyAlignment="1">
      <alignment horizontal="center" vertical="center"/>
    </xf>
    <xf numFmtId="1" fontId="3" fillId="6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164" fontId="3" fillId="7" borderId="3" xfId="0" applyNumberFormat="1" applyFont="1" applyFill="1" applyBorder="1" applyAlignment="1">
      <alignment horizontal="center"/>
    </xf>
    <xf numFmtId="164" fontId="4" fillId="8" borderId="3" xfId="0" applyNumberFormat="1" applyFont="1" applyFill="1" applyBorder="1" applyAlignment="1">
      <alignment horizontal="center"/>
    </xf>
    <xf numFmtId="164" fontId="4" fillId="9" borderId="3" xfId="0" applyNumberFormat="1" applyFont="1" applyFill="1" applyBorder="1" applyAlignment="1">
      <alignment horizontal="center"/>
    </xf>
    <xf numFmtId="164" fontId="4" fillId="10" borderId="3" xfId="0" applyNumberFormat="1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44" fontId="1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0" fillId="13" borderId="0" xfId="0" applyFill="1"/>
    <xf numFmtId="0" fontId="6" fillId="14" borderId="0" xfId="0" applyFont="1" applyFill="1" applyAlignment="1">
      <alignment horizontal="left" vertical="center"/>
    </xf>
    <xf numFmtId="0" fontId="2" fillId="15" borderId="0" xfId="1" applyFill="1" applyAlignment="1">
      <alignment horizontal="center" vertical="center"/>
    </xf>
    <xf numFmtId="0" fontId="7" fillId="15" borderId="0" xfId="0" applyFont="1" applyFill="1" applyAlignment="1">
      <alignment vertical="center"/>
    </xf>
    <xf numFmtId="0" fontId="8" fillId="15" borderId="0" xfId="0" applyFont="1" applyFill="1" applyAlignment="1">
      <alignment vertical="center"/>
    </xf>
    <xf numFmtId="0" fontId="9" fillId="15" borderId="0" xfId="0" applyFont="1" applyFill="1" applyAlignment="1">
      <alignment vertical="center"/>
    </xf>
    <xf numFmtId="0" fontId="2" fillId="16" borderId="0" xfId="1" applyFill="1" applyAlignment="1">
      <alignment horizontal="center" vertical="center"/>
    </xf>
    <xf numFmtId="0" fontId="8" fillId="16" borderId="0" xfId="0" applyFont="1" applyFill="1" applyAlignment="1">
      <alignment vertical="center"/>
    </xf>
    <xf numFmtId="0" fontId="7" fillId="16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11" fillId="15" borderId="0" xfId="0" applyFont="1" applyFill="1" applyAlignment="1">
      <alignment vertical="center"/>
    </xf>
    <xf numFmtId="44" fontId="12" fillId="17" borderId="0" xfId="0" applyNumberFormat="1" applyFont="1" applyFill="1" applyAlignment="1">
      <alignment horizontal="center" vertical="center"/>
    </xf>
    <xf numFmtId="44" fontId="12" fillId="17" borderId="5" xfId="0" applyNumberFormat="1" applyFont="1" applyFill="1" applyBorder="1" applyAlignment="1">
      <alignment horizontal="center" vertical="center"/>
    </xf>
    <xf numFmtId="0" fontId="6" fillId="15" borderId="0" xfId="0" applyFont="1" applyFill="1" applyAlignment="1">
      <alignment vertical="center"/>
    </xf>
    <xf numFmtId="0" fontId="6" fillId="15" borderId="0" xfId="0" applyFont="1" applyFill="1" applyAlignment="1">
      <alignment horizontal="center" vertical="center"/>
    </xf>
    <xf numFmtId="0" fontId="6" fillId="16" borderId="0" xfId="0" applyFont="1" applyFill="1" applyAlignment="1">
      <alignment vertical="center"/>
    </xf>
    <xf numFmtId="0" fontId="6" fillId="16" borderId="0" xfId="0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23"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alignment horizont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33116-C804-4E07-B527-173D7755E9D5}" name="Tabela1" displayName="Tabela1" ref="B4:R329" totalsRowShown="0" headerRowDxfId="18" dataDxfId="17">
  <autoFilter ref="B4:R329" xr:uid="{B3733116-C804-4E07-B527-173D7755E9D5}"/>
  <tableColumns count="17">
    <tableColumn id="1" xr3:uid="{60DF96D3-2FFE-49F2-8AA8-E236342A049D}" name="COLABORADOR" dataDxfId="16"/>
    <tableColumn id="2" xr3:uid="{28F71B7D-98CE-4D3E-833A-80BDDA96EE20}" name="CPF" dataDxfId="15"/>
    <tableColumn id="3" xr3:uid="{6BDCD84C-283B-4256-AA43-F0BD64FAE1AD}" name="SITUAÇÃO" dataDxfId="14"/>
    <tableColumn id="4" xr3:uid="{9A43B6D6-6CD4-4D99-B23E-FF6CE383E1DC}" name="CENTRO DE CUSTO" dataDxfId="13"/>
    <tableColumn id="5" xr3:uid="{1D8ED4A2-366F-4689-8C57-60137F0AC459}" name="GESTOR" dataDxfId="12"/>
    <tableColumn id="6" xr3:uid="{F9C5898B-D601-43D2-8948-379FD01011A9}" name="DIRETOR" dataDxfId="11"/>
    <tableColumn id="8" xr3:uid="{39C2FB7C-DD61-40FF-BA2F-CAA22B0C5E60}" name="SALDO PENDENTE PARCIAL" dataDxfId="10"/>
    <tableColumn id="9" xr3:uid="{51B125E4-3F5B-4AEC-8479-AA33D4876627}" name="CARGA 1 QZ" dataDxfId="9"/>
    <tableColumn id="10" xr3:uid="{6A4676AC-3E0F-4D37-8D01-844C8C2E85AE}" name="SALDO FINAL" dataDxfId="8">
      <calculatedColumnFormula>Tabela1[[#This Row],[SALDO PENDENTE PARCIAL]]-Tabela1[[#This Row],[CARGA 1 QZ]]</calculatedColumnFormula>
    </tableColumn>
    <tableColumn id="11" xr3:uid="{3C5BDB4E-3676-46AA-ABB9-8E00EC65932E}" name="2ª QZ" dataDxfId="7"/>
    <tableColumn id="12" xr3:uid="{AB1DCF09-A8CB-43C8-A978-106EBBFFF024}" name="SALDO CARTAO" dataDxfId="6"/>
    <tableColumn id="13" xr3:uid="{26FAB549-F524-4B41-8724-54C6143B5903}" name="Adiantamento " dataDxfId="5"/>
    <tableColumn id="14" xr3:uid="{C386ECF8-25C9-4F44-9551-ACAB1DDB3419}" name="CARGA PARCIAL" dataDxfId="4">
      <calculatedColumnFormula>Tabela1[[#This Row],[2ª QZ]]-Tabela1[[#This Row],[SALDO FINAL]]-Tabela1[[#This Row],[SALDO CARTAO]]-Tabela1[[#This Row],[Adiantamento ]]</calculatedColumnFormula>
    </tableColumn>
    <tableColumn id="15" xr3:uid="{E239B1EA-7F28-4F8F-9E0C-487BEF3D4E61}" name="REEMBOLSO" dataDxfId="3"/>
    <tableColumn id="16" xr3:uid="{E0267B2A-7A19-4386-90C5-CA5DCBAFDD71}" name="Carga Final " dataDxfId="2">
      <calculatedColumnFormula>IF(Tabela1[[#This Row],[CARGA PARCIAL]]&lt;0,0,Tabela1[[#This Row],[CARGA PARCIAL]])+Tabela1[[#This Row],[REEMBOLSO]]</calculatedColumnFormula>
    </tableColumn>
    <tableColumn id="17" xr3:uid="{C04B04A6-9255-42CF-B534-4509C1553AFC}" name="obs" dataDxfId="1"/>
    <tableColumn id="18" xr3:uid="{AE09AEF9-14AF-4B57-B34D-CA80A6913D3B}" name="STATUS DO CARTÃ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930403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896193" TargetMode="External"/><Relationship Id="rId531" Type="http://schemas.openxmlformats.org/officeDocument/2006/relationships/hyperlink" Target="https://amp.vexpenses.com/settings/membros-de-equipe/917059" TargetMode="External"/><Relationship Id="rId170" Type="http://schemas.openxmlformats.org/officeDocument/2006/relationships/hyperlink" Target="https://amp.vexpenses.com/settings/membros-de-equipe/896077" TargetMode="External"/><Relationship Id="rId268" Type="http://schemas.openxmlformats.org/officeDocument/2006/relationships/hyperlink" Target="https://amp.vexpenses.com/settings/membros-de-equipe/896150" TargetMode="External"/><Relationship Id="rId475" Type="http://schemas.openxmlformats.org/officeDocument/2006/relationships/hyperlink" Target="https://amp.vexpenses.com/settings/membros-de-equipe/896297" TargetMode="External"/><Relationship Id="rId32" Type="http://schemas.openxmlformats.org/officeDocument/2006/relationships/hyperlink" Target="https://amp.vexpenses.com/settings/membros-de-equipe/895968" TargetMode="External"/><Relationship Id="rId128" Type="http://schemas.openxmlformats.org/officeDocument/2006/relationships/hyperlink" Target="https://amp.vexpenses.com/settings/membros-de-equipe/896419" TargetMode="External"/><Relationship Id="rId335" Type="http://schemas.openxmlformats.org/officeDocument/2006/relationships/hyperlink" Target="https://amp.vexpenses.com/settings/membros-de-equipe/1068601" TargetMode="External"/><Relationship Id="rId542" Type="http://schemas.openxmlformats.org/officeDocument/2006/relationships/hyperlink" Target="https://amp.vexpenses.com/settings/membros-de-equipe/1109493" TargetMode="External"/><Relationship Id="rId181" Type="http://schemas.openxmlformats.org/officeDocument/2006/relationships/hyperlink" Target="https://amp.vexpenses.com/settings/membros-de-equipe/1109486" TargetMode="External"/><Relationship Id="rId402" Type="http://schemas.openxmlformats.org/officeDocument/2006/relationships/hyperlink" Target="https://amp.vexpenses.com/settings/membros-de-equipe/896241" TargetMode="External"/><Relationship Id="rId279" Type="http://schemas.openxmlformats.org/officeDocument/2006/relationships/hyperlink" Target="https://amp.vexpenses.com/settings/membros-de-equipe/896159" TargetMode="External"/><Relationship Id="rId486" Type="http://schemas.openxmlformats.org/officeDocument/2006/relationships/hyperlink" Target="https://amp.vexpenses.com/settings/membros-de-equipe/896301" TargetMode="External"/><Relationship Id="rId43" Type="http://schemas.openxmlformats.org/officeDocument/2006/relationships/hyperlink" Target="https://amp.vexpenses.com/settings/membros-de-equipe/895974" TargetMode="External"/><Relationship Id="rId139" Type="http://schemas.openxmlformats.org/officeDocument/2006/relationships/hyperlink" Target="https://amp.vexpenses.com/settings/membros-de-equipe/1033724" TargetMode="External"/><Relationship Id="rId346" Type="http://schemas.openxmlformats.org/officeDocument/2006/relationships/hyperlink" Target="https://amp.vexpenses.com/settings/membros-de-equipe/1117250" TargetMode="External"/><Relationship Id="rId553" Type="http://schemas.openxmlformats.org/officeDocument/2006/relationships/hyperlink" Target="https://amp.vexpenses.com/settings/membros-de-equipe/896355" TargetMode="External"/><Relationship Id="rId192" Type="http://schemas.openxmlformats.org/officeDocument/2006/relationships/hyperlink" Target="https://amp.vexpenses.com/settings/membros-de-equipe/917078" TargetMode="External"/><Relationship Id="rId206" Type="http://schemas.openxmlformats.org/officeDocument/2006/relationships/hyperlink" Target="https://amp.vexpenses.com/settings/membros-de-equipe/896104" TargetMode="External"/><Relationship Id="rId413" Type="http://schemas.openxmlformats.org/officeDocument/2006/relationships/hyperlink" Target="https://amp.vexpenses.com/settings/membros-de-equipe/1059425" TargetMode="External"/><Relationship Id="rId497" Type="http://schemas.openxmlformats.org/officeDocument/2006/relationships/hyperlink" Target="https://amp.vexpenses.com/settings/membros-de-equipe/896308" TargetMode="External"/><Relationship Id="rId357" Type="http://schemas.openxmlformats.org/officeDocument/2006/relationships/hyperlink" Target="https://amp.vexpenses.com/settings/membros-de-equipe/917049" TargetMode="External"/><Relationship Id="rId54" Type="http://schemas.openxmlformats.org/officeDocument/2006/relationships/hyperlink" Target="https://amp.vexpenses.com/settings/membros-de-equipe/917324" TargetMode="External"/><Relationship Id="rId217" Type="http://schemas.openxmlformats.org/officeDocument/2006/relationships/hyperlink" Target="https://amp.vexpenses.com/settings/membros-de-equipe/896117" TargetMode="External"/><Relationship Id="rId564" Type="http://schemas.openxmlformats.org/officeDocument/2006/relationships/hyperlink" Target="https://amp.vexpenses.com/settings/membros-de-equipe/896361" TargetMode="External"/><Relationship Id="rId424" Type="http://schemas.openxmlformats.org/officeDocument/2006/relationships/hyperlink" Target="https://amp.vexpenses.com/settings/membros-de-equipe/896333" TargetMode="External"/><Relationship Id="rId270" Type="http://schemas.openxmlformats.org/officeDocument/2006/relationships/hyperlink" Target="https://amp.vexpenses.com/settings/membros-de-equipe/896151" TargetMode="External"/><Relationship Id="rId65" Type="http://schemas.openxmlformats.org/officeDocument/2006/relationships/hyperlink" Target="https://amp.vexpenses.com/settings/membros-de-equipe/1047085" TargetMode="External"/><Relationship Id="rId130" Type="http://schemas.openxmlformats.org/officeDocument/2006/relationships/hyperlink" Target="https://amp.vexpenses.com/settings/membros-de-equipe/896044" TargetMode="External"/><Relationship Id="rId368" Type="http://schemas.openxmlformats.org/officeDocument/2006/relationships/hyperlink" Target="https://amp.vexpenses.com/settings/membros-de-equipe/1109481" TargetMode="External"/><Relationship Id="rId575" Type="http://schemas.openxmlformats.org/officeDocument/2006/relationships/hyperlink" Target="https://amp.vexpenses.com/settings/membros-de-equipe/1077951" TargetMode="External"/><Relationship Id="rId228" Type="http://schemas.openxmlformats.org/officeDocument/2006/relationships/hyperlink" Target="https://amp.vexpenses.com/settings/membros-de-equipe/896124" TargetMode="External"/><Relationship Id="rId435" Type="http://schemas.openxmlformats.org/officeDocument/2006/relationships/hyperlink" Target="https://amp.vexpenses.com/settings/membros-de-equipe/1128510" TargetMode="External"/><Relationship Id="rId281" Type="http://schemas.openxmlformats.org/officeDocument/2006/relationships/hyperlink" Target="https://amp.vexpenses.com/settings/membros-de-equipe/978694" TargetMode="External"/><Relationship Id="rId502" Type="http://schemas.openxmlformats.org/officeDocument/2006/relationships/hyperlink" Target="https://amp.vexpenses.com/settings/membros-de-equipe/896314" TargetMode="External"/><Relationship Id="rId76" Type="http://schemas.openxmlformats.org/officeDocument/2006/relationships/hyperlink" Target="https://amp.vexpenses.com/settings/membros-de-equipe/917085" TargetMode="External"/><Relationship Id="rId141" Type="http://schemas.openxmlformats.org/officeDocument/2006/relationships/hyperlink" Target="https://amp.vexpenses.com/settings/membros-de-equipe/896051" TargetMode="External"/><Relationship Id="rId379" Type="http://schemas.openxmlformats.org/officeDocument/2006/relationships/hyperlink" Target="https://amp.vexpenses.com/settings/membros-de-equipe/1040939" TargetMode="External"/><Relationship Id="rId586" Type="http://schemas.openxmlformats.org/officeDocument/2006/relationships/hyperlink" Target="https://amp.vexpenses.com/settings/membros-de-equipe/896378" TargetMode="External"/><Relationship Id="rId7" Type="http://schemas.openxmlformats.org/officeDocument/2006/relationships/hyperlink" Target="https://amp.vexpenses.com/settings/membros-de-equipe/895948" TargetMode="External"/><Relationship Id="rId239" Type="http://schemas.openxmlformats.org/officeDocument/2006/relationships/hyperlink" Target="https://amp.vexpenses.com/settings/membros-de-equipe/1051403" TargetMode="External"/><Relationship Id="rId446" Type="http://schemas.openxmlformats.org/officeDocument/2006/relationships/hyperlink" Target="https://amp.vexpenses.com/settings/membros-de-equipe/896274" TargetMode="External"/><Relationship Id="rId292" Type="http://schemas.openxmlformats.org/officeDocument/2006/relationships/hyperlink" Target="https://amp.vexpenses.com/settings/membros-de-equipe/896165" TargetMode="External"/><Relationship Id="rId306" Type="http://schemas.openxmlformats.org/officeDocument/2006/relationships/hyperlink" Target="https://amp.vexpenses.com/settings/membros-de-equipe/896177" TargetMode="External"/><Relationship Id="rId87" Type="http://schemas.openxmlformats.org/officeDocument/2006/relationships/hyperlink" Target="https://amp.vexpenses.com/settings/membros-de-equipe/896006" TargetMode="External"/><Relationship Id="rId513" Type="http://schemas.openxmlformats.org/officeDocument/2006/relationships/hyperlink" Target="https://amp.vexpenses.com/settings/membros-de-equipe/896322" TargetMode="External"/><Relationship Id="rId597" Type="http://schemas.openxmlformats.org/officeDocument/2006/relationships/hyperlink" Target="https://amp.vexpenses.com/settings/membros-de-equipe/896390" TargetMode="External"/><Relationship Id="rId152" Type="http://schemas.openxmlformats.org/officeDocument/2006/relationships/hyperlink" Target="https://amp.vexpenses.com/settings/membros-de-equipe/974110" TargetMode="External"/><Relationship Id="rId457" Type="http://schemas.openxmlformats.org/officeDocument/2006/relationships/hyperlink" Target="https://amp.vexpenses.com/settings/membros-de-equipe/1079585" TargetMode="External"/><Relationship Id="rId14" Type="http://schemas.openxmlformats.org/officeDocument/2006/relationships/hyperlink" Target="https://amp.vexpenses.com/settings/membros-de-equipe/895955" TargetMode="External"/><Relationship Id="rId317" Type="http://schemas.openxmlformats.org/officeDocument/2006/relationships/hyperlink" Target="https://amp.vexpenses.com/settings/membros-de-equipe/896186" TargetMode="External"/><Relationship Id="rId524" Type="http://schemas.openxmlformats.org/officeDocument/2006/relationships/hyperlink" Target="https://amp.vexpenses.com/settings/membros-de-equipe/896331" TargetMode="External"/><Relationship Id="rId98" Type="http://schemas.openxmlformats.org/officeDocument/2006/relationships/hyperlink" Target="https://amp.vexpenses.com/settings/membros-de-equipe/896017" TargetMode="External"/><Relationship Id="rId121" Type="http://schemas.openxmlformats.org/officeDocument/2006/relationships/hyperlink" Target="https://amp.vexpenses.com/settings/membros-de-equipe/896036" TargetMode="External"/><Relationship Id="rId163" Type="http://schemas.openxmlformats.org/officeDocument/2006/relationships/hyperlink" Target="https://amp.vexpenses.com/settings/membros-de-equipe/972167" TargetMode="External"/><Relationship Id="rId219" Type="http://schemas.openxmlformats.org/officeDocument/2006/relationships/hyperlink" Target="https://amp.vexpenses.com/settings/membros-de-equipe/896118" TargetMode="External"/><Relationship Id="rId370" Type="http://schemas.openxmlformats.org/officeDocument/2006/relationships/hyperlink" Target="https://amp.vexpenses.com/settings/membros-de-equipe/896221" TargetMode="External"/><Relationship Id="rId426" Type="http://schemas.openxmlformats.org/officeDocument/2006/relationships/hyperlink" Target="https://amp.vexpenses.com/settings/membros-de-equipe/896257" TargetMode="External"/><Relationship Id="rId230" Type="http://schemas.openxmlformats.org/officeDocument/2006/relationships/hyperlink" Target="https://amp.vexpenses.com/settings/membros-de-equipe/916374" TargetMode="External"/><Relationship Id="rId468" Type="http://schemas.openxmlformats.org/officeDocument/2006/relationships/hyperlink" Target="https://amp.vexpenses.com/settings/membros-de-equipe/896292" TargetMode="External"/><Relationship Id="rId25" Type="http://schemas.openxmlformats.org/officeDocument/2006/relationships/hyperlink" Target="https://amp.vexpenses.com/settings/membros-de-equipe/895964" TargetMode="External"/><Relationship Id="rId67" Type="http://schemas.openxmlformats.org/officeDocument/2006/relationships/hyperlink" Target="https://amp.vexpenses.com/settings/membros-de-equipe/895992" TargetMode="External"/><Relationship Id="rId272" Type="http://schemas.openxmlformats.org/officeDocument/2006/relationships/hyperlink" Target="https://amp.vexpenses.com/settings/membros-de-equipe/896153" TargetMode="External"/><Relationship Id="rId328" Type="http://schemas.openxmlformats.org/officeDocument/2006/relationships/hyperlink" Target="https://amp.vexpenses.com/settings/membros-de-equipe/896198" TargetMode="External"/><Relationship Id="rId535" Type="http://schemas.openxmlformats.org/officeDocument/2006/relationships/hyperlink" Target="https://amp.vexpenses.com/settings/membros-de-equipe/896339" TargetMode="External"/><Relationship Id="rId577" Type="http://schemas.openxmlformats.org/officeDocument/2006/relationships/hyperlink" Target="https://amp.vexpenses.com/settings/membros-de-equipe/931255" TargetMode="External"/><Relationship Id="rId132" Type="http://schemas.openxmlformats.org/officeDocument/2006/relationships/hyperlink" Target="https://amp.vexpenses.com/settings/membros-de-equipe/896045" TargetMode="External"/><Relationship Id="rId174" Type="http://schemas.openxmlformats.org/officeDocument/2006/relationships/hyperlink" Target="https://amp.vexpenses.com/settings/membros-de-equipe/922738" TargetMode="External"/><Relationship Id="rId381" Type="http://schemas.openxmlformats.org/officeDocument/2006/relationships/hyperlink" Target="https://amp.vexpenses.com/settings/membros-de-equipe/896224" TargetMode="External"/><Relationship Id="rId602" Type="http://schemas.openxmlformats.org/officeDocument/2006/relationships/hyperlink" Target="https://amp.vexpenses.com/settings/membros-de-equipe/916366" TargetMode="External"/><Relationship Id="rId241" Type="http://schemas.openxmlformats.org/officeDocument/2006/relationships/hyperlink" Target="https://amp.vexpenses.com/settings/membros-de-equipe/1063503" TargetMode="External"/><Relationship Id="rId437" Type="http://schemas.openxmlformats.org/officeDocument/2006/relationships/hyperlink" Target="https://amp.vexpenses.com/settings/membros-de-equipe/1007813" TargetMode="External"/><Relationship Id="rId479" Type="http://schemas.openxmlformats.org/officeDocument/2006/relationships/hyperlink" Target="https://amp.vexpenses.com/settings/membros-de-equipe/1056032" TargetMode="External"/><Relationship Id="rId36" Type="http://schemas.openxmlformats.org/officeDocument/2006/relationships/hyperlink" Target="https://amp.vexpenses.com/settings/membros-de-equipe/1106575" TargetMode="External"/><Relationship Id="rId283" Type="http://schemas.openxmlformats.org/officeDocument/2006/relationships/hyperlink" Target="https://amp.vexpenses.com/settings/membros-de-equipe/930413" TargetMode="External"/><Relationship Id="rId339" Type="http://schemas.openxmlformats.org/officeDocument/2006/relationships/hyperlink" Target="https://amp.vexpenses.com/settings/membros-de-equipe/921952" TargetMode="External"/><Relationship Id="rId490" Type="http://schemas.openxmlformats.org/officeDocument/2006/relationships/hyperlink" Target="https://amp.vexpenses.com/settings/membros-de-equipe/896304" TargetMode="External"/><Relationship Id="rId504" Type="http://schemas.openxmlformats.org/officeDocument/2006/relationships/hyperlink" Target="https://amp.vexpenses.com/settings/membros-de-equipe/896315" TargetMode="External"/><Relationship Id="rId546" Type="http://schemas.openxmlformats.org/officeDocument/2006/relationships/hyperlink" Target="https://amp.vexpenses.com/settings/membros-de-equipe/896352" TargetMode="External"/><Relationship Id="rId78" Type="http://schemas.openxmlformats.org/officeDocument/2006/relationships/hyperlink" Target="https://amp.vexpenses.com/settings/membros-de-equipe/895999" TargetMode="External"/><Relationship Id="rId101" Type="http://schemas.openxmlformats.org/officeDocument/2006/relationships/hyperlink" Target="https://amp.vexpenses.com/settings/membros-de-equipe/952397" TargetMode="External"/><Relationship Id="rId143" Type="http://schemas.openxmlformats.org/officeDocument/2006/relationships/hyperlink" Target="https://amp.vexpenses.com/settings/membros-de-equipe/896052" TargetMode="External"/><Relationship Id="rId185" Type="http://schemas.openxmlformats.org/officeDocument/2006/relationships/hyperlink" Target="https://amp.vexpenses.com/settings/membros-de-equipe/946138" TargetMode="External"/><Relationship Id="rId350" Type="http://schemas.openxmlformats.org/officeDocument/2006/relationships/hyperlink" Target="https://amp.vexpenses.com/settings/membros-de-equipe/1023033" TargetMode="External"/><Relationship Id="rId406" Type="http://schemas.openxmlformats.org/officeDocument/2006/relationships/hyperlink" Target="https://amp.vexpenses.com/settings/membros-de-equipe/917057" TargetMode="External"/><Relationship Id="rId588" Type="http://schemas.openxmlformats.org/officeDocument/2006/relationships/hyperlink" Target="https://amp.vexpenses.com/settings/membros-de-equipe/1077047" TargetMode="External"/><Relationship Id="rId9" Type="http://schemas.openxmlformats.org/officeDocument/2006/relationships/hyperlink" Target="https://amp.vexpenses.com/settings/membros-de-equipe/978182" TargetMode="External"/><Relationship Id="rId210" Type="http://schemas.openxmlformats.org/officeDocument/2006/relationships/hyperlink" Target="https://amp.vexpenses.com/settings/membros-de-equipe/917058" TargetMode="External"/><Relationship Id="rId392" Type="http://schemas.openxmlformats.org/officeDocument/2006/relationships/hyperlink" Target="https://amp.vexpenses.com/settings/membros-de-equipe/970758" TargetMode="External"/><Relationship Id="rId448" Type="http://schemas.openxmlformats.org/officeDocument/2006/relationships/hyperlink" Target="https://amp.vexpenses.com/settings/membros-de-equipe/1106570" TargetMode="External"/><Relationship Id="rId252" Type="http://schemas.openxmlformats.org/officeDocument/2006/relationships/hyperlink" Target="https://amp.vexpenses.com/settings/membros-de-equipe/954733" TargetMode="External"/><Relationship Id="rId294" Type="http://schemas.openxmlformats.org/officeDocument/2006/relationships/hyperlink" Target="https://amp.vexpenses.com/settings/membros-de-equipe/1114315" TargetMode="External"/><Relationship Id="rId308" Type="http://schemas.openxmlformats.org/officeDocument/2006/relationships/hyperlink" Target="https://amp.vexpenses.com/settings/membros-de-equipe/896179" TargetMode="External"/><Relationship Id="rId515" Type="http://schemas.openxmlformats.org/officeDocument/2006/relationships/hyperlink" Target="https://amp.vexpenses.com/settings/membros-de-equipe/896325" TargetMode="External"/><Relationship Id="rId47" Type="http://schemas.openxmlformats.org/officeDocument/2006/relationships/hyperlink" Target="https://amp.vexpenses.com/settings/membros-de-equipe/895978" TargetMode="External"/><Relationship Id="rId89" Type="http://schemas.openxmlformats.org/officeDocument/2006/relationships/hyperlink" Target="https://amp.vexpenses.com/settings/membros-de-equipe/896008" TargetMode="External"/><Relationship Id="rId112" Type="http://schemas.openxmlformats.org/officeDocument/2006/relationships/hyperlink" Target="https://amp.vexpenses.com/settings/membros-de-equipe/896027" TargetMode="External"/><Relationship Id="rId154" Type="http://schemas.openxmlformats.org/officeDocument/2006/relationships/hyperlink" Target="https://amp.vexpenses.com/settings/membros-de-equipe/896063" TargetMode="External"/><Relationship Id="rId361" Type="http://schemas.openxmlformats.org/officeDocument/2006/relationships/hyperlink" Target="https://amp.vexpenses.com/settings/membros-de-equipe/896216" TargetMode="External"/><Relationship Id="rId557" Type="http://schemas.openxmlformats.org/officeDocument/2006/relationships/hyperlink" Target="https://amp.vexpenses.com/settings/membros-de-equipe/896358" TargetMode="External"/><Relationship Id="rId599" Type="http://schemas.openxmlformats.org/officeDocument/2006/relationships/hyperlink" Target="https://amp.vexpenses.com/settings/membros-de-equipe/896392" TargetMode="External"/><Relationship Id="rId196" Type="http://schemas.openxmlformats.org/officeDocument/2006/relationships/hyperlink" Target="https://amp.vexpenses.com/settings/membros-de-equipe/896094" TargetMode="External"/><Relationship Id="rId417" Type="http://schemas.openxmlformats.org/officeDocument/2006/relationships/hyperlink" Target="https://amp.vexpenses.com/settings/membros-de-equipe/896251" TargetMode="External"/><Relationship Id="rId459" Type="http://schemas.openxmlformats.org/officeDocument/2006/relationships/hyperlink" Target="https://amp.vexpenses.com/settings/membros-de-equipe/896285" TargetMode="External"/><Relationship Id="rId16" Type="http://schemas.openxmlformats.org/officeDocument/2006/relationships/hyperlink" Target="https://amp.vexpenses.com/settings/membros-de-equipe/985870" TargetMode="External"/><Relationship Id="rId221" Type="http://schemas.openxmlformats.org/officeDocument/2006/relationships/hyperlink" Target="https://amp.vexpenses.com/settings/membros-de-equipe/896119" TargetMode="External"/><Relationship Id="rId263" Type="http://schemas.openxmlformats.org/officeDocument/2006/relationships/hyperlink" Target="https://amp.vexpenses.com/settings/membros-de-equipe/958951" TargetMode="External"/><Relationship Id="rId319" Type="http://schemas.openxmlformats.org/officeDocument/2006/relationships/hyperlink" Target="https://amp.vexpenses.com/settings/membros-de-equipe/896189" TargetMode="External"/><Relationship Id="rId470" Type="http://schemas.openxmlformats.org/officeDocument/2006/relationships/hyperlink" Target="https://amp.vexpenses.com/settings/membros-de-equipe/896295" TargetMode="External"/><Relationship Id="rId526" Type="http://schemas.openxmlformats.org/officeDocument/2006/relationships/hyperlink" Target="https://amp.vexpenses.com/settings/membros-de-equipe/1106577" TargetMode="External"/><Relationship Id="rId58" Type="http://schemas.openxmlformats.org/officeDocument/2006/relationships/hyperlink" Target="https://amp.vexpenses.com/settings/membros-de-equipe/895984" TargetMode="External"/><Relationship Id="rId123" Type="http://schemas.openxmlformats.org/officeDocument/2006/relationships/hyperlink" Target="https://amp.vexpenses.com/settings/membros-de-equipe/890792" TargetMode="External"/><Relationship Id="rId330" Type="http://schemas.openxmlformats.org/officeDocument/2006/relationships/hyperlink" Target="https://amp.vexpenses.com/settings/membros-de-equipe/896200" TargetMode="External"/><Relationship Id="rId568" Type="http://schemas.openxmlformats.org/officeDocument/2006/relationships/hyperlink" Target="https://amp.vexpenses.com/settings/membros-de-equipe/896364" TargetMode="External"/><Relationship Id="rId165" Type="http://schemas.openxmlformats.org/officeDocument/2006/relationships/hyperlink" Target="https://amp.vexpenses.com/settings/membros-de-equipe/896073" TargetMode="External"/><Relationship Id="rId372" Type="http://schemas.openxmlformats.org/officeDocument/2006/relationships/hyperlink" Target="https://amp.vexpenses.com/settings/membros-de-equipe/1114308" TargetMode="External"/><Relationship Id="rId428" Type="http://schemas.openxmlformats.org/officeDocument/2006/relationships/hyperlink" Target="https://amp.vexpenses.com/settings/membros-de-equipe/896258" TargetMode="External"/><Relationship Id="rId232" Type="http://schemas.openxmlformats.org/officeDocument/2006/relationships/hyperlink" Target="https://amp.vexpenses.com/settings/membros-de-equipe/896127" TargetMode="External"/><Relationship Id="rId274" Type="http://schemas.openxmlformats.org/officeDocument/2006/relationships/hyperlink" Target="https://amp.vexpenses.com/settings/membros-de-equipe/1119271" TargetMode="External"/><Relationship Id="rId481" Type="http://schemas.openxmlformats.org/officeDocument/2006/relationships/hyperlink" Target="https://amp.vexpenses.com/settings/membros-de-equipe/1087712" TargetMode="External"/><Relationship Id="rId27" Type="http://schemas.openxmlformats.org/officeDocument/2006/relationships/hyperlink" Target="https://amp.vexpenses.com/settings/membros-de-equipe/895965" TargetMode="External"/><Relationship Id="rId69" Type="http://schemas.openxmlformats.org/officeDocument/2006/relationships/hyperlink" Target="https://amp.vexpenses.com/settings/membros-de-equipe/895994" TargetMode="External"/><Relationship Id="rId134" Type="http://schemas.openxmlformats.org/officeDocument/2006/relationships/hyperlink" Target="https://amp.vexpenses.com/settings/membros-de-equipe/896048" TargetMode="External"/><Relationship Id="rId537" Type="http://schemas.openxmlformats.org/officeDocument/2006/relationships/hyperlink" Target="https://amp.vexpenses.com/settings/membros-de-equipe/896342" TargetMode="External"/><Relationship Id="rId579" Type="http://schemas.openxmlformats.org/officeDocument/2006/relationships/hyperlink" Target="https://amp.vexpenses.com/settings/membros-de-equipe/1068619" TargetMode="External"/><Relationship Id="rId80" Type="http://schemas.openxmlformats.org/officeDocument/2006/relationships/hyperlink" Target="https://amp.vexpenses.com/settings/membros-de-equipe/896001" TargetMode="External"/><Relationship Id="rId176" Type="http://schemas.openxmlformats.org/officeDocument/2006/relationships/hyperlink" Target="https://amp.vexpenses.com/settings/membros-de-equipe/961468" TargetMode="External"/><Relationship Id="rId341" Type="http://schemas.openxmlformats.org/officeDocument/2006/relationships/hyperlink" Target="https://amp.vexpenses.com/settings/membros-de-equipe/1008342" TargetMode="External"/><Relationship Id="rId383" Type="http://schemas.openxmlformats.org/officeDocument/2006/relationships/hyperlink" Target="https://amp.vexpenses.com/settings/membros-de-equipe/896225" TargetMode="External"/><Relationship Id="rId439" Type="http://schemas.openxmlformats.org/officeDocument/2006/relationships/hyperlink" Target="https://amp.vexpenses.com/settings/membros-de-equipe/896267" TargetMode="External"/><Relationship Id="rId590" Type="http://schemas.openxmlformats.org/officeDocument/2006/relationships/hyperlink" Target="https://amp.vexpenses.com/settings/membros-de-equipe/896381" TargetMode="External"/><Relationship Id="rId604" Type="http://schemas.openxmlformats.org/officeDocument/2006/relationships/hyperlink" Target="https://amp.vexpenses.com/settings/membros-de-equipe/921921" TargetMode="External"/><Relationship Id="rId201" Type="http://schemas.openxmlformats.org/officeDocument/2006/relationships/hyperlink" Target="https://amp.vexpenses.com/settings/membros-de-equipe/896099" TargetMode="External"/><Relationship Id="rId243" Type="http://schemas.openxmlformats.org/officeDocument/2006/relationships/hyperlink" Target="https://amp.vexpenses.com/settings/membros-de-equipe/1073274" TargetMode="External"/><Relationship Id="rId285" Type="http://schemas.openxmlformats.org/officeDocument/2006/relationships/hyperlink" Target="https://amp.vexpenses.com/settings/membros-de-equipe/896162" TargetMode="External"/><Relationship Id="rId450" Type="http://schemas.openxmlformats.org/officeDocument/2006/relationships/hyperlink" Target="https://amp.vexpenses.com/settings/membros-de-equipe/896276" TargetMode="External"/><Relationship Id="rId506" Type="http://schemas.openxmlformats.org/officeDocument/2006/relationships/hyperlink" Target="https://amp.vexpenses.com/settings/membros-de-equipe/922275" TargetMode="External"/><Relationship Id="rId38" Type="http://schemas.openxmlformats.org/officeDocument/2006/relationships/hyperlink" Target="https://amp.vexpenses.com/settings/membros-de-equipe/918852" TargetMode="External"/><Relationship Id="rId103" Type="http://schemas.openxmlformats.org/officeDocument/2006/relationships/hyperlink" Target="https://amp.vexpenses.com/settings/membros-de-equipe/896021" TargetMode="External"/><Relationship Id="rId310" Type="http://schemas.openxmlformats.org/officeDocument/2006/relationships/hyperlink" Target="https://amp.vexpenses.com/settings/membros-de-equipe/896181" TargetMode="External"/><Relationship Id="rId492" Type="http://schemas.openxmlformats.org/officeDocument/2006/relationships/hyperlink" Target="https://amp.vexpenses.com/settings/membros-de-equipe/921795" TargetMode="External"/><Relationship Id="rId548" Type="http://schemas.openxmlformats.org/officeDocument/2006/relationships/hyperlink" Target="https://amp.vexpenses.com/settings/membros-de-equipe/896353" TargetMode="External"/><Relationship Id="rId91" Type="http://schemas.openxmlformats.org/officeDocument/2006/relationships/hyperlink" Target="https://amp.vexpenses.com/settings/membros-de-equipe/896009" TargetMode="External"/><Relationship Id="rId145" Type="http://schemas.openxmlformats.org/officeDocument/2006/relationships/hyperlink" Target="https://amp.vexpenses.com/settings/membros-de-equipe/896053" TargetMode="External"/><Relationship Id="rId187" Type="http://schemas.openxmlformats.org/officeDocument/2006/relationships/hyperlink" Target="https://amp.vexpenses.com/settings/membros-de-equipe/896088" TargetMode="External"/><Relationship Id="rId352" Type="http://schemas.openxmlformats.org/officeDocument/2006/relationships/hyperlink" Target="https://amp.vexpenses.com/settings/membros-de-equipe/896211" TargetMode="External"/><Relationship Id="rId394" Type="http://schemas.openxmlformats.org/officeDocument/2006/relationships/hyperlink" Target="https://amp.vexpenses.com/settings/membros-de-equipe/896233" TargetMode="External"/><Relationship Id="rId408" Type="http://schemas.openxmlformats.org/officeDocument/2006/relationships/hyperlink" Target="https://amp.vexpenses.com/settings/membros-de-equipe/896244" TargetMode="External"/><Relationship Id="rId212" Type="http://schemas.openxmlformats.org/officeDocument/2006/relationships/hyperlink" Target="https://amp.vexpenses.com/settings/membros-de-equipe/927567" TargetMode="External"/><Relationship Id="rId254" Type="http://schemas.openxmlformats.org/officeDocument/2006/relationships/hyperlink" Target="https://amp.vexpenses.com/settings/membros-de-equipe/1106552" TargetMode="External"/><Relationship Id="rId49" Type="http://schemas.openxmlformats.org/officeDocument/2006/relationships/hyperlink" Target="https://amp.vexpenses.com/settings/membros-de-equipe/1114311" TargetMode="External"/><Relationship Id="rId114" Type="http://schemas.openxmlformats.org/officeDocument/2006/relationships/hyperlink" Target="https://amp.vexpenses.com/settings/membros-de-equipe/896030" TargetMode="External"/><Relationship Id="rId296" Type="http://schemas.openxmlformats.org/officeDocument/2006/relationships/hyperlink" Target="https://amp.vexpenses.com/settings/membros-de-equipe/1079549" TargetMode="External"/><Relationship Id="rId461" Type="http://schemas.openxmlformats.org/officeDocument/2006/relationships/hyperlink" Target="https://amp.vexpenses.com/settings/membros-de-equipe/921927" TargetMode="External"/><Relationship Id="rId517" Type="http://schemas.openxmlformats.org/officeDocument/2006/relationships/hyperlink" Target="https://amp.vexpenses.com/settings/membros-de-equipe/1106584" TargetMode="External"/><Relationship Id="rId559" Type="http://schemas.openxmlformats.org/officeDocument/2006/relationships/hyperlink" Target="https://amp.vexpenses.com/settings/membros-de-equipe/930440" TargetMode="External"/><Relationship Id="rId60" Type="http://schemas.openxmlformats.org/officeDocument/2006/relationships/hyperlink" Target="https://amp.vexpenses.com/settings/membros-de-equipe/916889" TargetMode="External"/><Relationship Id="rId156" Type="http://schemas.openxmlformats.org/officeDocument/2006/relationships/hyperlink" Target="https://amp.vexpenses.com/settings/membros-de-equipe/896066" TargetMode="External"/><Relationship Id="rId198" Type="http://schemas.openxmlformats.org/officeDocument/2006/relationships/hyperlink" Target="https://amp.vexpenses.com/settings/membros-de-equipe/896096" TargetMode="External"/><Relationship Id="rId321" Type="http://schemas.openxmlformats.org/officeDocument/2006/relationships/hyperlink" Target="https://amp.vexpenses.com/settings/membros-de-equipe/958523" TargetMode="External"/><Relationship Id="rId363" Type="http://schemas.openxmlformats.org/officeDocument/2006/relationships/hyperlink" Target="https://amp.vexpenses.com/settings/membros-de-equipe/896218" TargetMode="External"/><Relationship Id="rId419" Type="http://schemas.openxmlformats.org/officeDocument/2006/relationships/hyperlink" Target="https://amp.vexpenses.com/settings/membros-de-equipe/896252" TargetMode="External"/><Relationship Id="rId570" Type="http://schemas.openxmlformats.org/officeDocument/2006/relationships/hyperlink" Target="https://amp.vexpenses.com/settings/membros-de-equipe/917052" TargetMode="External"/><Relationship Id="rId223" Type="http://schemas.openxmlformats.org/officeDocument/2006/relationships/hyperlink" Target="https://amp.vexpenses.com/settings/membros-de-equipe/896120" TargetMode="External"/><Relationship Id="rId430" Type="http://schemas.openxmlformats.org/officeDocument/2006/relationships/hyperlink" Target="https://amp.vexpenses.com/settings/membros-de-equipe/1109482" TargetMode="External"/><Relationship Id="rId18" Type="http://schemas.openxmlformats.org/officeDocument/2006/relationships/hyperlink" Target="https://amp.vexpenses.com/settings/membros-de-equipe/895957" TargetMode="External"/><Relationship Id="rId265" Type="http://schemas.openxmlformats.org/officeDocument/2006/relationships/hyperlink" Target="https://amp.vexpenses.com/settings/membros-de-equipe/896148" TargetMode="External"/><Relationship Id="rId472" Type="http://schemas.openxmlformats.org/officeDocument/2006/relationships/hyperlink" Target="https://amp.vexpenses.com/settings/membros-de-equipe/973950" TargetMode="External"/><Relationship Id="rId528" Type="http://schemas.openxmlformats.org/officeDocument/2006/relationships/hyperlink" Target="https://amp.vexpenses.com/settings/membros-de-equipe/896335" TargetMode="External"/><Relationship Id="rId125" Type="http://schemas.openxmlformats.org/officeDocument/2006/relationships/hyperlink" Target="https://amp.vexpenses.com/settings/membros-de-equipe/916919" TargetMode="External"/><Relationship Id="rId167" Type="http://schemas.openxmlformats.org/officeDocument/2006/relationships/hyperlink" Target="https://amp.vexpenses.com/settings/membros-de-equipe/896075" TargetMode="External"/><Relationship Id="rId332" Type="http://schemas.openxmlformats.org/officeDocument/2006/relationships/hyperlink" Target="https://amp.vexpenses.com/settings/membros-de-equipe/946419" TargetMode="External"/><Relationship Id="rId374" Type="http://schemas.openxmlformats.org/officeDocument/2006/relationships/hyperlink" Target="https://amp.vexpenses.com/settings/membros-de-equipe/1061873" TargetMode="External"/><Relationship Id="rId581" Type="http://schemas.openxmlformats.org/officeDocument/2006/relationships/hyperlink" Target="https://amp.vexpenses.com/settings/membros-de-equipe/1073268" TargetMode="External"/><Relationship Id="rId71" Type="http://schemas.openxmlformats.org/officeDocument/2006/relationships/hyperlink" Target="https://amp.vexpenses.com/settings/membros-de-equipe/920071" TargetMode="External"/><Relationship Id="rId234" Type="http://schemas.openxmlformats.org/officeDocument/2006/relationships/hyperlink" Target="https://amp.vexpenses.com/settings/membros-de-equipe/1033564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6" TargetMode="External"/><Relationship Id="rId276" Type="http://schemas.openxmlformats.org/officeDocument/2006/relationships/hyperlink" Target="https://amp.vexpenses.com/settings/membros-de-equipe/896157" TargetMode="External"/><Relationship Id="rId441" Type="http://schemas.openxmlformats.org/officeDocument/2006/relationships/hyperlink" Target="https://amp.vexpenses.com/settings/membros-de-equipe/896269" TargetMode="External"/><Relationship Id="rId483" Type="http://schemas.openxmlformats.org/officeDocument/2006/relationships/hyperlink" Target="https://amp.vexpenses.com/settings/membros-de-equipe/896299" TargetMode="External"/><Relationship Id="rId539" Type="http://schemas.openxmlformats.org/officeDocument/2006/relationships/hyperlink" Target="https://amp.vexpenses.com/settings/membros-de-equipe/896344" TargetMode="External"/><Relationship Id="rId40" Type="http://schemas.openxmlformats.org/officeDocument/2006/relationships/hyperlink" Target="https://amp.vexpenses.com/settings/membros-de-equipe/1063505" TargetMode="External"/><Relationship Id="rId136" Type="http://schemas.openxmlformats.org/officeDocument/2006/relationships/hyperlink" Target="https://amp.vexpenses.com/settings/membros-de-equipe/1066365" TargetMode="External"/><Relationship Id="rId178" Type="http://schemas.openxmlformats.org/officeDocument/2006/relationships/hyperlink" Target="https://amp.vexpenses.com/settings/membros-de-equipe/896082" TargetMode="External"/><Relationship Id="rId301" Type="http://schemas.openxmlformats.org/officeDocument/2006/relationships/hyperlink" Target="https://amp.vexpenses.com/settings/membros-de-equipe/896173" TargetMode="External"/><Relationship Id="rId343" Type="http://schemas.openxmlformats.org/officeDocument/2006/relationships/hyperlink" Target="https://amp.vexpenses.com/settings/membros-de-equipe/896206" TargetMode="External"/><Relationship Id="rId550" Type="http://schemas.openxmlformats.org/officeDocument/2006/relationships/hyperlink" Target="https://amp.vexpenses.com/settings/membros-de-equipe/1117262" TargetMode="External"/><Relationship Id="rId82" Type="http://schemas.openxmlformats.org/officeDocument/2006/relationships/hyperlink" Target="https://amp.vexpenses.com/settings/membros-de-equipe/896002" TargetMode="External"/><Relationship Id="rId203" Type="http://schemas.openxmlformats.org/officeDocument/2006/relationships/hyperlink" Target="https://amp.vexpenses.com/settings/membros-de-equipe/961342" TargetMode="External"/><Relationship Id="rId385" Type="http://schemas.openxmlformats.org/officeDocument/2006/relationships/hyperlink" Target="https://amp.vexpenses.com/settings/membros-de-equipe/925993" TargetMode="External"/><Relationship Id="rId592" Type="http://schemas.openxmlformats.org/officeDocument/2006/relationships/hyperlink" Target="https://amp.vexpenses.com/settings/membros-de-equipe/896385" TargetMode="External"/><Relationship Id="rId245" Type="http://schemas.openxmlformats.org/officeDocument/2006/relationships/hyperlink" Target="https://amp.vexpenses.com/settings/membros-de-equipe/997009" TargetMode="External"/><Relationship Id="rId287" Type="http://schemas.openxmlformats.org/officeDocument/2006/relationships/hyperlink" Target="https://amp.vexpenses.com/settings/membros-de-equipe/916884" TargetMode="External"/><Relationship Id="rId410" Type="http://schemas.openxmlformats.org/officeDocument/2006/relationships/hyperlink" Target="https://amp.vexpenses.com/settings/membros-de-equipe/948926" TargetMode="External"/><Relationship Id="rId452" Type="http://schemas.openxmlformats.org/officeDocument/2006/relationships/hyperlink" Target="https://amp.vexpenses.com/settings/membros-de-equipe/896279" TargetMode="External"/><Relationship Id="rId494" Type="http://schemas.openxmlformats.org/officeDocument/2006/relationships/hyperlink" Target="https://amp.vexpenses.com/settings/membros-de-equipe/928994" TargetMode="External"/><Relationship Id="rId508" Type="http://schemas.openxmlformats.org/officeDocument/2006/relationships/hyperlink" Target="https://amp.vexpenses.com/settings/membros-de-equipe/896316" TargetMode="External"/><Relationship Id="rId105" Type="http://schemas.openxmlformats.org/officeDocument/2006/relationships/hyperlink" Target="https://amp.vexpenses.com/settings/membros-de-equipe/999640" TargetMode="External"/><Relationship Id="rId147" Type="http://schemas.openxmlformats.org/officeDocument/2006/relationships/hyperlink" Target="https://amp.vexpenses.com/settings/membros-de-equipe/896055" TargetMode="External"/><Relationship Id="rId312" Type="http://schemas.openxmlformats.org/officeDocument/2006/relationships/hyperlink" Target="https://amp.vexpenses.com/settings/membros-de-equipe/1072503" TargetMode="External"/><Relationship Id="rId354" Type="http://schemas.openxmlformats.org/officeDocument/2006/relationships/hyperlink" Target="https://amp.vexpenses.com/settings/membros-de-equipe/896212" TargetMode="External"/><Relationship Id="rId51" Type="http://schemas.openxmlformats.org/officeDocument/2006/relationships/hyperlink" Target="https://amp.vexpenses.com/settings/membros-de-equipe/934784" TargetMode="External"/><Relationship Id="rId93" Type="http://schemas.openxmlformats.org/officeDocument/2006/relationships/hyperlink" Target="https://amp.vexpenses.com/settings/membros-de-equipe/896011" TargetMode="External"/><Relationship Id="rId189" Type="http://schemas.openxmlformats.org/officeDocument/2006/relationships/hyperlink" Target="https://amp.vexpenses.com/settings/membros-de-equipe/896090" TargetMode="External"/><Relationship Id="rId396" Type="http://schemas.openxmlformats.org/officeDocument/2006/relationships/hyperlink" Target="https://amp.vexpenses.com/settings/membros-de-equipe/896235" TargetMode="External"/><Relationship Id="rId561" Type="http://schemas.openxmlformats.org/officeDocument/2006/relationships/hyperlink" Target="https://amp.vexpenses.com/settings/membros-de-equipe/1060225" TargetMode="External"/><Relationship Id="rId214" Type="http://schemas.openxmlformats.org/officeDocument/2006/relationships/hyperlink" Target="https://amp.vexpenses.com/settings/membros-de-equipe/930400" TargetMode="External"/><Relationship Id="rId256" Type="http://schemas.openxmlformats.org/officeDocument/2006/relationships/hyperlink" Target="https://amp.vexpenses.com/settings/membros-de-equipe/896141" TargetMode="External"/><Relationship Id="rId298" Type="http://schemas.openxmlformats.org/officeDocument/2006/relationships/hyperlink" Target="https://amp.vexpenses.com/settings/membros-de-equipe/896170" TargetMode="External"/><Relationship Id="rId421" Type="http://schemas.openxmlformats.org/officeDocument/2006/relationships/hyperlink" Target="https://amp.vexpenses.com/settings/membros-de-equipe/1001913" TargetMode="External"/><Relationship Id="rId463" Type="http://schemas.openxmlformats.org/officeDocument/2006/relationships/hyperlink" Target="https://amp.vexpenses.com/settings/membros-de-equipe/896288" TargetMode="External"/><Relationship Id="rId519" Type="http://schemas.openxmlformats.org/officeDocument/2006/relationships/hyperlink" Target="https://amp.vexpenses.com/settings/membros-de-equipe/1110286" TargetMode="External"/><Relationship Id="rId116" Type="http://schemas.openxmlformats.org/officeDocument/2006/relationships/hyperlink" Target="https://amp.vexpenses.com/settings/membros-de-equipe/896033" TargetMode="External"/><Relationship Id="rId158" Type="http://schemas.openxmlformats.org/officeDocument/2006/relationships/hyperlink" Target="https://amp.vexpenses.com/settings/membros-de-equipe/896068" TargetMode="External"/><Relationship Id="rId323" Type="http://schemas.openxmlformats.org/officeDocument/2006/relationships/hyperlink" Target="https://amp.vexpenses.com/settings/membros-de-equipe/896192" TargetMode="External"/><Relationship Id="rId530" Type="http://schemas.openxmlformats.org/officeDocument/2006/relationships/hyperlink" Target="https://amp.vexpenses.com/settings/membros-de-equipe/896336" TargetMode="External"/><Relationship Id="rId20" Type="http://schemas.openxmlformats.org/officeDocument/2006/relationships/hyperlink" Target="https://amp.vexpenses.com/settings/membros-de-equipe/895959" TargetMode="External"/><Relationship Id="rId62" Type="http://schemas.openxmlformats.org/officeDocument/2006/relationships/hyperlink" Target="https://amp.vexpenses.com/settings/membros-de-equipe/891977" TargetMode="External"/><Relationship Id="rId365" Type="http://schemas.openxmlformats.org/officeDocument/2006/relationships/hyperlink" Target="https://amp.vexpenses.com/settings/membros-de-equipe/1011271" TargetMode="External"/><Relationship Id="rId572" Type="http://schemas.openxmlformats.org/officeDocument/2006/relationships/hyperlink" Target="https://amp.vexpenses.com/settings/membros-de-equipe/896367" TargetMode="External"/><Relationship Id="rId225" Type="http://schemas.openxmlformats.org/officeDocument/2006/relationships/hyperlink" Target="https://amp.vexpenses.com/settings/membros-de-equipe/916905" TargetMode="External"/><Relationship Id="rId267" Type="http://schemas.openxmlformats.org/officeDocument/2006/relationships/hyperlink" Target="https://amp.vexpenses.com/settings/membros-de-equipe/1090880" TargetMode="External"/><Relationship Id="rId432" Type="http://schemas.openxmlformats.org/officeDocument/2006/relationships/hyperlink" Target="https://amp.vexpenses.com/settings/membros-de-equipe/896262" TargetMode="External"/><Relationship Id="rId474" Type="http://schemas.openxmlformats.org/officeDocument/2006/relationships/hyperlink" Target="https://amp.vexpenses.com/settings/membros-de-equipe/896296" TargetMode="External"/><Relationship Id="rId127" Type="http://schemas.openxmlformats.org/officeDocument/2006/relationships/hyperlink" Target="https://amp.vexpenses.com/settings/membros-de-equipe/923635" TargetMode="External"/><Relationship Id="rId31" Type="http://schemas.openxmlformats.org/officeDocument/2006/relationships/hyperlink" Target="https://amp.vexpenses.com/settings/membros-de-equipe/971287" TargetMode="External"/><Relationship Id="rId73" Type="http://schemas.openxmlformats.org/officeDocument/2006/relationships/hyperlink" Target="https://amp.vexpenses.com/settings/membros-de-equipe/895996" TargetMode="External"/><Relationship Id="rId169" Type="http://schemas.openxmlformats.org/officeDocument/2006/relationships/hyperlink" Target="https://amp.vexpenses.com/settings/membros-de-equipe/920845" TargetMode="External"/><Relationship Id="rId334" Type="http://schemas.openxmlformats.org/officeDocument/2006/relationships/hyperlink" Target="https://amp.vexpenses.com/settings/membros-de-equipe/896204" TargetMode="External"/><Relationship Id="rId376" Type="http://schemas.openxmlformats.org/officeDocument/2006/relationships/hyperlink" Target="https://amp.vexpenses.com/settings/membros-de-equipe/1060396" TargetMode="External"/><Relationship Id="rId541" Type="http://schemas.openxmlformats.org/officeDocument/2006/relationships/hyperlink" Target="https://amp.vexpenses.com/settings/membros-de-equipe/1100086" TargetMode="External"/><Relationship Id="rId583" Type="http://schemas.openxmlformats.org/officeDocument/2006/relationships/hyperlink" Target="https://amp.vexpenses.com/settings/membros-de-equipe/917368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83" TargetMode="External"/><Relationship Id="rId236" Type="http://schemas.openxmlformats.org/officeDocument/2006/relationships/hyperlink" Target="https://amp.vexpenses.com/settings/membros-de-equipe/896132" TargetMode="External"/><Relationship Id="rId278" Type="http://schemas.openxmlformats.org/officeDocument/2006/relationships/hyperlink" Target="https://amp.vexpenses.com/settings/membros-de-equipe/931414" TargetMode="External"/><Relationship Id="rId401" Type="http://schemas.openxmlformats.org/officeDocument/2006/relationships/hyperlink" Target="https://amp.vexpenses.com/settings/membros-de-equipe/896240" TargetMode="External"/><Relationship Id="rId443" Type="http://schemas.openxmlformats.org/officeDocument/2006/relationships/hyperlink" Target="https://amp.vexpenses.com/settings/membros-de-equipe/896270" TargetMode="External"/><Relationship Id="rId303" Type="http://schemas.openxmlformats.org/officeDocument/2006/relationships/hyperlink" Target="https://amp.vexpenses.com/settings/membros-de-equipe/957803" TargetMode="External"/><Relationship Id="rId485" Type="http://schemas.openxmlformats.org/officeDocument/2006/relationships/hyperlink" Target="https://amp.vexpenses.com/settings/membros-de-equipe/896300" TargetMode="External"/><Relationship Id="rId42" Type="http://schemas.openxmlformats.org/officeDocument/2006/relationships/hyperlink" Target="https://amp.vexpenses.com/settings/membros-de-equipe/966263" TargetMode="External"/><Relationship Id="rId84" Type="http://schemas.openxmlformats.org/officeDocument/2006/relationships/hyperlink" Target="https://amp.vexpenses.com/settings/membros-de-equipe/1129186" TargetMode="External"/><Relationship Id="rId138" Type="http://schemas.openxmlformats.org/officeDocument/2006/relationships/hyperlink" Target="https://amp.vexpenses.com/settings/membros-de-equipe/896049" TargetMode="External"/><Relationship Id="rId345" Type="http://schemas.openxmlformats.org/officeDocument/2006/relationships/hyperlink" Target="https://amp.vexpenses.com/settings/membros-de-equipe/896207" TargetMode="External"/><Relationship Id="rId387" Type="http://schemas.openxmlformats.org/officeDocument/2006/relationships/hyperlink" Target="https://amp.vexpenses.com/settings/membros-de-equipe/896228" TargetMode="External"/><Relationship Id="rId510" Type="http://schemas.openxmlformats.org/officeDocument/2006/relationships/hyperlink" Target="https://amp.vexpenses.com/settings/membros-de-equipe/896318" TargetMode="External"/><Relationship Id="rId552" Type="http://schemas.openxmlformats.org/officeDocument/2006/relationships/hyperlink" Target="https://amp.vexpenses.com/settings/membros-de-equipe/920862" TargetMode="External"/><Relationship Id="rId594" Type="http://schemas.openxmlformats.org/officeDocument/2006/relationships/hyperlink" Target="https://amp.vexpenses.com/settings/membros-de-equipe/896388" TargetMode="External"/><Relationship Id="rId191" Type="http://schemas.openxmlformats.org/officeDocument/2006/relationships/hyperlink" Target="https://amp.vexpenses.com/settings/membros-de-equipe/944251" TargetMode="External"/><Relationship Id="rId205" Type="http://schemas.openxmlformats.org/officeDocument/2006/relationships/hyperlink" Target="https://amp.vexpenses.com/settings/membros-de-equipe/896103" TargetMode="External"/><Relationship Id="rId247" Type="http://schemas.openxmlformats.org/officeDocument/2006/relationships/hyperlink" Target="https://amp.vexpenses.com/settings/membros-de-equipe/922784" TargetMode="External"/><Relationship Id="rId412" Type="http://schemas.openxmlformats.org/officeDocument/2006/relationships/hyperlink" Target="https://amp.vexpenses.com/settings/membros-de-equipe/896246" TargetMode="External"/><Relationship Id="rId107" Type="http://schemas.openxmlformats.org/officeDocument/2006/relationships/hyperlink" Target="https://amp.vexpenses.com/settings/membros-de-equipe/1129756" TargetMode="External"/><Relationship Id="rId289" Type="http://schemas.openxmlformats.org/officeDocument/2006/relationships/hyperlink" Target="https://amp.vexpenses.com/settings/membros-de-equipe/1008341" TargetMode="External"/><Relationship Id="rId454" Type="http://schemas.openxmlformats.org/officeDocument/2006/relationships/hyperlink" Target="https://amp.vexpenses.com/settings/membros-de-equipe/896281" TargetMode="External"/><Relationship Id="rId496" Type="http://schemas.openxmlformats.org/officeDocument/2006/relationships/hyperlink" Target="https://amp.vexpenses.com/settings/membros-de-equipe/896306" TargetMode="External"/><Relationship Id="rId11" Type="http://schemas.openxmlformats.org/officeDocument/2006/relationships/hyperlink" Target="https://amp.vexpenses.com/settings/membros-de-equipe/895951" TargetMode="External"/><Relationship Id="rId53" Type="http://schemas.openxmlformats.org/officeDocument/2006/relationships/hyperlink" Target="https://amp.vexpenses.com/settings/membros-de-equipe/1089708" TargetMode="External"/><Relationship Id="rId149" Type="http://schemas.openxmlformats.org/officeDocument/2006/relationships/hyperlink" Target="https://amp.vexpenses.com/settings/membros-de-equipe/896058" TargetMode="External"/><Relationship Id="rId314" Type="http://schemas.openxmlformats.org/officeDocument/2006/relationships/hyperlink" Target="https://amp.vexpenses.com/settings/membros-de-equipe/896184" TargetMode="External"/><Relationship Id="rId356" Type="http://schemas.openxmlformats.org/officeDocument/2006/relationships/hyperlink" Target="https://amp.vexpenses.com/settings/membros-de-equipe/896214" TargetMode="External"/><Relationship Id="rId398" Type="http://schemas.openxmlformats.org/officeDocument/2006/relationships/hyperlink" Target="https://amp.vexpenses.com/settings/membros-de-equipe/896237" TargetMode="External"/><Relationship Id="rId521" Type="http://schemas.openxmlformats.org/officeDocument/2006/relationships/hyperlink" Target="https://amp.vexpenses.com/settings/membros-de-equipe/896329" TargetMode="External"/><Relationship Id="rId563" Type="http://schemas.openxmlformats.org/officeDocument/2006/relationships/hyperlink" Target="https://amp.vexpenses.com/settings/membros-de-equipe/896360" TargetMode="External"/><Relationship Id="rId95" Type="http://schemas.openxmlformats.org/officeDocument/2006/relationships/hyperlink" Target="https://amp.vexpenses.com/settings/membros-de-equipe/896014" TargetMode="External"/><Relationship Id="rId160" Type="http://schemas.openxmlformats.org/officeDocument/2006/relationships/hyperlink" Target="https://amp.vexpenses.com/settings/membros-de-equipe/930406" TargetMode="External"/><Relationship Id="rId216" Type="http://schemas.openxmlformats.org/officeDocument/2006/relationships/hyperlink" Target="https://amp.vexpenses.com/settings/membros-de-equipe/1064227" TargetMode="External"/><Relationship Id="rId423" Type="http://schemas.openxmlformats.org/officeDocument/2006/relationships/hyperlink" Target="https://amp.vexpenses.com/settings/membros-de-equipe/1068608" TargetMode="External"/><Relationship Id="rId258" Type="http://schemas.openxmlformats.org/officeDocument/2006/relationships/hyperlink" Target="https://amp.vexpenses.com/settings/membros-de-equipe/896143" TargetMode="External"/><Relationship Id="rId465" Type="http://schemas.openxmlformats.org/officeDocument/2006/relationships/hyperlink" Target="https://amp.vexpenses.com/settings/membros-de-equipe/896289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1115604" TargetMode="External"/><Relationship Id="rId118" Type="http://schemas.openxmlformats.org/officeDocument/2006/relationships/hyperlink" Target="https://amp.vexpenses.com/settings/membros-de-equipe/935041" TargetMode="External"/><Relationship Id="rId325" Type="http://schemas.openxmlformats.org/officeDocument/2006/relationships/hyperlink" Target="https://amp.vexpenses.com/settings/membros-de-equipe/896195" TargetMode="External"/><Relationship Id="rId367" Type="http://schemas.openxmlformats.org/officeDocument/2006/relationships/hyperlink" Target="https://amp.vexpenses.com/settings/membros-de-equipe/896220" TargetMode="External"/><Relationship Id="rId532" Type="http://schemas.openxmlformats.org/officeDocument/2006/relationships/hyperlink" Target="https://amp.vexpenses.com/settings/membros-de-equipe/1088596" TargetMode="External"/><Relationship Id="rId574" Type="http://schemas.openxmlformats.org/officeDocument/2006/relationships/hyperlink" Target="https://amp.vexpenses.com/settings/membros-de-equipe/1023079" TargetMode="External"/><Relationship Id="rId171" Type="http://schemas.openxmlformats.org/officeDocument/2006/relationships/hyperlink" Target="https://amp.vexpenses.com/settings/membros-de-equipe/1063498" TargetMode="External"/><Relationship Id="rId227" Type="http://schemas.openxmlformats.org/officeDocument/2006/relationships/hyperlink" Target="https://amp.vexpenses.com/settings/membros-de-equipe/896123" TargetMode="External"/><Relationship Id="rId269" Type="http://schemas.openxmlformats.org/officeDocument/2006/relationships/hyperlink" Target="https://amp.vexpenses.com/settings/membros-de-equipe/923651" TargetMode="External"/><Relationship Id="rId434" Type="http://schemas.openxmlformats.org/officeDocument/2006/relationships/hyperlink" Target="https://amp.vexpenses.com/settings/membros-de-equipe/896264" TargetMode="External"/><Relationship Id="rId476" Type="http://schemas.openxmlformats.org/officeDocument/2006/relationships/hyperlink" Target="https://amp.vexpenses.com/settings/membros-de-equipe/1063495" TargetMode="External"/><Relationship Id="rId33" Type="http://schemas.openxmlformats.org/officeDocument/2006/relationships/hyperlink" Target="https://amp.vexpenses.com/settings/membros-de-equipe/1133255" TargetMode="External"/><Relationship Id="rId129" Type="http://schemas.openxmlformats.org/officeDocument/2006/relationships/hyperlink" Target="https://amp.vexpenses.com/settings/membros-de-equipe/896041" TargetMode="External"/><Relationship Id="rId280" Type="http://schemas.openxmlformats.org/officeDocument/2006/relationships/hyperlink" Target="https://amp.vexpenses.com/settings/membros-de-equipe/978440" TargetMode="External"/><Relationship Id="rId336" Type="http://schemas.openxmlformats.org/officeDocument/2006/relationships/hyperlink" Target="https://amp.vexpenses.com/settings/membros-de-equipe/1109484" TargetMode="External"/><Relationship Id="rId501" Type="http://schemas.openxmlformats.org/officeDocument/2006/relationships/hyperlink" Target="https://amp.vexpenses.com/settings/membros-de-equipe/896313" TargetMode="External"/><Relationship Id="rId543" Type="http://schemas.openxmlformats.org/officeDocument/2006/relationships/hyperlink" Target="https://amp.vexpenses.com/settings/membros-de-equipe/896348" TargetMode="External"/><Relationship Id="rId75" Type="http://schemas.openxmlformats.org/officeDocument/2006/relationships/hyperlink" Target="https://amp.vexpenses.com/settings/membros-de-equipe/895997" TargetMode="External"/><Relationship Id="rId140" Type="http://schemas.openxmlformats.org/officeDocument/2006/relationships/hyperlink" Target="https://amp.vexpenses.com/settings/membros-de-equipe/896050" TargetMode="External"/><Relationship Id="rId182" Type="http://schemas.openxmlformats.org/officeDocument/2006/relationships/hyperlink" Target="https://amp.vexpenses.com/settings/membros-de-equipe/896084" TargetMode="External"/><Relationship Id="rId378" Type="http://schemas.openxmlformats.org/officeDocument/2006/relationships/hyperlink" Target="https://amp.vexpenses.com/settings/membros-de-equipe/917361" TargetMode="External"/><Relationship Id="rId403" Type="http://schemas.openxmlformats.org/officeDocument/2006/relationships/hyperlink" Target="https://amp.vexpenses.com/settings/membros-de-equipe/896242" TargetMode="External"/><Relationship Id="rId585" Type="http://schemas.openxmlformats.org/officeDocument/2006/relationships/hyperlink" Target="https://amp.vexpenses.com/settings/membros-de-equipe/896376" TargetMode="External"/><Relationship Id="rId6" Type="http://schemas.openxmlformats.org/officeDocument/2006/relationships/hyperlink" Target="https://amp.vexpenses.com/settings/membros-de-equipe/895947" TargetMode="External"/><Relationship Id="rId238" Type="http://schemas.openxmlformats.org/officeDocument/2006/relationships/hyperlink" Target="https://amp.vexpenses.com/settings/membros-de-equipe/1116216" TargetMode="External"/><Relationship Id="rId445" Type="http://schemas.openxmlformats.org/officeDocument/2006/relationships/hyperlink" Target="https://amp.vexpenses.com/settings/membros-de-equipe/896272" TargetMode="External"/><Relationship Id="rId487" Type="http://schemas.openxmlformats.org/officeDocument/2006/relationships/hyperlink" Target="https://amp.vexpenses.com/settings/membros-de-equipe/896302" TargetMode="External"/><Relationship Id="rId291" Type="http://schemas.openxmlformats.org/officeDocument/2006/relationships/hyperlink" Target="https://amp.vexpenses.com/settings/membros-de-equipe/1106549" TargetMode="External"/><Relationship Id="rId305" Type="http://schemas.openxmlformats.org/officeDocument/2006/relationships/hyperlink" Target="https://amp.vexpenses.com/settings/membros-de-equipe/1088602" TargetMode="External"/><Relationship Id="rId347" Type="http://schemas.openxmlformats.org/officeDocument/2006/relationships/hyperlink" Target="https://amp.vexpenses.com/settings/membros-de-equipe/916936" TargetMode="External"/><Relationship Id="rId512" Type="http://schemas.openxmlformats.org/officeDocument/2006/relationships/hyperlink" Target="https://amp.vexpenses.com/settings/membros-de-equipe/1033729" TargetMode="External"/><Relationship Id="rId44" Type="http://schemas.openxmlformats.org/officeDocument/2006/relationships/hyperlink" Target="https://amp.vexpenses.com/settings/membros-de-equipe/929757" TargetMode="External"/><Relationship Id="rId86" Type="http://schemas.openxmlformats.org/officeDocument/2006/relationships/hyperlink" Target="https://amp.vexpenses.com/settings/membros-de-equipe/1068617" TargetMode="External"/><Relationship Id="rId151" Type="http://schemas.openxmlformats.org/officeDocument/2006/relationships/hyperlink" Target="https://amp.vexpenses.com/settings/membros-de-equipe/896061" TargetMode="External"/><Relationship Id="rId389" Type="http://schemas.openxmlformats.org/officeDocument/2006/relationships/hyperlink" Target="https://amp.vexpenses.com/settings/membros-de-equipe/896230" TargetMode="External"/><Relationship Id="rId554" Type="http://schemas.openxmlformats.org/officeDocument/2006/relationships/hyperlink" Target="https://amp.vexpenses.com/settings/membros-de-equipe/917051" TargetMode="External"/><Relationship Id="rId596" Type="http://schemas.openxmlformats.org/officeDocument/2006/relationships/hyperlink" Target="https://amp.vexpenses.com/settings/membros-de-equipe/1061896" TargetMode="External"/><Relationship Id="rId193" Type="http://schemas.openxmlformats.org/officeDocument/2006/relationships/hyperlink" Target="https://amp.vexpenses.com/settings/membros-de-equipe/896091" TargetMode="External"/><Relationship Id="rId207" Type="http://schemas.openxmlformats.org/officeDocument/2006/relationships/hyperlink" Target="https://amp.vexpenses.com/settings/membros-de-equipe/896106" TargetMode="External"/><Relationship Id="rId249" Type="http://schemas.openxmlformats.org/officeDocument/2006/relationships/hyperlink" Target="https://amp.vexpenses.com/settings/membros-de-equipe/1033558" TargetMode="External"/><Relationship Id="rId414" Type="http://schemas.openxmlformats.org/officeDocument/2006/relationships/hyperlink" Target="https://amp.vexpenses.com/settings/membros-de-equipe/896249" TargetMode="External"/><Relationship Id="rId456" Type="http://schemas.openxmlformats.org/officeDocument/2006/relationships/hyperlink" Target="https://amp.vexpenses.com/settings/membros-de-equipe/1109489" TargetMode="External"/><Relationship Id="rId498" Type="http://schemas.openxmlformats.org/officeDocument/2006/relationships/hyperlink" Target="https://amp.vexpenses.com/settings/membros-de-equipe/1035869" TargetMode="External"/><Relationship Id="rId13" Type="http://schemas.openxmlformats.org/officeDocument/2006/relationships/hyperlink" Target="https://amp.vexpenses.com/settings/membros-de-equipe/895954" TargetMode="External"/><Relationship Id="rId109" Type="http://schemas.openxmlformats.org/officeDocument/2006/relationships/hyperlink" Target="https://amp.vexpenses.com/settings/membros-de-equipe/896024" TargetMode="External"/><Relationship Id="rId260" Type="http://schemas.openxmlformats.org/officeDocument/2006/relationships/hyperlink" Target="https://amp.vexpenses.com/settings/membros-de-equipe/896144" TargetMode="External"/><Relationship Id="rId316" Type="http://schemas.openxmlformats.org/officeDocument/2006/relationships/hyperlink" Target="https://amp.vexpenses.com/settings/membros-de-equipe/896185" TargetMode="External"/><Relationship Id="rId523" Type="http://schemas.openxmlformats.org/officeDocument/2006/relationships/hyperlink" Target="https://amp.vexpenses.com/settings/membros-de-equipe/963612" TargetMode="External"/><Relationship Id="rId55" Type="http://schemas.openxmlformats.org/officeDocument/2006/relationships/hyperlink" Target="https://amp.vexpenses.com/settings/membros-de-equipe/1084037" TargetMode="External"/><Relationship Id="rId97" Type="http://schemas.openxmlformats.org/officeDocument/2006/relationships/hyperlink" Target="https://amp.vexpenses.com/settings/membros-de-equipe/930924" TargetMode="External"/><Relationship Id="rId120" Type="http://schemas.openxmlformats.org/officeDocument/2006/relationships/hyperlink" Target="https://amp.vexpenses.com/settings/membros-de-equipe/896035" TargetMode="External"/><Relationship Id="rId358" Type="http://schemas.openxmlformats.org/officeDocument/2006/relationships/hyperlink" Target="https://amp.vexpenses.com/settings/membros-de-equipe/896215" TargetMode="External"/><Relationship Id="rId565" Type="http://schemas.openxmlformats.org/officeDocument/2006/relationships/hyperlink" Target="https://amp.vexpenses.com/settings/membros-de-equipe/920855" TargetMode="External"/><Relationship Id="rId162" Type="http://schemas.openxmlformats.org/officeDocument/2006/relationships/hyperlink" Target="https://amp.vexpenses.com/settings/membros-de-equipe/896071" TargetMode="External"/><Relationship Id="rId218" Type="http://schemas.openxmlformats.org/officeDocument/2006/relationships/hyperlink" Target="https://amp.vexpenses.com/settings/membros-de-equipe/896421" TargetMode="External"/><Relationship Id="rId425" Type="http://schemas.openxmlformats.org/officeDocument/2006/relationships/hyperlink" Target="https://amp.vexpenses.com/settings/membros-de-equipe/896255" TargetMode="External"/><Relationship Id="rId467" Type="http://schemas.openxmlformats.org/officeDocument/2006/relationships/hyperlink" Target="https://amp.vexpenses.com/settings/membros-de-equipe/896291" TargetMode="External"/><Relationship Id="rId271" Type="http://schemas.openxmlformats.org/officeDocument/2006/relationships/hyperlink" Target="https://amp.vexpenses.com/settings/membros-de-equipe/896152" TargetMode="External"/><Relationship Id="rId24" Type="http://schemas.openxmlformats.org/officeDocument/2006/relationships/hyperlink" Target="https://amp.vexpenses.com/settings/membros-de-equipe/895963" TargetMode="External"/><Relationship Id="rId66" Type="http://schemas.openxmlformats.org/officeDocument/2006/relationships/hyperlink" Target="https://amp.vexpenses.com/settings/membros-de-equipe/895991" TargetMode="External"/><Relationship Id="rId131" Type="http://schemas.openxmlformats.org/officeDocument/2006/relationships/hyperlink" Target="https://amp.vexpenses.com/settings/membros-de-equipe/917345" TargetMode="External"/><Relationship Id="rId327" Type="http://schemas.openxmlformats.org/officeDocument/2006/relationships/hyperlink" Target="https://amp.vexpenses.com/settings/membros-de-equipe/896197" TargetMode="External"/><Relationship Id="rId369" Type="http://schemas.openxmlformats.org/officeDocument/2006/relationships/hyperlink" Target="https://amp.vexpenses.com/settings/membros-de-equipe/891904" TargetMode="External"/><Relationship Id="rId534" Type="http://schemas.openxmlformats.org/officeDocument/2006/relationships/hyperlink" Target="https://amp.vexpenses.com/settings/membros-de-equipe/1137282" TargetMode="External"/><Relationship Id="rId576" Type="http://schemas.openxmlformats.org/officeDocument/2006/relationships/hyperlink" Target="https://amp.vexpenses.com/settings/membros-de-equipe/896369" TargetMode="External"/><Relationship Id="rId173" Type="http://schemas.openxmlformats.org/officeDocument/2006/relationships/hyperlink" Target="https://amp.vexpenses.com/settings/membros-de-equipe/896079" TargetMode="External"/><Relationship Id="rId229" Type="http://schemas.openxmlformats.org/officeDocument/2006/relationships/hyperlink" Target="https://amp.vexpenses.com/settings/membros-de-equipe/1106565" TargetMode="External"/><Relationship Id="rId380" Type="http://schemas.openxmlformats.org/officeDocument/2006/relationships/hyperlink" Target="https://amp.vexpenses.com/settings/membros-de-equipe/896223" TargetMode="External"/><Relationship Id="rId436" Type="http://schemas.openxmlformats.org/officeDocument/2006/relationships/hyperlink" Target="https://amp.vexpenses.com/settings/membros-de-equipe/924050" TargetMode="External"/><Relationship Id="rId601" Type="http://schemas.openxmlformats.org/officeDocument/2006/relationships/hyperlink" Target="https://amp.vexpenses.com/settings/membros-de-equipe/896394" TargetMode="External"/><Relationship Id="rId240" Type="http://schemas.openxmlformats.org/officeDocument/2006/relationships/hyperlink" Target="https://amp.vexpenses.com/settings/membros-de-equipe/917353" TargetMode="External"/><Relationship Id="rId478" Type="http://schemas.openxmlformats.org/officeDocument/2006/relationships/hyperlink" Target="https://amp.vexpenses.com/settings/membros-de-equipe/1054503" TargetMode="External"/><Relationship Id="rId35" Type="http://schemas.openxmlformats.org/officeDocument/2006/relationships/hyperlink" Target="https://amp.vexpenses.com/settings/membros-de-equipe/1033749" TargetMode="External"/><Relationship Id="rId77" Type="http://schemas.openxmlformats.org/officeDocument/2006/relationships/hyperlink" Target="https://amp.vexpenses.com/settings/membros-de-equipe/930416" TargetMode="External"/><Relationship Id="rId100" Type="http://schemas.openxmlformats.org/officeDocument/2006/relationships/hyperlink" Target="https://amp.vexpenses.com/settings/membros-de-equipe/896019" TargetMode="External"/><Relationship Id="rId282" Type="http://schemas.openxmlformats.org/officeDocument/2006/relationships/hyperlink" Target="https://amp.vexpenses.com/settings/membros-de-equipe/1072283" TargetMode="External"/><Relationship Id="rId338" Type="http://schemas.openxmlformats.org/officeDocument/2006/relationships/hyperlink" Target="https://amp.vexpenses.com/settings/membros-de-equipe/896205" TargetMode="External"/><Relationship Id="rId503" Type="http://schemas.openxmlformats.org/officeDocument/2006/relationships/hyperlink" Target="https://amp.vexpenses.com/settings/membros-de-equipe/917081" TargetMode="External"/><Relationship Id="rId545" Type="http://schemas.openxmlformats.org/officeDocument/2006/relationships/hyperlink" Target="https://amp.vexpenses.com/settings/membros-de-equipe/896351" TargetMode="External"/><Relationship Id="rId587" Type="http://schemas.openxmlformats.org/officeDocument/2006/relationships/hyperlink" Target="https://amp.vexpenses.com/settings/membros-de-equipe/923842" TargetMode="External"/><Relationship Id="rId8" Type="http://schemas.openxmlformats.org/officeDocument/2006/relationships/hyperlink" Target="https://amp.vexpenses.com/settings/membros-de-equipe/895949" TargetMode="External"/><Relationship Id="rId142" Type="http://schemas.openxmlformats.org/officeDocument/2006/relationships/hyperlink" Target="https://amp.vexpenses.com/settings/membros-de-equipe/1088600" TargetMode="External"/><Relationship Id="rId184" Type="http://schemas.openxmlformats.org/officeDocument/2006/relationships/hyperlink" Target="https://amp.vexpenses.com/settings/membros-de-equipe/1077948" TargetMode="External"/><Relationship Id="rId391" Type="http://schemas.openxmlformats.org/officeDocument/2006/relationships/hyperlink" Target="https://amp.vexpenses.com/settings/membros-de-equipe/916932" TargetMode="External"/><Relationship Id="rId405" Type="http://schemas.openxmlformats.org/officeDocument/2006/relationships/hyperlink" Target="https://amp.vexpenses.com/settings/membros-de-equipe/1130776" TargetMode="External"/><Relationship Id="rId447" Type="http://schemas.openxmlformats.org/officeDocument/2006/relationships/hyperlink" Target="https://amp.vexpenses.com/settings/membros-de-equipe/896275" TargetMode="External"/><Relationship Id="rId251" Type="http://schemas.openxmlformats.org/officeDocument/2006/relationships/hyperlink" Target="https://amp.vexpenses.com/settings/membros-de-equipe/896137" TargetMode="External"/><Relationship Id="rId489" Type="http://schemas.openxmlformats.org/officeDocument/2006/relationships/hyperlink" Target="https://amp.vexpenses.com/settings/membros-de-equipe/896303" TargetMode="External"/><Relationship Id="rId46" Type="http://schemas.openxmlformats.org/officeDocument/2006/relationships/hyperlink" Target="https://amp.vexpenses.com/settings/membros-de-equipe/895977" TargetMode="External"/><Relationship Id="rId293" Type="http://schemas.openxmlformats.org/officeDocument/2006/relationships/hyperlink" Target="https://amp.vexpenses.com/settings/membros-de-equipe/896166" TargetMode="External"/><Relationship Id="rId307" Type="http://schemas.openxmlformats.org/officeDocument/2006/relationships/hyperlink" Target="https://amp.vexpenses.com/settings/membros-de-equipe/896178" TargetMode="External"/><Relationship Id="rId349" Type="http://schemas.openxmlformats.org/officeDocument/2006/relationships/hyperlink" Target="https://amp.vexpenses.com/settings/membros-de-equipe/1010665" TargetMode="External"/><Relationship Id="rId514" Type="http://schemas.openxmlformats.org/officeDocument/2006/relationships/hyperlink" Target="https://amp.vexpenses.com/settings/membros-de-equipe/896324" TargetMode="External"/><Relationship Id="rId556" Type="http://schemas.openxmlformats.org/officeDocument/2006/relationships/hyperlink" Target="https://amp.vexpenses.com/settings/membros-de-equipe/896397" TargetMode="External"/><Relationship Id="rId88" Type="http://schemas.openxmlformats.org/officeDocument/2006/relationships/hyperlink" Target="https://amp.vexpenses.com/settings/membros-de-equipe/896007" TargetMode="External"/><Relationship Id="rId111" Type="http://schemas.openxmlformats.org/officeDocument/2006/relationships/hyperlink" Target="https://amp.vexpenses.com/settings/membros-de-equipe/896026" TargetMode="External"/><Relationship Id="rId153" Type="http://schemas.openxmlformats.org/officeDocument/2006/relationships/hyperlink" Target="https://amp.vexpenses.com/settings/membros-de-equipe/927175" TargetMode="External"/><Relationship Id="rId195" Type="http://schemas.openxmlformats.org/officeDocument/2006/relationships/hyperlink" Target="https://amp.vexpenses.com/settings/membros-de-equipe/896093" TargetMode="External"/><Relationship Id="rId209" Type="http://schemas.openxmlformats.org/officeDocument/2006/relationships/hyperlink" Target="https://amp.vexpenses.com/settings/membros-de-equipe/917075" TargetMode="External"/><Relationship Id="rId360" Type="http://schemas.openxmlformats.org/officeDocument/2006/relationships/hyperlink" Target="https://amp.vexpenses.com/settings/membros-de-equipe/1091438" TargetMode="External"/><Relationship Id="rId416" Type="http://schemas.openxmlformats.org/officeDocument/2006/relationships/hyperlink" Target="https://amp.vexpenses.com/settings/membros-de-equipe/913936" TargetMode="External"/><Relationship Id="rId598" Type="http://schemas.openxmlformats.org/officeDocument/2006/relationships/hyperlink" Target="https://amp.vexpenses.com/settings/membros-de-equipe/896391" TargetMode="External"/><Relationship Id="rId220" Type="http://schemas.openxmlformats.org/officeDocument/2006/relationships/hyperlink" Target="https://amp.vexpenses.com/settings/membros-de-equipe/1001575" TargetMode="External"/><Relationship Id="rId458" Type="http://schemas.openxmlformats.org/officeDocument/2006/relationships/hyperlink" Target="https://amp.vexpenses.com/settings/membros-de-equipe/896284" TargetMode="External"/><Relationship Id="rId15" Type="http://schemas.openxmlformats.org/officeDocument/2006/relationships/hyperlink" Target="https://amp.vexpenses.com/settings/membros-de-equipe/895956" TargetMode="External"/><Relationship Id="rId57" Type="http://schemas.openxmlformats.org/officeDocument/2006/relationships/hyperlink" Target="https://amp.vexpenses.com/settings/membros-de-equipe/895983" TargetMode="External"/><Relationship Id="rId262" Type="http://schemas.openxmlformats.org/officeDocument/2006/relationships/hyperlink" Target="https://amp.vexpenses.com/settings/membros-de-equipe/1055662" TargetMode="External"/><Relationship Id="rId318" Type="http://schemas.openxmlformats.org/officeDocument/2006/relationships/hyperlink" Target="https://amp.vexpenses.com/settings/membros-de-equipe/896188" TargetMode="External"/><Relationship Id="rId525" Type="http://schemas.openxmlformats.org/officeDocument/2006/relationships/hyperlink" Target="https://amp.vexpenses.com/settings/membros-de-equipe/896332" TargetMode="External"/><Relationship Id="rId567" Type="http://schemas.openxmlformats.org/officeDocument/2006/relationships/hyperlink" Target="https://amp.vexpenses.com/settings/membros-de-equipe/896363" TargetMode="External"/><Relationship Id="rId99" Type="http://schemas.openxmlformats.org/officeDocument/2006/relationships/hyperlink" Target="https://amp.vexpenses.com/settings/membros-de-equipe/896018" TargetMode="External"/><Relationship Id="rId122" Type="http://schemas.openxmlformats.org/officeDocument/2006/relationships/hyperlink" Target="https://amp.vexpenses.com/settings/membros-de-equipe/1077041" TargetMode="External"/><Relationship Id="rId164" Type="http://schemas.openxmlformats.org/officeDocument/2006/relationships/hyperlink" Target="https://amp.vexpenses.com/settings/membros-de-equipe/896072" TargetMode="External"/><Relationship Id="rId371" Type="http://schemas.openxmlformats.org/officeDocument/2006/relationships/hyperlink" Target="https://amp.vexpenses.com/settings/membros-de-equipe/923895" TargetMode="External"/><Relationship Id="rId427" Type="http://schemas.openxmlformats.org/officeDocument/2006/relationships/hyperlink" Target="https://amp.vexpenses.com/settings/membros-de-equipe/1100052" TargetMode="External"/><Relationship Id="rId469" Type="http://schemas.openxmlformats.org/officeDocument/2006/relationships/hyperlink" Target="https://amp.vexpenses.com/settings/membros-de-equipe/896293" TargetMode="External"/><Relationship Id="rId26" Type="http://schemas.openxmlformats.org/officeDocument/2006/relationships/hyperlink" Target="https://amp.vexpenses.com/settings/membros-de-equipe/1071873" TargetMode="External"/><Relationship Id="rId231" Type="http://schemas.openxmlformats.org/officeDocument/2006/relationships/hyperlink" Target="https://amp.vexpenses.com/settings/membros-de-equipe/978280" TargetMode="External"/><Relationship Id="rId273" Type="http://schemas.openxmlformats.org/officeDocument/2006/relationships/hyperlink" Target="https://amp.vexpenses.com/settings/membros-de-equipe/896154" TargetMode="External"/><Relationship Id="rId329" Type="http://schemas.openxmlformats.org/officeDocument/2006/relationships/hyperlink" Target="https://amp.vexpenses.com/settings/membros-de-equipe/896199" TargetMode="External"/><Relationship Id="rId480" Type="http://schemas.openxmlformats.org/officeDocument/2006/relationships/hyperlink" Target="https://amp.vexpenses.com/settings/membros-de-equipe/891978" TargetMode="External"/><Relationship Id="rId536" Type="http://schemas.openxmlformats.org/officeDocument/2006/relationships/hyperlink" Target="https://amp.vexpenses.com/settings/membros-de-equipe/896340" TargetMode="External"/><Relationship Id="rId68" Type="http://schemas.openxmlformats.org/officeDocument/2006/relationships/hyperlink" Target="https://amp.vexpenses.com/settings/membros-de-equipe/895993" TargetMode="External"/><Relationship Id="rId133" Type="http://schemas.openxmlformats.org/officeDocument/2006/relationships/hyperlink" Target="https://amp.vexpenses.com/settings/membros-de-equipe/896047" TargetMode="External"/><Relationship Id="rId175" Type="http://schemas.openxmlformats.org/officeDocument/2006/relationships/hyperlink" Target="https://amp.vexpenses.com/settings/membros-de-equipe/896080" TargetMode="External"/><Relationship Id="rId340" Type="http://schemas.openxmlformats.org/officeDocument/2006/relationships/hyperlink" Target="https://amp.vexpenses.com/settings/membros-de-equipe/1079553" TargetMode="External"/><Relationship Id="rId578" Type="http://schemas.openxmlformats.org/officeDocument/2006/relationships/hyperlink" Target="https://amp.vexpenses.com/settings/membros-de-equipe/896373" TargetMode="External"/><Relationship Id="rId200" Type="http://schemas.openxmlformats.org/officeDocument/2006/relationships/hyperlink" Target="https://amp.vexpenses.com/settings/membros-de-equipe/940437" TargetMode="External"/><Relationship Id="rId382" Type="http://schemas.openxmlformats.org/officeDocument/2006/relationships/hyperlink" Target="https://amp.vexpenses.com/settings/membros-de-equipe/1010647" TargetMode="External"/><Relationship Id="rId438" Type="http://schemas.openxmlformats.org/officeDocument/2006/relationships/hyperlink" Target="https://amp.vexpenses.com/settings/membros-de-equipe/917363" TargetMode="External"/><Relationship Id="rId603" Type="http://schemas.openxmlformats.org/officeDocument/2006/relationships/hyperlink" Target="https://amp.vexpenses.com/settings/membros-de-equipe/1056326" TargetMode="External"/><Relationship Id="rId242" Type="http://schemas.openxmlformats.org/officeDocument/2006/relationships/hyperlink" Target="https://amp.vexpenses.com/settings/membros-de-equipe/896133" TargetMode="External"/><Relationship Id="rId284" Type="http://schemas.openxmlformats.org/officeDocument/2006/relationships/hyperlink" Target="https://amp.vexpenses.com/settings/membros-de-equipe/896161" TargetMode="External"/><Relationship Id="rId491" Type="http://schemas.openxmlformats.org/officeDocument/2006/relationships/hyperlink" Target="https://amp.vexpenses.com/settings/membros-de-equipe/1109495" TargetMode="External"/><Relationship Id="rId505" Type="http://schemas.openxmlformats.org/officeDocument/2006/relationships/hyperlink" Target="https://amp.vexpenses.com/settings/membros-de-equipe/1072510" TargetMode="External"/><Relationship Id="rId37" Type="http://schemas.openxmlformats.org/officeDocument/2006/relationships/hyperlink" Target="https://amp.vexpenses.com/settings/membros-de-equipe/895969" TargetMode="External"/><Relationship Id="rId79" Type="http://schemas.openxmlformats.org/officeDocument/2006/relationships/hyperlink" Target="https://amp.vexpenses.com/settings/membros-de-equipe/896000" TargetMode="External"/><Relationship Id="rId102" Type="http://schemas.openxmlformats.org/officeDocument/2006/relationships/hyperlink" Target="https://amp.vexpenses.com/settings/membros-de-equipe/896020" TargetMode="External"/><Relationship Id="rId144" Type="http://schemas.openxmlformats.org/officeDocument/2006/relationships/hyperlink" Target="https://amp.vexpenses.com/settings/membros-de-equipe/1077048" TargetMode="External"/><Relationship Id="rId547" Type="http://schemas.openxmlformats.org/officeDocument/2006/relationships/hyperlink" Target="https://amp.vexpenses.com/settings/membros-de-equipe/891979" TargetMode="External"/><Relationship Id="rId589" Type="http://schemas.openxmlformats.org/officeDocument/2006/relationships/hyperlink" Target="https://amp.vexpenses.com/settings/membros-de-equipe/896380" TargetMode="External"/><Relationship Id="rId90" Type="http://schemas.openxmlformats.org/officeDocument/2006/relationships/hyperlink" Target="https://amp.vexpenses.com/settings/membros-de-equipe/1010642" TargetMode="External"/><Relationship Id="rId186" Type="http://schemas.openxmlformats.org/officeDocument/2006/relationships/hyperlink" Target="https://amp.vexpenses.com/settings/membros-de-equipe/896087" TargetMode="External"/><Relationship Id="rId351" Type="http://schemas.openxmlformats.org/officeDocument/2006/relationships/hyperlink" Target="https://amp.vexpenses.com/settings/membros-de-equipe/896210" TargetMode="External"/><Relationship Id="rId393" Type="http://schemas.openxmlformats.org/officeDocument/2006/relationships/hyperlink" Target="https://amp.vexpenses.com/settings/membros-de-equipe/896232" TargetMode="External"/><Relationship Id="rId407" Type="http://schemas.openxmlformats.org/officeDocument/2006/relationships/hyperlink" Target="https://amp.vexpenses.com/settings/membros-de-equipe/917365" TargetMode="External"/><Relationship Id="rId449" Type="http://schemas.openxmlformats.org/officeDocument/2006/relationships/hyperlink" Target="https://amp.vexpenses.com/settings/membros-de-equipe/1042864" TargetMode="External"/><Relationship Id="rId211" Type="http://schemas.openxmlformats.org/officeDocument/2006/relationships/hyperlink" Target="https://amp.vexpenses.com/settings/membros-de-equipe/896111" TargetMode="External"/><Relationship Id="rId253" Type="http://schemas.openxmlformats.org/officeDocument/2006/relationships/hyperlink" Target="https://amp.vexpenses.com/settings/membros-de-equipe/896138" TargetMode="External"/><Relationship Id="rId295" Type="http://schemas.openxmlformats.org/officeDocument/2006/relationships/hyperlink" Target="https://amp.vexpenses.com/settings/membros-de-equipe/999216" TargetMode="External"/><Relationship Id="rId309" Type="http://schemas.openxmlformats.org/officeDocument/2006/relationships/hyperlink" Target="https://amp.vexpenses.com/settings/membros-de-equipe/896180" TargetMode="External"/><Relationship Id="rId460" Type="http://schemas.openxmlformats.org/officeDocument/2006/relationships/hyperlink" Target="https://amp.vexpenses.com/settings/membros-de-equipe/896286" TargetMode="External"/><Relationship Id="rId516" Type="http://schemas.openxmlformats.org/officeDocument/2006/relationships/hyperlink" Target="https://amp.vexpenses.com/settings/membros-de-equipe/896326" TargetMode="External"/><Relationship Id="rId48" Type="http://schemas.openxmlformats.org/officeDocument/2006/relationships/hyperlink" Target="https://amp.vexpenses.com/settings/membros-de-equipe/1054492" TargetMode="External"/><Relationship Id="rId113" Type="http://schemas.openxmlformats.org/officeDocument/2006/relationships/hyperlink" Target="https://amp.vexpenses.com/settings/membros-de-equipe/896028" TargetMode="External"/><Relationship Id="rId320" Type="http://schemas.openxmlformats.org/officeDocument/2006/relationships/hyperlink" Target="https://amp.vexpenses.com/settings/membros-de-equipe/1008337" TargetMode="External"/><Relationship Id="rId558" Type="http://schemas.openxmlformats.org/officeDocument/2006/relationships/hyperlink" Target="https://amp.vexpenses.com/settings/membros-de-equipe/1100082" TargetMode="External"/><Relationship Id="rId155" Type="http://schemas.openxmlformats.org/officeDocument/2006/relationships/hyperlink" Target="https://amp.vexpenses.com/settings/membros-de-equipe/896064" TargetMode="External"/><Relationship Id="rId197" Type="http://schemas.openxmlformats.org/officeDocument/2006/relationships/hyperlink" Target="https://amp.vexpenses.com/settings/membros-de-equipe/896095" TargetMode="External"/><Relationship Id="rId362" Type="http://schemas.openxmlformats.org/officeDocument/2006/relationships/hyperlink" Target="https://amp.vexpenses.com/settings/membros-de-equipe/896217" TargetMode="External"/><Relationship Id="rId418" Type="http://schemas.openxmlformats.org/officeDocument/2006/relationships/hyperlink" Target="https://amp.vexpenses.com/settings/membros-de-equipe/896425" TargetMode="External"/><Relationship Id="rId222" Type="http://schemas.openxmlformats.org/officeDocument/2006/relationships/hyperlink" Target="https://amp.vexpenses.com/settings/membros-de-equipe/929756" TargetMode="External"/><Relationship Id="rId264" Type="http://schemas.openxmlformats.org/officeDocument/2006/relationships/hyperlink" Target="https://amp.vexpenses.com/settings/membros-de-equipe/969231" TargetMode="External"/><Relationship Id="rId471" Type="http://schemas.openxmlformats.org/officeDocument/2006/relationships/hyperlink" Target="https://amp.vexpenses.com/settings/membros-de-equipe/1071871" TargetMode="External"/><Relationship Id="rId17" Type="http://schemas.openxmlformats.org/officeDocument/2006/relationships/hyperlink" Target="https://amp.vexpenses.com/settings/membros-de-equipe/916910" TargetMode="External"/><Relationship Id="rId59" Type="http://schemas.openxmlformats.org/officeDocument/2006/relationships/hyperlink" Target="https://amp.vexpenses.com/settings/membros-de-equipe/895985" TargetMode="External"/><Relationship Id="rId124" Type="http://schemas.openxmlformats.org/officeDocument/2006/relationships/hyperlink" Target="https://amp.vexpenses.com/settings/membros-de-equipe/896037" TargetMode="External"/><Relationship Id="rId527" Type="http://schemas.openxmlformats.org/officeDocument/2006/relationships/hyperlink" Target="https://amp.vexpenses.com/settings/membros-de-equipe/896357" TargetMode="External"/><Relationship Id="rId569" Type="http://schemas.openxmlformats.org/officeDocument/2006/relationships/hyperlink" Target="https://amp.vexpenses.com/settings/membros-de-equipe/896365" TargetMode="External"/><Relationship Id="rId70" Type="http://schemas.openxmlformats.org/officeDocument/2006/relationships/hyperlink" Target="https://amp.vexpenses.com/settings/membros-de-equipe/982780" TargetMode="External"/><Relationship Id="rId166" Type="http://schemas.openxmlformats.org/officeDocument/2006/relationships/hyperlink" Target="https://amp.vexpenses.com/settings/membros-de-equipe/896074" TargetMode="External"/><Relationship Id="rId331" Type="http://schemas.openxmlformats.org/officeDocument/2006/relationships/hyperlink" Target="https://amp.vexpenses.com/settings/membros-de-equipe/1109992" TargetMode="External"/><Relationship Id="rId373" Type="http://schemas.openxmlformats.org/officeDocument/2006/relationships/hyperlink" Target="https://amp.vexpenses.com/settings/membros-de-equipe/896222" TargetMode="External"/><Relationship Id="rId429" Type="http://schemas.openxmlformats.org/officeDocument/2006/relationships/hyperlink" Target="https://amp.vexpenses.com/settings/membros-de-equipe/896259" TargetMode="External"/><Relationship Id="rId580" Type="http://schemas.openxmlformats.org/officeDocument/2006/relationships/hyperlink" Target="https://amp.vexpenses.com/settings/membros-de-equipe/920868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896128" TargetMode="External"/><Relationship Id="rId440" Type="http://schemas.openxmlformats.org/officeDocument/2006/relationships/hyperlink" Target="https://amp.vexpenses.com/settings/membros-de-equipe/896268" TargetMode="External"/><Relationship Id="rId28" Type="http://schemas.openxmlformats.org/officeDocument/2006/relationships/hyperlink" Target="https://amp.vexpenses.com/settings/membros-de-equipe/917314" TargetMode="External"/><Relationship Id="rId275" Type="http://schemas.openxmlformats.org/officeDocument/2006/relationships/hyperlink" Target="https://amp.vexpenses.com/settings/membros-de-equipe/896156" TargetMode="External"/><Relationship Id="rId300" Type="http://schemas.openxmlformats.org/officeDocument/2006/relationships/hyperlink" Target="https://amp.vexpenses.com/settings/membros-de-equipe/896172" TargetMode="External"/><Relationship Id="rId482" Type="http://schemas.openxmlformats.org/officeDocument/2006/relationships/hyperlink" Target="https://amp.vexpenses.com/settings/membros-de-equipe/918849" TargetMode="External"/><Relationship Id="rId538" Type="http://schemas.openxmlformats.org/officeDocument/2006/relationships/hyperlink" Target="https://amp.vexpenses.com/settings/membros-de-equipe/896343" TargetMode="External"/><Relationship Id="rId81" Type="http://schemas.openxmlformats.org/officeDocument/2006/relationships/hyperlink" Target="https://amp.vexpenses.com/settings/membros-de-equipe/1017677" TargetMode="External"/><Relationship Id="rId135" Type="http://schemas.openxmlformats.org/officeDocument/2006/relationships/hyperlink" Target="https://amp.vexpenses.com/settings/membros-de-equipe/966214" TargetMode="External"/><Relationship Id="rId177" Type="http://schemas.openxmlformats.org/officeDocument/2006/relationships/hyperlink" Target="https://amp.vexpenses.com/settings/membros-de-equipe/896081" TargetMode="External"/><Relationship Id="rId342" Type="http://schemas.openxmlformats.org/officeDocument/2006/relationships/hyperlink" Target="https://amp.vexpenses.com/settings/membros-de-equipe/998959" TargetMode="External"/><Relationship Id="rId384" Type="http://schemas.openxmlformats.org/officeDocument/2006/relationships/hyperlink" Target="https://amp.vexpenses.com/settings/membros-de-equipe/896226" TargetMode="External"/><Relationship Id="rId591" Type="http://schemas.openxmlformats.org/officeDocument/2006/relationships/hyperlink" Target="https://amp.vexpenses.com/settings/membros-de-equipe/896384" TargetMode="External"/><Relationship Id="rId605" Type="http://schemas.openxmlformats.org/officeDocument/2006/relationships/hyperlink" Target="https://amp.vexpenses.com/settings/membros-de-equipe/896395" TargetMode="External"/><Relationship Id="rId202" Type="http://schemas.openxmlformats.org/officeDocument/2006/relationships/hyperlink" Target="https://amp.vexpenses.com/settings/membros-de-equipe/896101" TargetMode="External"/><Relationship Id="rId244" Type="http://schemas.openxmlformats.org/officeDocument/2006/relationships/hyperlink" Target="https://amp.vexpenses.com/settings/membros-de-equipe/1133218" TargetMode="External"/><Relationship Id="rId39" Type="http://schemas.openxmlformats.org/officeDocument/2006/relationships/hyperlink" Target="https://amp.vexpenses.com/settings/membros-de-equipe/895970" TargetMode="External"/><Relationship Id="rId286" Type="http://schemas.openxmlformats.org/officeDocument/2006/relationships/hyperlink" Target="https://amp.vexpenses.com/settings/membros-de-equipe/896163" TargetMode="External"/><Relationship Id="rId451" Type="http://schemas.openxmlformats.org/officeDocument/2006/relationships/hyperlink" Target="https://amp.vexpenses.com/settings/membros-de-equipe/896277" TargetMode="External"/><Relationship Id="rId493" Type="http://schemas.openxmlformats.org/officeDocument/2006/relationships/hyperlink" Target="https://amp.vexpenses.com/settings/membros-de-equipe/996627" TargetMode="External"/><Relationship Id="rId507" Type="http://schemas.openxmlformats.org/officeDocument/2006/relationships/hyperlink" Target="https://amp.vexpenses.com/settings/membros-de-equipe/950558" TargetMode="External"/><Relationship Id="rId549" Type="http://schemas.openxmlformats.org/officeDocument/2006/relationships/hyperlink" Target="https://amp.vexpenses.com/settings/membros-de-equipe/1023020" TargetMode="External"/><Relationship Id="rId50" Type="http://schemas.openxmlformats.org/officeDocument/2006/relationships/hyperlink" Target="https://amp.vexpenses.com/settings/membros-de-equipe/1040950" TargetMode="External"/><Relationship Id="rId104" Type="http://schemas.openxmlformats.org/officeDocument/2006/relationships/hyperlink" Target="https://amp.vexpenses.com/settings/membros-de-equipe/1040885" TargetMode="External"/><Relationship Id="rId146" Type="http://schemas.openxmlformats.org/officeDocument/2006/relationships/hyperlink" Target="https://amp.vexpenses.com/settings/membros-de-equipe/896054" TargetMode="External"/><Relationship Id="rId188" Type="http://schemas.openxmlformats.org/officeDocument/2006/relationships/hyperlink" Target="https://amp.vexpenses.com/settings/membros-de-equipe/1072512" TargetMode="External"/><Relationship Id="rId311" Type="http://schemas.openxmlformats.org/officeDocument/2006/relationships/hyperlink" Target="https://amp.vexpenses.com/settings/membros-de-equipe/1063490" TargetMode="External"/><Relationship Id="rId353" Type="http://schemas.openxmlformats.org/officeDocument/2006/relationships/hyperlink" Target="https://amp.vexpenses.com/settings/membros-de-equipe/922276" TargetMode="External"/><Relationship Id="rId395" Type="http://schemas.openxmlformats.org/officeDocument/2006/relationships/hyperlink" Target="https://amp.vexpenses.com/settings/membros-de-equipe/1087695" TargetMode="External"/><Relationship Id="rId409" Type="http://schemas.openxmlformats.org/officeDocument/2006/relationships/hyperlink" Target="https://amp.vexpenses.com/settings/membros-de-equipe/896245" TargetMode="External"/><Relationship Id="rId560" Type="http://schemas.openxmlformats.org/officeDocument/2006/relationships/hyperlink" Target="https://amp.vexpenses.com/settings/membros-de-equipe/1063497" TargetMode="External"/><Relationship Id="rId92" Type="http://schemas.openxmlformats.org/officeDocument/2006/relationships/hyperlink" Target="https://amp.vexpenses.com/settings/membros-de-equipe/896010" TargetMode="External"/><Relationship Id="rId213" Type="http://schemas.openxmlformats.org/officeDocument/2006/relationships/hyperlink" Target="https://amp.vexpenses.com/settings/membros-de-equipe/896113" TargetMode="External"/><Relationship Id="rId420" Type="http://schemas.openxmlformats.org/officeDocument/2006/relationships/hyperlink" Target="https://amp.vexpenses.com/settings/membros-de-equipe/896253" TargetMode="External"/><Relationship Id="rId255" Type="http://schemas.openxmlformats.org/officeDocument/2006/relationships/hyperlink" Target="https://amp.vexpenses.com/settings/membros-de-equipe/896140" TargetMode="External"/><Relationship Id="rId297" Type="http://schemas.openxmlformats.org/officeDocument/2006/relationships/hyperlink" Target="https://amp.vexpenses.com/settings/membros-de-equipe/896168" TargetMode="External"/><Relationship Id="rId462" Type="http://schemas.openxmlformats.org/officeDocument/2006/relationships/hyperlink" Target="https://amp.vexpenses.com/settings/membros-de-equipe/896287" TargetMode="External"/><Relationship Id="rId518" Type="http://schemas.openxmlformats.org/officeDocument/2006/relationships/hyperlink" Target="https://amp.vexpenses.com/settings/membros-de-equipe/896327" TargetMode="External"/><Relationship Id="rId115" Type="http://schemas.openxmlformats.org/officeDocument/2006/relationships/hyperlink" Target="https://amp.vexpenses.com/settings/membros-de-equipe/896031" TargetMode="External"/><Relationship Id="rId157" Type="http://schemas.openxmlformats.org/officeDocument/2006/relationships/hyperlink" Target="https://amp.vexpenses.com/settings/membros-de-equipe/896067" TargetMode="External"/><Relationship Id="rId322" Type="http://schemas.openxmlformats.org/officeDocument/2006/relationships/hyperlink" Target="https://amp.vexpenses.com/settings/membros-de-equipe/896191" TargetMode="External"/><Relationship Id="rId364" Type="http://schemas.openxmlformats.org/officeDocument/2006/relationships/hyperlink" Target="https://amp.vexpenses.com/settings/membros-de-equipe/916906" TargetMode="External"/><Relationship Id="rId61" Type="http://schemas.openxmlformats.org/officeDocument/2006/relationships/hyperlink" Target="https://amp.vexpenses.com/settings/membros-de-equipe/895986" TargetMode="External"/><Relationship Id="rId199" Type="http://schemas.openxmlformats.org/officeDocument/2006/relationships/hyperlink" Target="https://amp.vexpenses.com/settings/membros-de-equipe/1068618" TargetMode="External"/><Relationship Id="rId571" Type="http://schemas.openxmlformats.org/officeDocument/2006/relationships/hyperlink" Target="https://amp.vexpenses.com/settings/membros-de-equipe/896366" TargetMode="External"/><Relationship Id="rId19" Type="http://schemas.openxmlformats.org/officeDocument/2006/relationships/hyperlink" Target="https://amp.vexpenses.com/settings/membros-de-equipe/929763" TargetMode="External"/><Relationship Id="rId224" Type="http://schemas.openxmlformats.org/officeDocument/2006/relationships/hyperlink" Target="https://amp.vexpenses.com/settings/membros-de-equipe/896121" TargetMode="External"/><Relationship Id="rId266" Type="http://schemas.openxmlformats.org/officeDocument/2006/relationships/hyperlink" Target="https://amp.vexpenses.com/settings/membros-de-equipe/896149" TargetMode="External"/><Relationship Id="rId431" Type="http://schemas.openxmlformats.org/officeDocument/2006/relationships/hyperlink" Target="https://amp.vexpenses.com/settings/membros-de-equipe/891980" TargetMode="External"/><Relationship Id="rId473" Type="http://schemas.openxmlformats.org/officeDocument/2006/relationships/hyperlink" Target="https://amp.vexpenses.com/settings/membros-de-equipe/1117098" TargetMode="External"/><Relationship Id="rId529" Type="http://schemas.openxmlformats.org/officeDocument/2006/relationships/hyperlink" Target="https://amp.vexpenses.com/settings/membros-de-equipe/928097" TargetMode="External"/><Relationship Id="rId30" Type="http://schemas.openxmlformats.org/officeDocument/2006/relationships/hyperlink" Target="https://amp.vexpenses.com/settings/membros-de-equipe/895967" TargetMode="External"/><Relationship Id="rId126" Type="http://schemas.openxmlformats.org/officeDocument/2006/relationships/hyperlink" Target="https://amp.vexpenses.com/settings/membros-de-equipe/896040" TargetMode="External"/><Relationship Id="rId168" Type="http://schemas.openxmlformats.org/officeDocument/2006/relationships/hyperlink" Target="https://amp.vexpenses.com/settings/membros-de-equipe/915374" TargetMode="External"/><Relationship Id="rId333" Type="http://schemas.openxmlformats.org/officeDocument/2006/relationships/hyperlink" Target="https://amp.vexpenses.com/settings/membros-de-equipe/896203" TargetMode="External"/><Relationship Id="rId540" Type="http://schemas.openxmlformats.org/officeDocument/2006/relationships/hyperlink" Target="https://amp.vexpenses.com/settings/membros-de-equipe/896346" TargetMode="External"/><Relationship Id="rId72" Type="http://schemas.openxmlformats.org/officeDocument/2006/relationships/hyperlink" Target="https://amp.vexpenses.com/settings/membros-de-equipe/1083302" TargetMode="External"/><Relationship Id="rId375" Type="http://schemas.openxmlformats.org/officeDocument/2006/relationships/hyperlink" Target="https://amp.vexpenses.com/settings/membros-de-equipe/979939" TargetMode="External"/><Relationship Id="rId582" Type="http://schemas.openxmlformats.org/officeDocument/2006/relationships/hyperlink" Target="https://amp.vexpenses.com/settings/membros-de-equipe/985833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896131" TargetMode="External"/><Relationship Id="rId277" Type="http://schemas.openxmlformats.org/officeDocument/2006/relationships/hyperlink" Target="https://amp.vexpenses.com/settings/membros-de-equipe/896158" TargetMode="External"/><Relationship Id="rId400" Type="http://schemas.openxmlformats.org/officeDocument/2006/relationships/hyperlink" Target="https://amp.vexpenses.com/settings/membros-de-equipe/896238" TargetMode="External"/><Relationship Id="rId442" Type="http://schemas.openxmlformats.org/officeDocument/2006/relationships/hyperlink" Target="https://amp.vexpenses.com/settings/membros-de-equipe/967438" TargetMode="External"/><Relationship Id="rId484" Type="http://schemas.openxmlformats.org/officeDocument/2006/relationships/hyperlink" Target="https://amp.vexpenses.com/settings/membros-de-equipe/1116911" TargetMode="External"/><Relationship Id="rId137" Type="http://schemas.openxmlformats.org/officeDocument/2006/relationships/hyperlink" Target="https://amp.vexpenses.com/settings/membros-de-equipe/985850" TargetMode="External"/><Relationship Id="rId302" Type="http://schemas.openxmlformats.org/officeDocument/2006/relationships/hyperlink" Target="https://amp.vexpenses.com/settings/membros-de-equipe/896174" TargetMode="External"/><Relationship Id="rId344" Type="http://schemas.openxmlformats.org/officeDocument/2006/relationships/hyperlink" Target="https://amp.vexpenses.com/settings/membros-de-equipe/1106567" TargetMode="External"/><Relationship Id="rId41" Type="http://schemas.openxmlformats.org/officeDocument/2006/relationships/hyperlink" Target="https://amp.vexpenses.com/settings/membros-de-equipe/895972" TargetMode="External"/><Relationship Id="rId83" Type="http://schemas.openxmlformats.org/officeDocument/2006/relationships/hyperlink" Target="https://amp.vexpenses.com/settings/membros-de-equipe/896003" TargetMode="External"/><Relationship Id="rId179" Type="http://schemas.openxmlformats.org/officeDocument/2006/relationships/hyperlink" Target="https://amp.vexpenses.com/settings/membros-de-equipe/1079003" TargetMode="External"/><Relationship Id="rId386" Type="http://schemas.openxmlformats.org/officeDocument/2006/relationships/hyperlink" Target="https://amp.vexpenses.com/settings/membros-de-equipe/896227" TargetMode="External"/><Relationship Id="rId551" Type="http://schemas.openxmlformats.org/officeDocument/2006/relationships/hyperlink" Target="https://amp.vexpenses.com/settings/membros-de-equipe/1010644" TargetMode="External"/><Relationship Id="rId593" Type="http://schemas.openxmlformats.org/officeDocument/2006/relationships/hyperlink" Target="https://amp.vexpenses.com/settings/membros-de-equipe/896387" TargetMode="External"/><Relationship Id="rId190" Type="http://schemas.openxmlformats.org/officeDocument/2006/relationships/hyperlink" Target="https://amp.vexpenses.com/settings/membros-de-equipe/1071875" TargetMode="External"/><Relationship Id="rId204" Type="http://schemas.openxmlformats.org/officeDocument/2006/relationships/hyperlink" Target="https://amp.vexpenses.com/settings/membros-de-equipe/896102" TargetMode="External"/><Relationship Id="rId246" Type="http://schemas.openxmlformats.org/officeDocument/2006/relationships/hyperlink" Target="https://amp.vexpenses.com/settings/membros-de-equipe/1106587" TargetMode="External"/><Relationship Id="rId288" Type="http://schemas.openxmlformats.org/officeDocument/2006/relationships/hyperlink" Target="https://amp.vexpenses.com/settings/membros-de-equipe/986346" TargetMode="External"/><Relationship Id="rId411" Type="http://schemas.openxmlformats.org/officeDocument/2006/relationships/hyperlink" Target="https://amp.vexpenses.com/settings/membros-de-equipe/929759" TargetMode="External"/><Relationship Id="rId453" Type="http://schemas.openxmlformats.org/officeDocument/2006/relationships/hyperlink" Target="https://amp.vexpenses.com/settings/membros-de-equipe/1063494" TargetMode="External"/><Relationship Id="rId509" Type="http://schemas.openxmlformats.org/officeDocument/2006/relationships/hyperlink" Target="https://amp.vexpenses.com/settings/membros-de-equipe/896317" TargetMode="External"/><Relationship Id="rId106" Type="http://schemas.openxmlformats.org/officeDocument/2006/relationships/hyperlink" Target="https://amp.vexpenses.com/settings/membros-de-equipe/896023" TargetMode="External"/><Relationship Id="rId313" Type="http://schemas.openxmlformats.org/officeDocument/2006/relationships/hyperlink" Target="https://amp.vexpenses.com/settings/membros-de-equipe/896183" TargetMode="External"/><Relationship Id="rId495" Type="http://schemas.openxmlformats.org/officeDocument/2006/relationships/hyperlink" Target="https://amp.vexpenses.com/settings/membros-de-equipe/1100042" TargetMode="External"/><Relationship Id="rId10" Type="http://schemas.openxmlformats.org/officeDocument/2006/relationships/hyperlink" Target="https://amp.vexpenses.com/settings/membros-de-equipe/895950" TargetMode="External"/><Relationship Id="rId52" Type="http://schemas.openxmlformats.org/officeDocument/2006/relationships/hyperlink" Target="https://amp.vexpenses.com/settings/membros-de-equipe/1059840" TargetMode="External"/><Relationship Id="rId94" Type="http://schemas.openxmlformats.org/officeDocument/2006/relationships/hyperlink" Target="https://amp.vexpenses.com/settings/membros-de-equipe/896012" TargetMode="External"/><Relationship Id="rId148" Type="http://schemas.openxmlformats.org/officeDocument/2006/relationships/hyperlink" Target="https://amp.vexpenses.com/settings/membros-de-equipe/896057" TargetMode="External"/><Relationship Id="rId355" Type="http://schemas.openxmlformats.org/officeDocument/2006/relationships/hyperlink" Target="https://amp.vexpenses.com/settings/membros-de-equipe/896213" TargetMode="External"/><Relationship Id="rId397" Type="http://schemas.openxmlformats.org/officeDocument/2006/relationships/hyperlink" Target="https://amp.vexpenses.com/settings/membros-de-equipe/896236" TargetMode="External"/><Relationship Id="rId520" Type="http://schemas.openxmlformats.org/officeDocument/2006/relationships/hyperlink" Target="https://amp.vexpenses.com/settings/membros-de-equipe/917069" TargetMode="External"/><Relationship Id="rId562" Type="http://schemas.openxmlformats.org/officeDocument/2006/relationships/hyperlink" Target="https://amp.vexpenses.com/settings/membros-de-equipe/896359" TargetMode="External"/><Relationship Id="rId215" Type="http://schemas.openxmlformats.org/officeDocument/2006/relationships/hyperlink" Target="https://amp.vexpenses.com/settings/membros-de-equipe/896115" TargetMode="External"/><Relationship Id="rId257" Type="http://schemas.openxmlformats.org/officeDocument/2006/relationships/hyperlink" Target="https://amp.vexpenses.com/settings/membros-de-equipe/896142" TargetMode="External"/><Relationship Id="rId422" Type="http://schemas.openxmlformats.org/officeDocument/2006/relationships/hyperlink" Target="https://amp.vexpenses.com/settings/membros-de-equipe/896254" TargetMode="External"/><Relationship Id="rId464" Type="http://schemas.openxmlformats.org/officeDocument/2006/relationships/hyperlink" Target="https://amp.vexpenses.com/settings/membros-de-equipe/1127608" TargetMode="External"/><Relationship Id="rId299" Type="http://schemas.openxmlformats.org/officeDocument/2006/relationships/hyperlink" Target="https://amp.vexpenses.com/settings/membros-de-equipe/896171" TargetMode="External"/><Relationship Id="rId63" Type="http://schemas.openxmlformats.org/officeDocument/2006/relationships/hyperlink" Target="https://amp.vexpenses.com/settings/membros-de-equipe/895988" TargetMode="External"/><Relationship Id="rId159" Type="http://schemas.openxmlformats.org/officeDocument/2006/relationships/hyperlink" Target="https://amp.vexpenses.com/settings/membros-de-equipe/896069" TargetMode="External"/><Relationship Id="rId366" Type="http://schemas.openxmlformats.org/officeDocument/2006/relationships/hyperlink" Target="https://amp.vexpenses.com/settings/membros-de-equipe/896219" TargetMode="External"/><Relationship Id="rId573" Type="http://schemas.openxmlformats.org/officeDocument/2006/relationships/hyperlink" Target="https://amp.vexpenses.com/settings/membros-de-equipe/968562" TargetMode="External"/><Relationship Id="rId226" Type="http://schemas.openxmlformats.org/officeDocument/2006/relationships/hyperlink" Target="https://amp.vexpenses.com/settings/membros-de-equipe/929761" TargetMode="External"/><Relationship Id="rId433" Type="http://schemas.openxmlformats.org/officeDocument/2006/relationships/hyperlink" Target="https://amp.vexpenses.com/settings/membros-de-equipe/1026117" TargetMode="External"/><Relationship Id="rId74" Type="http://schemas.openxmlformats.org/officeDocument/2006/relationships/hyperlink" Target="https://amp.vexpenses.com/settings/membros-de-equipe/973987" TargetMode="External"/><Relationship Id="rId377" Type="http://schemas.openxmlformats.org/officeDocument/2006/relationships/hyperlink" Target="https://amp.vexpenses.com/settings/membros-de-equipe/896423" TargetMode="External"/><Relationship Id="rId500" Type="http://schemas.openxmlformats.org/officeDocument/2006/relationships/hyperlink" Target="https://amp.vexpenses.com/settings/membros-de-equipe/896311" TargetMode="External"/><Relationship Id="rId584" Type="http://schemas.openxmlformats.org/officeDocument/2006/relationships/hyperlink" Target="https://amp.vexpenses.com/settings/membros-de-equipe/896424" TargetMode="External"/><Relationship Id="rId5" Type="http://schemas.openxmlformats.org/officeDocument/2006/relationships/hyperlink" Target="https://amp.vexpenses.com/settings/membros-de-equipe/1071869" TargetMode="External"/><Relationship Id="rId237" Type="http://schemas.openxmlformats.org/officeDocument/2006/relationships/hyperlink" Target="https://amp.vexpenses.com/settings/membros-de-equipe/1077949" TargetMode="External"/><Relationship Id="rId444" Type="http://schemas.openxmlformats.org/officeDocument/2006/relationships/hyperlink" Target="https://amp.vexpenses.com/settings/membros-de-equipe/896271" TargetMode="External"/><Relationship Id="rId290" Type="http://schemas.openxmlformats.org/officeDocument/2006/relationships/hyperlink" Target="https://amp.vexpenses.com/settings/membros-de-equipe/896164" TargetMode="External"/><Relationship Id="rId304" Type="http://schemas.openxmlformats.org/officeDocument/2006/relationships/hyperlink" Target="https://amp.vexpenses.com/settings/membros-de-equipe/896175" TargetMode="External"/><Relationship Id="rId388" Type="http://schemas.openxmlformats.org/officeDocument/2006/relationships/hyperlink" Target="https://amp.vexpenses.com/settings/membros-de-equipe/896229" TargetMode="External"/><Relationship Id="rId511" Type="http://schemas.openxmlformats.org/officeDocument/2006/relationships/hyperlink" Target="https://amp.vexpenses.com/settings/membros-de-equipe/896319" TargetMode="External"/><Relationship Id="rId85" Type="http://schemas.openxmlformats.org/officeDocument/2006/relationships/hyperlink" Target="https://amp.vexpenses.com/settings/membros-de-equipe/896004" TargetMode="External"/><Relationship Id="rId150" Type="http://schemas.openxmlformats.org/officeDocument/2006/relationships/hyperlink" Target="https://amp.vexpenses.com/settings/membros-de-equipe/896059" TargetMode="External"/><Relationship Id="rId595" Type="http://schemas.openxmlformats.org/officeDocument/2006/relationships/hyperlink" Target="https://amp.vexpenses.com/settings/membros-de-equipe/896389" TargetMode="External"/><Relationship Id="rId248" Type="http://schemas.openxmlformats.org/officeDocument/2006/relationships/hyperlink" Target="https://amp.vexpenses.com/settings/membros-de-equipe/916921" TargetMode="External"/><Relationship Id="rId455" Type="http://schemas.openxmlformats.org/officeDocument/2006/relationships/hyperlink" Target="https://amp.vexpenses.com/settings/membros-de-equipe/896282" TargetMode="External"/><Relationship Id="rId12" Type="http://schemas.openxmlformats.org/officeDocument/2006/relationships/hyperlink" Target="https://amp.vexpenses.com/settings/membros-de-equipe/895952" TargetMode="External"/><Relationship Id="rId108" Type="http://schemas.openxmlformats.org/officeDocument/2006/relationships/hyperlink" Target="https://amp.vexpenses.com/settings/membros-de-equipe/1079004" TargetMode="External"/><Relationship Id="rId315" Type="http://schemas.openxmlformats.org/officeDocument/2006/relationships/hyperlink" Target="https://amp.vexpenses.com/settings/membros-de-equipe/921535" TargetMode="External"/><Relationship Id="rId522" Type="http://schemas.openxmlformats.org/officeDocument/2006/relationships/hyperlink" Target="https://amp.vexpenses.com/settings/membros-de-equipe/896330" TargetMode="External"/><Relationship Id="rId96" Type="http://schemas.openxmlformats.org/officeDocument/2006/relationships/hyperlink" Target="https://amp.vexpenses.com/settings/membros-de-equipe/896015" TargetMode="External"/><Relationship Id="rId161" Type="http://schemas.openxmlformats.org/officeDocument/2006/relationships/hyperlink" Target="https://amp.vexpenses.com/settings/membros-de-equipe/896070" TargetMode="External"/><Relationship Id="rId399" Type="http://schemas.openxmlformats.org/officeDocument/2006/relationships/hyperlink" Target="https://amp.vexpenses.com/settings/membros-de-equipe/916912" TargetMode="External"/><Relationship Id="rId259" Type="http://schemas.openxmlformats.org/officeDocument/2006/relationships/hyperlink" Target="https://amp.vexpenses.com/settings/membros-de-equipe/923893" TargetMode="External"/><Relationship Id="rId466" Type="http://schemas.openxmlformats.org/officeDocument/2006/relationships/hyperlink" Target="https://amp.vexpenses.com/settings/membros-de-equipe/896290" TargetMode="External"/><Relationship Id="rId23" Type="http://schemas.openxmlformats.org/officeDocument/2006/relationships/hyperlink" Target="https://amp.vexpenses.com/settings/membros-de-equipe/1063501" TargetMode="External"/><Relationship Id="rId119" Type="http://schemas.openxmlformats.org/officeDocument/2006/relationships/hyperlink" Target="https://amp.vexpenses.com/settings/membros-de-equipe/896034" TargetMode="External"/><Relationship Id="rId326" Type="http://schemas.openxmlformats.org/officeDocument/2006/relationships/hyperlink" Target="https://amp.vexpenses.com/settings/membros-de-equipe/896196" TargetMode="External"/><Relationship Id="rId533" Type="http://schemas.openxmlformats.org/officeDocument/2006/relationships/hyperlink" Target="https://amp.vexpenses.com/settings/membros-de-equipe/1083299" TargetMode="External"/><Relationship Id="rId172" Type="http://schemas.openxmlformats.org/officeDocument/2006/relationships/hyperlink" Target="https://amp.vexpenses.com/settings/membros-de-equipe/946535" TargetMode="External"/><Relationship Id="rId477" Type="http://schemas.openxmlformats.org/officeDocument/2006/relationships/hyperlink" Target="https://amp.vexpenses.com/settings/membros-de-equipe/896298" TargetMode="External"/><Relationship Id="rId600" Type="http://schemas.openxmlformats.org/officeDocument/2006/relationships/hyperlink" Target="https://amp.vexpenses.com/settings/membros-de-equipe/896393" TargetMode="External"/><Relationship Id="rId337" Type="http://schemas.openxmlformats.org/officeDocument/2006/relationships/hyperlink" Target="https://amp.vexpenses.com/settings/membros-de-equipe/923628" TargetMode="External"/><Relationship Id="rId34" Type="http://schemas.openxmlformats.org/officeDocument/2006/relationships/hyperlink" Target="https://amp.vexpenses.com/settings/membros-de-equipe/917318" TargetMode="External"/><Relationship Id="rId544" Type="http://schemas.openxmlformats.org/officeDocument/2006/relationships/hyperlink" Target="https://amp.vexpenses.com/settings/membros-de-equipe/896349" TargetMode="External"/><Relationship Id="rId183" Type="http://schemas.openxmlformats.org/officeDocument/2006/relationships/hyperlink" Target="https://amp.vexpenses.com/settings/membros-de-equipe/896085" TargetMode="External"/><Relationship Id="rId390" Type="http://schemas.openxmlformats.org/officeDocument/2006/relationships/hyperlink" Target="https://amp.vexpenses.com/settings/membros-de-equipe/896231" TargetMode="External"/><Relationship Id="rId404" Type="http://schemas.openxmlformats.org/officeDocument/2006/relationships/hyperlink" Target="https://amp.vexpenses.com/settings/membros-de-equipe/896243" TargetMode="External"/><Relationship Id="rId250" Type="http://schemas.openxmlformats.org/officeDocument/2006/relationships/hyperlink" Target="https://amp.vexpenses.com/settings/membros-de-equipe/1068611" TargetMode="External"/><Relationship Id="rId488" Type="http://schemas.openxmlformats.org/officeDocument/2006/relationships/hyperlink" Target="https://amp.vexpenses.com/settings/membros-de-equipe/1065237" TargetMode="External"/><Relationship Id="rId45" Type="http://schemas.openxmlformats.org/officeDocument/2006/relationships/hyperlink" Target="https://amp.vexpenses.com/settings/membros-de-equipe/895975" TargetMode="External"/><Relationship Id="rId110" Type="http://schemas.openxmlformats.org/officeDocument/2006/relationships/hyperlink" Target="https://amp.vexpenses.com/settings/membros-de-equipe/896025" TargetMode="External"/><Relationship Id="rId348" Type="http://schemas.openxmlformats.org/officeDocument/2006/relationships/hyperlink" Target="https://amp.vexpenses.com/settings/membros-de-equipe/896208" TargetMode="External"/><Relationship Id="rId555" Type="http://schemas.openxmlformats.org/officeDocument/2006/relationships/hyperlink" Target="https://amp.vexpenses.com/settings/membros-de-equipe/896356" TargetMode="External"/><Relationship Id="rId194" Type="http://schemas.openxmlformats.org/officeDocument/2006/relationships/hyperlink" Target="https://amp.vexpenses.com/settings/membros-de-equipe/896092" TargetMode="External"/><Relationship Id="rId208" Type="http://schemas.openxmlformats.org/officeDocument/2006/relationships/hyperlink" Target="https://amp.vexpenses.com/settings/membros-de-equipe/896107" TargetMode="External"/><Relationship Id="rId415" Type="http://schemas.openxmlformats.org/officeDocument/2006/relationships/hyperlink" Target="https://amp.vexpenses.com/settings/membros-de-equipe/896250" TargetMode="External"/><Relationship Id="rId261" Type="http://schemas.openxmlformats.org/officeDocument/2006/relationships/hyperlink" Target="https://amp.vexpenses.com/settings/membros-de-equipe/896145" TargetMode="External"/><Relationship Id="rId499" Type="http://schemas.openxmlformats.org/officeDocument/2006/relationships/hyperlink" Target="https://amp.vexpenses.com/settings/membros-de-equipe/1025223" TargetMode="External"/><Relationship Id="rId56" Type="http://schemas.openxmlformats.org/officeDocument/2006/relationships/hyperlink" Target="https://amp.vexpenses.com/settings/membros-de-equipe/895982" TargetMode="External"/><Relationship Id="rId359" Type="http://schemas.openxmlformats.org/officeDocument/2006/relationships/hyperlink" Target="https://amp.vexpenses.com/settings/membros-de-equipe/961469" TargetMode="External"/><Relationship Id="rId566" Type="http://schemas.openxmlformats.org/officeDocument/2006/relationships/hyperlink" Target="https://amp.vexpenses.com/settings/membros-de-equipe/8963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77FC-DA1B-46A4-8153-8C0090AF0598}">
  <dimension ref="B2:R329"/>
  <sheetViews>
    <sheetView showGridLines="0" tabSelected="1" topLeftCell="H1" workbookViewId="0">
      <selection activeCell="N11" sqref="N11"/>
    </sheetView>
  </sheetViews>
  <sheetFormatPr defaultRowHeight="15"/>
  <cols>
    <col min="1" max="1" width="9.140625" style="10"/>
    <col min="2" max="2" width="39.85546875" style="10" bestFit="1" customWidth="1"/>
    <col min="3" max="3" width="10.42578125" style="10" bestFit="1" customWidth="1"/>
    <col min="4" max="4" width="17.42578125" style="10" hidden="1" customWidth="1"/>
    <col min="5" max="5" width="25.5703125" style="10" hidden="1" customWidth="1"/>
    <col min="6" max="7" width="18.5703125" style="10" hidden="1" customWidth="1"/>
    <col min="8" max="8" width="25.28515625" style="10" bestFit="1" customWidth="1"/>
    <col min="9" max="9" width="14.42578125" style="10" bestFit="1" customWidth="1"/>
    <col min="10" max="10" width="15.140625" style="10" bestFit="1" customWidth="1"/>
    <col min="11" max="11" width="14.28515625" style="11" bestFit="1" customWidth="1"/>
    <col min="12" max="12" width="16.85546875" style="10" bestFit="1" customWidth="1"/>
    <col min="13" max="13" width="13.85546875" style="10" bestFit="1" customWidth="1"/>
    <col min="14" max="14" width="14.7109375" style="10" bestFit="1" customWidth="1"/>
    <col min="15" max="15" width="12.42578125" style="10" bestFit="1" customWidth="1"/>
    <col min="16" max="16" width="20.140625" style="10" customWidth="1"/>
    <col min="17" max="17" width="11" style="10" customWidth="1"/>
    <col min="18" max="18" width="20.28515625" style="10" bestFit="1" customWidth="1"/>
    <col min="19" max="16384" width="9.140625" style="10"/>
  </cols>
  <sheetData>
    <row r="2" spans="2:18">
      <c r="P2" s="32">
        <f>SUBTOTAL(9,Tabela1[[Carga Final ]])</f>
        <v>269136.56500000029</v>
      </c>
    </row>
    <row r="3" spans="2:18" s="19" customFormat="1" ht="15.75" thickBot="1">
      <c r="H3" s="19">
        <f>SUBTOTAL(9,Tabela1[SALDO PENDENTE PARCIAL])</f>
        <v>222810.56999999899</v>
      </c>
      <c r="I3" s="19">
        <f>SUBTOTAL(9,Tabela1[CARGA 1 QZ])</f>
        <v>246568.50500000076</v>
      </c>
      <c r="J3" s="19">
        <f>SUBTOTAL(9,Tabela1[SALDO FINAL])</f>
        <v>182966.00999999963</v>
      </c>
      <c r="K3" s="19">
        <f>SUBTOTAL(9,Tabela1[2ª QZ])</f>
        <v>452340</v>
      </c>
      <c r="L3" s="19">
        <f>SUBTOTAL(9,Tabela1[SALDO CARTAO])</f>
        <v>82637.470000000088</v>
      </c>
      <c r="M3" s="19">
        <f>SUBTOTAL(9,Tabela1[[Adiantamento ]])</f>
        <v>0</v>
      </c>
      <c r="N3" s="19">
        <f>SUBTOTAL(9,Tabela1[CARGA PARCIAL])</f>
        <v>186736.52000000022</v>
      </c>
      <c r="O3" s="19">
        <f>SUBTOTAL(9,Tabela1[REEMBOLSO])</f>
        <v>1400</v>
      </c>
      <c r="P3" s="33"/>
    </row>
    <row r="4" spans="2:18">
      <c r="B4" s="1" t="s">
        <v>0</v>
      </c>
      <c r="C4" s="2" t="s">
        <v>1</v>
      </c>
      <c r="D4" s="1" t="s">
        <v>2</v>
      </c>
      <c r="E4" s="3" t="s">
        <v>3</v>
      </c>
      <c r="F4" s="3" t="s">
        <v>4</v>
      </c>
      <c r="G4" s="3" t="s">
        <v>5</v>
      </c>
      <c r="H4" s="4" t="s">
        <v>6</v>
      </c>
      <c r="I4" s="5" t="s">
        <v>7</v>
      </c>
      <c r="J4" s="6" t="s">
        <v>8</v>
      </c>
      <c r="K4" s="7" t="s">
        <v>9</v>
      </c>
      <c r="L4" s="8" t="s">
        <v>10</v>
      </c>
      <c r="M4" s="12" t="s">
        <v>11</v>
      </c>
      <c r="N4" s="13" t="s">
        <v>12</v>
      </c>
      <c r="O4" s="14" t="s">
        <v>13</v>
      </c>
      <c r="P4" s="15" t="s">
        <v>14</v>
      </c>
      <c r="Q4" s="16" t="s">
        <v>15</v>
      </c>
      <c r="R4" s="9" t="s">
        <v>16</v>
      </c>
    </row>
    <row r="5" spans="2:18">
      <c r="B5" s="17" t="s">
        <v>17</v>
      </c>
      <c r="C5" s="17" t="s">
        <v>18</v>
      </c>
      <c r="D5" s="17" t="s">
        <v>19</v>
      </c>
      <c r="E5" s="17" t="s">
        <v>20</v>
      </c>
      <c r="F5" s="17" t="s">
        <v>21</v>
      </c>
      <c r="G5" s="17" t="s">
        <v>22</v>
      </c>
      <c r="H5" s="18">
        <v>-533.41000000008148</v>
      </c>
      <c r="I5" s="18">
        <v>10323.505000000048</v>
      </c>
      <c r="J5" s="18">
        <v>0</v>
      </c>
      <c r="K5" s="18">
        <v>9840</v>
      </c>
      <c r="L5" s="18">
        <v>19.510000000000002</v>
      </c>
      <c r="M5" s="18"/>
      <c r="N5" s="18">
        <f>Tabela1[[#This Row],[2ª QZ]]-Tabela1[[#This Row],[SALDO FINAL]]-Tabela1[[#This Row],[SALDO CARTAO]]-Tabela1[[#This Row],[Adiantamento ]]</f>
        <v>9820.49</v>
      </c>
      <c r="O5" s="18"/>
      <c r="P5" s="18">
        <f>IF(Tabela1[[#This Row],[CARGA PARCIAL]]&lt;0,0,Tabela1[[#This Row],[CARGA PARCIAL]])+Tabela1[[#This Row],[REEMBOLSO]]</f>
        <v>9820.49</v>
      </c>
      <c r="Q5" s="17"/>
      <c r="R5" s="17" t="s">
        <v>23</v>
      </c>
    </row>
    <row r="6" spans="2:18">
      <c r="B6" s="17" t="s">
        <v>24</v>
      </c>
      <c r="C6" s="17" t="s">
        <v>25</v>
      </c>
      <c r="D6" s="17" t="s">
        <v>19</v>
      </c>
      <c r="E6" s="17" t="s">
        <v>26</v>
      </c>
      <c r="F6" s="17" t="s">
        <v>27</v>
      </c>
      <c r="G6" s="17" t="s">
        <v>22</v>
      </c>
      <c r="H6" s="18">
        <v>61.899999999998727</v>
      </c>
      <c r="I6" s="18">
        <v>0</v>
      </c>
      <c r="J6" s="18">
        <f>Tabela1[[#This Row],[SALDO PENDENTE PARCIAL]]-Tabela1[[#This Row],[CARGA 1 QZ]]</f>
        <v>61.899999999998727</v>
      </c>
      <c r="K6" s="18">
        <v>1000</v>
      </c>
      <c r="L6" s="18">
        <v>1000</v>
      </c>
      <c r="M6" s="18"/>
      <c r="N6" s="18">
        <f>Tabela1[[#This Row],[2ª QZ]]-Tabela1[[#This Row],[SALDO FINAL]]-Tabela1[[#This Row],[SALDO CARTAO]]-Tabela1[[#This Row],[Adiantamento ]]</f>
        <v>-61.899999999998727</v>
      </c>
      <c r="O6" s="18"/>
      <c r="P6" s="18">
        <f>IF(Tabela1[[#This Row],[CARGA PARCIAL]]&lt;0,0,Tabela1[[#This Row],[CARGA PARCIAL]])+Tabela1[[#This Row],[REEMBOLSO]]</f>
        <v>0</v>
      </c>
      <c r="Q6" s="17"/>
      <c r="R6" s="17" t="s">
        <v>23</v>
      </c>
    </row>
    <row r="7" spans="2:18">
      <c r="B7" s="17" t="s">
        <v>28</v>
      </c>
      <c r="C7" s="17" t="s">
        <v>29</v>
      </c>
      <c r="D7" s="17" t="s">
        <v>19</v>
      </c>
      <c r="E7" s="17" t="s">
        <v>30</v>
      </c>
      <c r="F7" s="17" t="s">
        <v>31</v>
      </c>
      <c r="G7" s="17" t="s">
        <v>32</v>
      </c>
      <c r="H7" s="18">
        <v>302.62000000000046</v>
      </c>
      <c r="I7" s="18">
        <v>0</v>
      </c>
      <c r="J7" s="18">
        <f>Tabela1[[#This Row],[SALDO PENDENTE PARCIAL]]-Tabela1[[#This Row],[CARGA 1 QZ]]</f>
        <v>302.62000000000046</v>
      </c>
      <c r="K7" s="18">
        <v>500</v>
      </c>
      <c r="L7" s="18">
        <v>93.47</v>
      </c>
      <c r="M7" s="18"/>
      <c r="N7" s="18">
        <f>Tabela1[[#This Row],[2ª QZ]]-Tabela1[[#This Row],[SALDO FINAL]]-Tabela1[[#This Row],[SALDO CARTAO]]-Tabela1[[#This Row],[Adiantamento ]]</f>
        <v>103.90999999999954</v>
      </c>
      <c r="O7" s="18"/>
      <c r="P7" s="18">
        <f>IF(Tabela1[[#This Row],[CARGA PARCIAL]]&lt;0,0,Tabela1[[#This Row],[CARGA PARCIAL]])+Tabela1[[#This Row],[REEMBOLSO]]</f>
        <v>103.90999999999954</v>
      </c>
      <c r="Q7" s="17"/>
      <c r="R7" s="17" t="s">
        <v>23</v>
      </c>
    </row>
    <row r="8" spans="2:18">
      <c r="B8" s="17" t="s">
        <v>33</v>
      </c>
      <c r="C8" s="17" t="s">
        <v>34</v>
      </c>
      <c r="D8" s="17" t="s">
        <v>19</v>
      </c>
      <c r="E8" s="17" t="s">
        <v>35</v>
      </c>
      <c r="F8" s="17" t="s">
        <v>36</v>
      </c>
      <c r="G8" s="17" t="s">
        <v>37</v>
      </c>
      <c r="H8" s="18">
        <v>1036.9200000000019</v>
      </c>
      <c r="I8" s="18">
        <v>906.97000000000321</v>
      </c>
      <c r="J8" s="18">
        <f>Tabela1[[#This Row],[SALDO PENDENTE PARCIAL]]-Tabela1[[#This Row],[CARGA 1 QZ]]</f>
        <v>129.94999999999868</v>
      </c>
      <c r="K8" s="18">
        <v>1250</v>
      </c>
      <c r="L8" s="18">
        <v>0</v>
      </c>
      <c r="M8" s="18"/>
      <c r="N8" s="18">
        <f>Tabela1[[#This Row],[2ª QZ]]-Tabela1[[#This Row],[SALDO FINAL]]-Tabela1[[#This Row],[SALDO CARTAO]]-Tabela1[[#This Row],[Adiantamento ]]</f>
        <v>1120.0500000000013</v>
      </c>
      <c r="O8" s="18"/>
      <c r="P8" s="18">
        <f>IF(Tabela1[[#This Row],[CARGA PARCIAL]]&lt;0,0,Tabela1[[#This Row],[CARGA PARCIAL]])+Tabela1[[#This Row],[REEMBOLSO]]</f>
        <v>1120.0500000000013</v>
      </c>
      <c r="Q8" s="17"/>
      <c r="R8" s="17" t="s">
        <v>23</v>
      </c>
    </row>
    <row r="9" spans="2:18">
      <c r="B9" s="17" t="s">
        <v>38</v>
      </c>
      <c r="C9" s="17" t="s">
        <v>39</v>
      </c>
      <c r="D9" s="17" t="s">
        <v>19</v>
      </c>
      <c r="E9" s="17" t="s">
        <v>40</v>
      </c>
      <c r="F9" s="17" t="s">
        <v>41</v>
      </c>
      <c r="G9" s="17" t="s">
        <v>37</v>
      </c>
      <c r="H9" s="18">
        <v>803.72000000000025</v>
      </c>
      <c r="I9" s="18">
        <v>0</v>
      </c>
      <c r="J9" s="18">
        <f>Tabela1[[#This Row],[SALDO PENDENTE PARCIAL]]-Tabela1[[#This Row],[CARGA 1 QZ]]</f>
        <v>803.72000000000025</v>
      </c>
      <c r="K9" s="18">
        <v>800</v>
      </c>
      <c r="L9" s="18">
        <v>43</v>
      </c>
      <c r="M9" s="18"/>
      <c r="N9" s="18">
        <f>Tabela1[[#This Row],[2ª QZ]]-Tabela1[[#This Row],[SALDO FINAL]]-Tabela1[[#This Row],[SALDO CARTAO]]-Tabela1[[#This Row],[Adiantamento ]]</f>
        <v>-46.720000000000255</v>
      </c>
      <c r="O9" s="18"/>
      <c r="P9" s="18">
        <f>IF(Tabela1[[#This Row],[CARGA PARCIAL]]&lt;0,0,Tabela1[[#This Row],[CARGA PARCIAL]])+Tabela1[[#This Row],[REEMBOLSO]]</f>
        <v>0</v>
      </c>
      <c r="Q9" s="17"/>
      <c r="R9" s="17" t="s">
        <v>23</v>
      </c>
    </row>
    <row r="10" spans="2:18">
      <c r="B10" s="17" t="s">
        <v>42</v>
      </c>
      <c r="C10" s="17" t="s">
        <v>43</v>
      </c>
      <c r="D10" s="17" t="s">
        <v>19</v>
      </c>
      <c r="E10" s="17" t="s">
        <v>44</v>
      </c>
      <c r="F10" s="17" t="s">
        <v>45</v>
      </c>
      <c r="G10" s="17" t="s">
        <v>37</v>
      </c>
      <c r="H10" s="18">
        <v>249.42999999999989</v>
      </c>
      <c r="I10" s="18">
        <v>0</v>
      </c>
      <c r="J10" s="18">
        <f>Tabela1[[#This Row],[SALDO PENDENTE PARCIAL]]-Tabela1[[#This Row],[CARGA 1 QZ]]</f>
        <v>249.42999999999989</v>
      </c>
      <c r="K10" s="18">
        <v>160</v>
      </c>
      <c r="L10" s="18">
        <v>23.2</v>
      </c>
      <c r="M10" s="18"/>
      <c r="N10" s="18">
        <f>Tabela1[[#This Row],[2ª QZ]]-Tabela1[[#This Row],[SALDO FINAL]]-Tabela1[[#This Row],[SALDO CARTAO]]-Tabela1[[#This Row],[Adiantamento ]]</f>
        <v>-112.6299999999999</v>
      </c>
      <c r="O10" s="18"/>
      <c r="P10" s="18">
        <f>IF(Tabela1[[#This Row],[CARGA PARCIAL]]&lt;0,0,Tabela1[[#This Row],[CARGA PARCIAL]])+Tabela1[[#This Row],[REEMBOLSO]]</f>
        <v>0</v>
      </c>
      <c r="Q10" s="17"/>
      <c r="R10" s="17" t="s">
        <v>23</v>
      </c>
    </row>
    <row r="11" spans="2:18">
      <c r="B11" s="17" t="s">
        <v>46</v>
      </c>
      <c r="C11" s="17" t="s">
        <v>47</v>
      </c>
      <c r="D11" s="17" t="s">
        <v>19</v>
      </c>
      <c r="E11" s="17" t="s">
        <v>48</v>
      </c>
      <c r="F11" s="17" t="s">
        <v>36</v>
      </c>
      <c r="G11" s="17" t="s">
        <v>37</v>
      </c>
      <c r="H11" s="18">
        <v>115.93999999995926</v>
      </c>
      <c r="I11" s="18">
        <v>578.34000000004016</v>
      </c>
      <c r="J11" s="18">
        <v>0</v>
      </c>
      <c r="K11" s="18">
        <v>1760</v>
      </c>
      <c r="L11" s="18">
        <v>17.86</v>
      </c>
      <c r="M11" s="18"/>
      <c r="N11" s="18">
        <f>Tabela1[[#This Row],[2ª QZ]]-Tabela1[[#This Row],[SALDO FINAL]]-Tabela1[[#This Row],[SALDO CARTAO]]-Tabela1[[#This Row],[Adiantamento ]]</f>
        <v>1742.14</v>
      </c>
      <c r="O11" s="18"/>
      <c r="P11" s="18">
        <f>IF(Tabela1[[#This Row],[CARGA PARCIAL]]&lt;0,0,Tabela1[[#This Row],[CARGA PARCIAL]])+Tabela1[[#This Row],[REEMBOLSO]]</f>
        <v>1742.14</v>
      </c>
      <c r="Q11" s="17"/>
      <c r="R11" s="17" t="s">
        <v>23</v>
      </c>
    </row>
    <row r="12" spans="2:18">
      <c r="B12" s="17" t="s">
        <v>49</v>
      </c>
      <c r="C12" s="17" t="s">
        <v>50</v>
      </c>
      <c r="D12" s="17" t="s">
        <v>19</v>
      </c>
      <c r="E12" s="17" t="s">
        <v>51</v>
      </c>
      <c r="F12" s="17" t="s">
        <v>31</v>
      </c>
      <c r="G12" s="17" t="s">
        <v>32</v>
      </c>
      <c r="H12" s="18">
        <v>480.58</v>
      </c>
      <c r="I12" s="18">
        <v>0</v>
      </c>
      <c r="J12" s="18">
        <f>Tabela1[[#This Row],[SALDO PENDENTE PARCIAL]]-Tabela1[[#This Row],[CARGA 1 QZ]]</f>
        <v>480.58</v>
      </c>
      <c r="K12" s="18">
        <v>400</v>
      </c>
      <c r="L12" s="18">
        <v>0</v>
      </c>
      <c r="M12" s="18"/>
      <c r="N12" s="18">
        <f>Tabela1[[#This Row],[2ª QZ]]-Tabela1[[#This Row],[SALDO FINAL]]-Tabela1[[#This Row],[SALDO CARTAO]]-Tabela1[[#This Row],[Adiantamento ]]</f>
        <v>-80.579999999999984</v>
      </c>
      <c r="O12" s="18"/>
      <c r="P12" s="18">
        <f>IF(Tabela1[[#This Row],[CARGA PARCIAL]]&lt;0,0,Tabela1[[#This Row],[CARGA PARCIAL]])+Tabela1[[#This Row],[REEMBOLSO]]</f>
        <v>0</v>
      </c>
      <c r="Q12" s="17"/>
      <c r="R12" s="17" t="s">
        <v>23</v>
      </c>
    </row>
    <row r="13" spans="2:18">
      <c r="B13" s="17" t="s">
        <v>52</v>
      </c>
      <c r="C13" s="17" t="s">
        <v>53</v>
      </c>
      <c r="D13" s="17" t="s">
        <v>19</v>
      </c>
      <c r="E13" s="17" t="s">
        <v>54</v>
      </c>
      <c r="F13" s="17" t="s">
        <v>55</v>
      </c>
      <c r="G13" s="17" t="s">
        <v>22</v>
      </c>
      <c r="H13" s="18">
        <v>-641.53000000000384</v>
      </c>
      <c r="I13" s="18">
        <v>1244.690000000006</v>
      </c>
      <c r="J13" s="18">
        <v>0</v>
      </c>
      <c r="K13" s="18">
        <v>1600</v>
      </c>
      <c r="L13" s="18">
        <v>36.69</v>
      </c>
      <c r="M13" s="18"/>
      <c r="N13" s="18">
        <f>Tabela1[[#This Row],[2ª QZ]]-Tabela1[[#This Row],[SALDO FINAL]]-Tabela1[[#This Row],[SALDO CARTAO]]-Tabela1[[#This Row],[Adiantamento ]]</f>
        <v>1563.31</v>
      </c>
      <c r="O13" s="18"/>
      <c r="P13" s="18">
        <f>IF(Tabela1[[#This Row],[CARGA PARCIAL]]&lt;0,0,Tabela1[[#This Row],[CARGA PARCIAL]])+Tabela1[[#This Row],[REEMBOLSO]]</f>
        <v>1563.31</v>
      </c>
      <c r="Q13" s="17"/>
      <c r="R13" s="17" t="s">
        <v>23</v>
      </c>
    </row>
    <row r="14" spans="2:18">
      <c r="B14" s="17" t="s">
        <v>56</v>
      </c>
      <c r="C14" s="17" t="s">
        <v>57</v>
      </c>
      <c r="D14" s="17" t="s">
        <v>19</v>
      </c>
      <c r="E14" s="17" t="s">
        <v>26</v>
      </c>
      <c r="F14" s="17" t="s">
        <v>27</v>
      </c>
      <c r="G14" s="17" t="s">
        <v>22</v>
      </c>
      <c r="H14" s="18">
        <v>997.49000000000046</v>
      </c>
      <c r="I14" s="18">
        <v>0</v>
      </c>
      <c r="J14" s="18">
        <f>Tabela1[[#This Row],[SALDO PENDENTE PARCIAL]]-Tabela1[[#This Row],[CARGA 1 QZ]]</f>
        <v>997.49000000000046</v>
      </c>
      <c r="K14" s="18">
        <v>2000</v>
      </c>
      <c r="L14" s="18">
        <v>12.7</v>
      </c>
      <c r="M14" s="18"/>
      <c r="N14" s="18">
        <f>Tabela1[[#This Row],[2ª QZ]]-Tabela1[[#This Row],[SALDO FINAL]]-Tabela1[[#This Row],[SALDO CARTAO]]-Tabela1[[#This Row],[Adiantamento ]]</f>
        <v>989.80999999999949</v>
      </c>
      <c r="O14" s="18"/>
      <c r="P14" s="18">
        <f>IF(Tabela1[[#This Row],[CARGA PARCIAL]]&lt;0,0,Tabela1[[#This Row],[CARGA PARCIAL]])+Tabela1[[#This Row],[REEMBOLSO]]</f>
        <v>989.80999999999949</v>
      </c>
      <c r="Q14" s="17"/>
      <c r="R14" s="17" t="s">
        <v>23</v>
      </c>
    </row>
    <row r="15" spans="2:18">
      <c r="B15" s="17" t="s">
        <v>58</v>
      </c>
      <c r="C15" s="17" t="s">
        <v>59</v>
      </c>
      <c r="D15" s="17" t="s">
        <v>19</v>
      </c>
      <c r="E15" s="17" t="s">
        <v>51</v>
      </c>
      <c r="F15" s="17" t="s">
        <v>31</v>
      </c>
      <c r="G15" s="17" t="s">
        <v>32</v>
      </c>
      <c r="H15" s="18">
        <v>-1327.8299999999979</v>
      </c>
      <c r="I15" s="18">
        <v>1100.5850000000009</v>
      </c>
      <c r="J15" s="18">
        <v>0</v>
      </c>
      <c r="K15" s="18">
        <v>1000</v>
      </c>
      <c r="L15" s="18">
        <v>68.09</v>
      </c>
      <c r="M15" s="18"/>
      <c r="N15" s="18">
        <f>Tabela1[[#This Row],[2ª QZ]]-Tabela1[[#This Row],[SALDO FINAL]]-Tabela1[[#This Row],[SALDO CARTAO]]-Tabela1[[#This Row],[Adiantamento ]]</f>
        <v>931.91</v>
      </c>
      <c r="O15" s="18"/>
      <c r="P15" s="18">
        <f>IF(Tabela1[[#This Row],[CARGA PARCIAL]]&lt;0,0,Tabela1[[#This Row],[CARGA PARCIAL]])+Tabela1[[#This Row],[REEMBOLSO]]</f>
        <v>931.91</v>
      </c>
      <c r="Q15" s="17"/>
      <c r="R15" s="17" t="s">
        <v>23</v>
      </c>
    </row>
    <row r="16" spans="2:18">
      <c r="B16" s="17" t="s">
        <v>60</v>
      </c>
      <c r="C16" s="17" t="s">
        <v>61</v>
      </c>
      <c r="D16" s="17" t="s">
        <v>19</v>
      </c>
      <c r="E16" s="17" t="s">
        <v>62</v>
      </c>
      <c r="F16" s="17" t="s">
        <v>36</v>
      </c>
      <c r="G16" s="17" t="s">
        <v>37</v>
      </c>
      <c r="H16" s="18">
        <v>320.00000000000108</v>
      </c>
      <c r="I16" s="18">
        <v>0</v>
      </c>
      <c r="J16" s="18">
        <f>Tabela1[[#This Row],[SALDO PENDENTE PARCIAL]]-Tabela1[[#This Row],[CARGA 1 QZ]]</f>
        <v>320.00000000000108</v>
      </c>
      <c r="K16" s="18">
        <v>350</v>
      </c>
      <c r="L16" s="18">
        <v>31.32</v>
      </c>
      <c r="M16" s="18"/>
      <c r="N16" s="18">
        <f>Tabela1[[#This Row],[2ª QZ]]-Tabela1[[#This Row],[SALDO FINAL]]-Tabela1[[#This Row],[SALDO CARTAO]]-Tabela1[[#This Row],[Adiantamento ]]</f>
        <v>-1.3200000000010803</v>
      </c>
      <c r="O16" s="18"/>
      <c r="P16" s="18">
        <f>IF(Tabela1[[#This Row],[CARGA PARCIAL]]&lt;0,0,Tabela1[[#This Row],[CARGA PARCIAL]])+Tabela1[[#This Row],[REEMBOLSO]]</f>
        <v>0</v>
      </c>
      <c r="Q16" s="17"/>
      <c r="R16" s="17" t="s">
        <v>23</v>
      </c>
    </row>
    <row r="17" spans="2:18">
      <c r="B17" s="17" t="s">
        <v>63</v>
      </c>
      <c r="C17" s="17" t="s">
        <v>64</v>
      </c>
      <c r="D17" s="17" t="s">
        <v>19</v>
      </c>
      <c r="E17" s="17" t="s">
        <v>65</v>
      </c>
      <c r="F17" s="17" t="s">
        <v>27</v>
      </c>
      <c r="G17" s="17" t="s">
        <v>22</v>
      </c>
      <c r="H17" s="18">
        <v>604.94999999999982</v>
      </c>
      <c r="I17" s="18">
        <v>40.979999999999549</v>
      </c>
      <c r="J17" s="18">
        <f>Tabela1[[#This Row],[SALDO PENDENTE PARCIAL]]-Tabela1[[#This Row],[CARGA 1 QZ]]</f>
        <v>563.97000000000025</v>
      </c>
      <c r="K17" s="18">
        <v>800</v>
      </c>
      <c r="L17" s="18">
        <v>221</v>
      </c>
      <c r="M17" s="18"/>
      <c r="N17" s="18">
        <f>Tabela1[[#This Row],[2ª QZ]]-Tabela1[[#This Row],[SALDO FINAL]]-Tabela1[[#This Row],[SALDO CARTAO]]-Tabela1[[#This Row],[Adiantamento ]]</f>
        <v>15.029999999999745</v>
      </c>
      <c r="O17" s="18"/>
      <c r="P17" s="18">
        <f>IF(Tabela1[[#This Row],[CARGA PARCIAL]]&lt;0,0,Tabela1[[#This Row],[CARGA PARCIAL]])+Tabela1[[#This Row],[REEMBOLSO]]</f>
        <v>15.029999999999745</v>
      </c>
      <c r="Q17" s="17"/>
      <c r="R17" s="17" t="s">
        <v>23</v>
      </c>
    </row>
    <row r="18" spans="2:18">
      <c r="B18" s="17" t="s">
        <v>66</v>
      </c>
      <c r="C18" s="17" t="s">
        <v>67</v>
      </c>
      <c r="D18" s="17" t="s">
        <v>19</v>
      </c>
      <c r="E18" s="17" t="s">
        <v>68</v>
      </c>
      <c r="F18" s="17" t="s">
        <v>69</v>
      </c>
      <c r="G18" s="17" t="s">
        <v>37</v>
      </c>
      <c r="H18" s="18">
        <v>-655.80000000000814</v>
      </c>
      <c r="I18" s="18">
        <v>2816.5199999999918</v>
      </c>
      <c r="J18" s="18">
        <v>0</v>
      </c>
      <c r="K18" s="18">
        <v>3000</v>
      </c>
      <c r="L18" s="18">
        <v>860.26</v>
      </c>
      <c r="M18" s="18"/>
      <c r="N18" s="18">
        <f>Tabela1[[#This Row],[2ª QZ]]-Tabela1[[#This Row],[SALDO FINAL]]-Tabela1[[#This Row],[SALDO CARTAO]]-Tabela1[[#This Row],[Adiantamento ]]</f>
        <v>2139.7399999999998</v>
      </c>
      <c r="O18" s="18"/>
      <c r="P18" s="18">
        <f>IF(Tabela1[[#This Row],[CARGA PARCIAL]]&lt;0,0,Tabela1[[#This Row],[CARGA PARCIAL]])+Tabela1[[#This Row],[REEMBOLSO]]</f>
        <v>2139.7399999999998</v>
      </c>
      <c r="Q18" s="17"/>
      <c r="R18" s="17" t="s">
        <v>23</v>
      </c>
    </row>
    <row r="19" spans="2:18">
      <c r="B19" s="17" t="s">
        <v>70</v>
      </c>
      <c r="C19" s="17" t="s">
        <v>71</v>
      </c>
      <c r="D19" s="17" t="s">
        <v>19</v>
      </c>
      <c r="E19" s="17" t="s">
        <v>72</v>
      </c>
      <c r="F19" s="17" t="s">
        <v>36</v>
      </c>
      <c r="G19" s="17" t="s">
        <v>37</v>
      </c>
      <c r="H19" s="18">
        <v>1408.1100000000024</v>
      </c>
      <c r="I19" s="18">
        <v>0</v>
      </c>
      <c r="J19" s="18">
        <f>Tabela1[[#This Row],[SALDO PENDENTE PARCIAL]]-Tabela1[[#This Row],[CARGA 1 QZ]]</f>
        <v>1408.1100000000024</v>
      </c>
      <c r="K19" s="18">
        <v>500</v>
      </c>
      <c r="L19" s="18">
        <v>0</v>
      </c>
      <c r="M19" s="18"/>
      <c r="N19" s="18">
        <f>Tabela1[[#This Row],[2ª QZ]]-Tabela1[[#This Row],[SALDO FINAL]]-Tabela1[[#This Row],[SALDO CARTAO]]-Tabela1[[#This Row],[Adiantamento ]]</f>
        <v>-908.1100000000024</v>
      </c>
      <c r="O19" s="18"/>
      <c r="P19" s="18">
        <f>IF(Tabela1[[#This Row],[CARGA PARCIAL]]&lt;0,0,Tabela1[[#This Row],[CARGA PARCIAL]])+Tabela1[[#This Row],[REEMBOLSO]]</f>
        <v>0</v>
      </c>
      <c r="Q19" s="17"/>
      <c r="R19" s="17" t="s">
        <v>23</v>
      </c>
    </row>
    <row r="20" spans="2:18">
      <c r="B20" s="17" t="s">
        <v>73</v>
      </c>
      <c r="C20" s="17" t="s">
        <v>74</v>
      </c>
      <c r="D20" s="17" t="s">
        <v>19</v>
      </c>
      <c r="E20" s="17" t="s">
        <v>75</v>
      </c>
      <c r="F20" s="17" t="s">
        <v>41</v>
      </c>
      <c r="G20" s="17" t="s">
        <v>37</v>
      </c>
      <c r="H20" s="18">
        <v>591.20000000000266</v>
      </c>
      <c r="I20" s="18">
        <v>0</v>
      </c>
      <c r="J20" s="18">
        <f>Tabela1[[#This Row],[SALDO PENDENTE PARCIAL]]-Tabela1[[#This Row],[CARGA 1 QZ]]</f>
        <v>591.20000000000266</v>
      </c>
      <c r="K20" s="18">
        <v>200</v>
      </c>
      <c r="L20" s="18">
        <v>47.61</v>
      </c>
      <c r="M20" s="18"/>
      <c r="N20" s="18">
        <f>Tabela1[[#This Row],[2ª QZ]]-Tabela1[[#This Row],[SALDO FINAL]]-Tabela1[[#This Row],[SALDO CARTAO]]-Tabela1[[#This Row],[Adiantamento ]]</f>
        <v>-438.81000000000267</v>
      </c>
      <c r="O20" s="18"/>
      <c r="P20" s="18">
        <f>IF(Tabela1[[#This Row],[CARGA PARCIAL]]&lt;0,0,Tabela1[[#This Row],[CARGA PARCIAL]])+Tabela1[[#This Row],[REEMBOLSO]]</f>
        <v>0</v>
      </c>
      <c r="Q20" s="17"/>
      <c r="R20" s="17" t="s">
        <v>23</v>
      </c>
    </row>
    <row r="21" spans="2:18">
      <c r="B21" s="17" t="s">
        <v>76</v>
      </c>
      <c r="C21" s="17" t="s">
        <v>77</v>
      </c>
      <c r="D21" s="17" t="s">
        <v>19</v>
      </c>
      <c r="E21" s="17" t="s">
        <v>78</v>
      </c>
      <c r="F21" s="17" t="s">
        <v>41</v>
      </c>
      <c r="G21" s="17" t="s">
        <v>37</v>
      </c>
      <c r="H21" s="18">
        <v>57.999999999998636</v>
      </c>
      <c r="I21" s="18">
        <v>0</v>
      </c>
      <c r="J21" s="18">
        <f>Tabela1[[#This Row],[SALDO PENDENTE PARCIAL]]-Tabela1[[#This Row],[CARGA 1 QZ]]</f>
        <v>57.999999999998636</v>
      </c>
      <c r="K21" s="18">
        <v>500</v>
      </c>
      <c r="L21" s="18">
        <v>1123.52</v>
      </c>
      <c r="M21" s="18"/>
      <c r="N21" s="18">
        <f>Tabela1[[#This Row],[2ª QZ]]-Tabela1[[#This Row],[SALDO FINAL]]-Tabela1[[#This Row],[SALDO CARTAO]]-Tabela1[[#This Row],[Adiantamento ]]</f>
        <v>-681.51999999999862</v>
      </c>
      <c r="O21" s="18"/>
      <c r="P21" s="18">
        <f>IF(Tabela1[[#This Row],[CARGA PARCIAL]]&lt;0,0,Tabela1[[#This Row],[CARGA PARCIAL]])+Tabela1[[#This Row],[REEMBOLSO]]</f>
        <v>0</v>
      </c>
      <c r="Q21" s="17"/>
      <c r="R21" s="17" t="s">
        <v>23</v>
      </c>
    </row>
    <row r="22" spans="2:18">
      <c r="B22" s="17" t="s">
        <v>79</v>
      </c>
      <c r="C22" s="17" t="s">
        <v>80</v>
      </c>
      <c r="D22" s="17" t="s">
        <v>19</v>
      </c>
      <c r="E22" s="17" t="s">
        <v>81</v>
      </c>
      <c r="F22" s="17" t="s">
        <v>41</v>
      </c>
      <c r="G22" s="17" t="s">
        <v>37</v>
      </c>
      <c r="H22" s="18">
        <v>500</v>
      </c>
      <c r="I22" s="18">
        <v>0</v>
      </c>
      <c r="J22" s="18">
        <f>Tabela1[[#This Row],[SALDO PENDENTE PARCIAL]]-Tabela1[[#This Row],[CARGA 1 QZ]]</f>
        <v>500</v>
      </c>
      <c r="K22" s="18">
        <v>500</v>
      </c>
      <c r="L22" s="18">
        <v>0</v>
      </c>
      <c r="M22" s="18"/>
      <c r="N22" s="18">
        <f>Tabela1[[#This Row],[2ª QZ]]-Tabela1[[#This Row],[SALDO FINAL]]-Tabela1[[#This Row],[SALDO CARTAO]]-Tabela1[[#This Row],[Adiantamento ]]</f>
        <v>0</v>
      </c>
      <c r="O22" s="18"/>
      <c r="P22" s="18">
        <f>IF(Tabela1[[#This Row],[CARGA PARCIAL]]&lt;0,0,Tabela1[[#This Row],[CARGA PARCIAL]])+Tabela1[[#This Row],[REEMBOLSO]]</f>
        <v>0</v>
      </c>
      <c r="Q22" s="17"/>
      <c r="R22" s="17" t="s">
        <v>82</v>
      </c>
    </row>
    <row r="23" spans="2:18">
      <c r="B23" s="17" t="s">
        <v>83</v>
      </c>
      <c r="C23" s="17" t="s">
        <v>84</v>
      </c>
      <c r="D23" s="17" t="s">
        <v>19</v>
      </c>
      <c r="E23" s="17" t="s">
        <v>85</v>
      </c>
      <c r="F23" s="17" t="s">
        <v>69</v>
      </c>
      <c r="G23" s="17" t="s">
        <v>37</v>
      </c>
      <c r="H23" s="18">
        <v>0</v>
      </c>
      <c r="I23" s="18">
        <v>0</v>
      </c>
      <c r="J23" s="18">
        <v>1500</v>
      </c>
      <c r="K23" s="18">
        <v>1500</v>
      </c>
      <c r="L23" s="18">
        <v>0</v>
      </c>
      <c r="M23" s="18"/>
      <c r="N23" s="18">
        <f>Tabela1[[#This Row],[2ª QZ]]-Tabela1[[#This Row],[SALDO FINAL]]-Tabela1[[#This Row],[SALDO CARTAO]]-Tabela1[[#This Row],[Adiantamento ]]</f>
        <v>0</v>
      </c>
      <c r="O23" s="18"/>
      <c r="P23" s="18">
        <f>IF(Tabela1[[#This Row],[CARGA PARCIAL]]&lt;0,0,Tabela1[[#This Row],[CARGA PARCIAL]])+Tabela1[[#This Row],[REEMBOLSO]]</f>
        <v>0</v>
      </c>
      <c r="Q23" s="17"/>
      <c r="R23" s="17" t="s">
        <v>86</v>
      </c>
    </row>
    <row r="24" spans="2:18">
      <c r="B24" s="17" t="s">
        <v>87</v>
      </c>
      <c r="C24" s="17" t="s">
        <v>88</v>
      </c>
      <c r="D24" s="17" t="s">
        <v>19</v>
      </c>
      <c r="E24" s="17" t="s">
        <v>44</v>
      </c>
      <c r="F24" s="17" t="s">
        <v>45</v>
      </c>
      <c r="G24" s="17" t="s">
        <v>37</v>
      </c>
      <c r="H24" s="18">
        <v>0</v>
      </c>
      <c r="I24" s="18">
        <v>80</v>
      </c>
      <c r="J24" s="18">
        <v>0</v>
      </c>
      <c r="K24" s="18">
        <v>80</v>
      </c>
      <c r="L24" s="18">
        <v>150</v>
      </c>
      <c r="M24" s="18"/>
      <c r="N24" s="18">
        <f>Tabela1[[#This Row],[2ª QZ]]-Tabela1[[#This Row],[SALDO FINAL]]-Tabela1[[#This Row],[SALDO CARTAO]]-Tabela1[[#This Row],[Adiantamento ]]</f>
        <v>-70</v>
      </c>
      <c r="O24" s="18"/>
      <c r="P24" s="18">
        <f>IF(Tabela1[[#This Row],[CARGA PARCIAL]]&lt;0,0,Tabela1[[#This Row],[CARGA PARCIAL]])+Tabela1[[#This Row],[REEMBOLSO]]</f>
        <v>0</v>
      </c>
      <c r="Q24" s="17"/>
      <c r="R24" s="17" t="s">
        <v>23</v>
      </c>
    </row>
    <row r="25" spans="2:18">
      <c r="B25" s="17" t="s">
        <v>89</v>
      </c>
      <c r="C25" s="17" t="s">
        <v>90</v>
      </c>
      <c r="D25" s="17" t="s">
        <v>19</v>
      </c>
      <c r="E25" s="17" t="s">
        <v>91</v>
      </c>
      <c r="F25" s="17" t="s">
        <v>45</v>
      </c>
      <c r="G25" s="17" t="s">
        <v>37</v>
      </c>
      <c r="H25" s="18">
        <v>50</v>
      </c>
      <c r="I25" s="18">
        <v>0</v>
      </c>
      <c r="J25" s="18">
        <f>Tabela1[[#This Row],[SALDO PENDENTE PARCIAL]]-Tabela1[[#This Row],[CARGA 1 QZ]]</f>
        <v>50</v>
      </c>
      <c r="K25" s="18">
        <v>50</v>
      </c>
      <c r="L25" s="18">
        <v>0</v>
      </c>
      <c r="M25" s="18"/>
      <c r="N25" s="18">
        <f>Tabela1[[#This Row],[2ª QZ]]-Tabela1[[#This Row],[SALDO FINAL]]-Tabela1[[#This Row],[SALDO CARTAO]]-Tabela1[[#This Row],[Adiantamento ]]</f>
        <v>0</v>
      </c>
      <c r="O25" s="18"/>
      <c r="P25" s="18">
        <f>IF(Tabela1[[#This Row],[CARGA PARCIAL]]&lt;0,0,Tabela1[[#This Row],[CARGA PARCIAL]])+Tabela1[[#This Row],[REEMBOLSO]]</f>
        <v>0</v>
      </c>
      <c r="Q25" s="17"/>
      <c r="R25" s="17" t="s">
        <v>23</v>
      </c>
    </row>
    <row r="26" spans="2:18">
      <c r="B26" s="17" t="s">
        <v>92</v>
      </c>
      <c r="C26" s="17" t="s">
        <v>93</v>
      </c>
      <c r="D26" s="17" t="s">
        <v>19</v>
      </c>
      <c r="E26" s="17" t="s">
        <v>94</v>
      </c>
      <c r="F26" s="17" t="s">
        <v>95</v>
      </c>
      <c r="G26" s="17" t="s">
        <v>22</v>
      </c>
      <c r="H26" s="18">
        <v>50.869999999999436</v>
      </c>
      <c r="I26" s="18">
        <v>29.565000000000055</v>
      </c>
      <c r="J26" s="18">
        <f>Tabela1[[#This Row],[SALDO PENDENTE PARCIAL]]-Tabela1[[#This Row],[CARGA 1 QZ]]</f>
        <v>21.304999999999382</v>
      </c>
      <c r="K26" s="18">
        <v>500</v>
      </c>
      <c r="L26" s="18">
        <v>2525.39</v>
      </c>
      <c r="M26" s="18"/>
      <c r="N26" s="18">
        <f>Tabela1[[#This Row],[2ª QZ]]-Tabela1[[#This Row],[SALDO FINAL]]-Tabela1[[#This Row],[SALDO CARTAO]]-Tabela1[[#This Row],[Adiantamento ]]</f>
        <v>-2046.6949999999993</v>
      </c>
      <c r="O26" s="18"/>
      <c r="P26" s="18">
        <f>IF(Tabela1[[#This Row],[CARGA PARCIAL]]&lt;0,0,Tabela1[[#This Row],[CARGA PARCIAL]])+Tabela1[[#This Row],[REEMBOLSO]]</f>
        <v>0</v>
      </c>
      <c r="Q26" s="17"/>
      <c r="R26" s="17" t="s">
        <v>23</v>
      </c>
    </row>
    <row r="27" spans="2:18">
      <c r="B27" s="17" t="s">
        <v>96</v>
      </c>
      <c r="C27" s="17" t="s">
        <v>97</v>
      </c>
      <c r="D27" s="17" t="s">
        <v>19</v>
      </c>
      <c r="E27" s="17" t="s">
        <v>98</v>
      </c>
      <c r="F27" s="17" t="s">
        <v>36</v>
      </c>
      <c r="G27" s="17" t="s">
        <v>37</v>
      </c>
      <c r="H27" s="18">
        <v>401.1</v>
      </c>
      <c r="I27" s="18">
        <v>0</v>
      </c>
      <c r="J27" s="18">
        <f>Tabela1[[#This Row],[SALDO PENDENTE PARCIAL]]-Tabela1[[#This Row],[CARGA 1 QZ]]</f>
        <v>401.1</v>
      </c>
      <c r="K27" s="18">
        <v>400</v>
      </c>
      <c r="L27" s="18">
        <v>24.4</v>
      </c>
      <c r="M27" s="18"/>
      <c r="N27" s="18">
        <f>Tabela1[[#This Row],[2ª QZ]]-Tabela1[[#This Row],[SALDO FINAL]]-Tabela1[[#This Row],[SALDO CARTAO]]-Tabela1[[#This Row],[Adiantamento ]]</f>
        <v>-25.500000000000021</v>
      </c>
      <c r="O27" s="18"/>
      <c r="P27" s="18">
        <f>IF(Tabela1[[#This Row],[CARGA PARCIAL]]&lt;0,0,Tabela1[[#This Row],[CARGA PARCIAL]])+Tabela1[[#This Row],[REEMBOLSO]]</f>
        <v>0</v>
      </c>
      <c r="Q27" s="17"/>
      <c r="R27" s="17" t="s">
        <v>23</v>
      </c>
    </row>
    <row r="28" spans="2:18">
      <c r="B28" s="17" t="s">
        <v>99</v>
      </c>
      <c r="C28" s="17" t="s">
        <v>100</v>
      </c>
      <c r="D28" s="17" t="s">
        <v>19</v>
      </c>
      <c r="E28" s="17" t="s">
        <v>101</v>
      </c>
      <c r="F28" s="17" t="s">
        <v>36</v>
      </c>
      <c r="G28" s="17" t="s">
        <v>37</v>
      </c>
      <c r="H28" s="18">
        <v>0</v>
      </c>
      <c r="I28" s="18">
        <v>0</v>
      </c>
      <c r="J28" s="18">
        <v>160</v>
      </c>
      <c r="K28" s="18">
        <v>160</v>
      </c>
      <c r="L28" s="18">
        <v>0</v>
      </c>
      <c r="M28" s="18"/>
      <c r="N28" s="18">
        <f>Tabela1[[#This Row],[2ª QZ]]-Tabela1[[#This Row],[SALDO FINAL]]-Tabela1[[#This Row],[SALDO CARTAO]]-Tabela1[[#This Row],[Adiantamento ]]</f>
        <v>0</v>
      </c>
      <c r="O28" s="18"/>
      <c r="P28" s="18">
        <f>IF(Tabela1[[#This Row],[CARGA PARCIAL]]&lt;0,0,Tabela1[[#This Row],[CARGA PARCIAL]])+Tabela1[[#This Row],[REEMBOLSO]]</f>
        <v>0</v>
      </c>
      <c r="Q28" s="17"/>
      <c r="R28" s="17" t="s">
        <v>86</v>
      </c>
    </row>
    <row r="29" spans="2:18">
      <c r="B29" s="17" t="s">
        <v>102</v>
      </c>
      <c r="C29" s="17" t="s">
        <v>103</v>
      </c>
      <c r="D29" s="17" t="s">
        <v>19</v>
      </c>
      <c r="E29" s="17" t="s">
        <v>30</v>
      </c>
      <c r="F29" s="17" t="s">
        <v>31</v>
      </c>
      <c r="G29" s="17" t="s">
        <v>32</v>
      </c>
      <c r="H29" s="18">
        <v>333.09000000000015</v>
      </c>
      <c r="I29" s="18">
        <v>0</v>
      </c>
      <c r="J29" s="18">
        <f>Tabela1[[#This Row],[SALDO PENDENTE PARCIAL]]-Tabela1[[#This Row],[CARGA 1 QZ]]</f>
        <v>333.09000000000015</v>
      </c>
      <c r="K29" s="18">
        <v>500</v>
      </c>
      <c r="L29" s="18">
        <v>0</v>
      </c>
      <c r="M29" s="18"/>
      <c r="N29" s="18">
        <f>Tabela1[[#This Row],[2ª QZ]]-Tabela1[[#This Row],[SALDO FINAL]]-Tabela1[[#This Row],[SALDO CARTAO]]-Tabela1[[#This Row],[Adiantamento ]]</f>
        <v>166.90999999999985</v>
      </c>
      <c r="O29" s="18"/>
      <c r="P29" s="18">
        <f>IF(Tabela1[[#This Row],[CARGA PARCIAL]]&lt;0,0,Tabela1[[#This Row],[CARGA PARCIAL]])+Tabela1[[#This Row],[REEMBOLSO]]</f>
        <v>166.90999999999985</v>
      </c>
      <c r="Q29" s="17"/>
      <c r="R29" s="17" t="s">
        <v>23</v>
      </c>
    </row>
    <row r="30" spans="2:18">
      <c r="B30" s="17" t="s">
        <v>104</v>
      </c>
      <c r="C30" s="17" t="s">
        <v>105</v>
      </c>
      <c r="D30" s="17" t="s">
        <v>19</v>
      </c>
      <c r="E30" s="17" t="s">
        <v>106</v>
      </c>
      <c r="F30" s="17" t="s">
        <v>41</v>
      </c>
      <c r="G30" s="17" t="s">
        <v>37</v>
      </c>
      <c r="H30" s="18">
        <v>313.16999999999985</v>
      </c>
      <c r="I30" s="18">
        <v>0</v>
      </c>
      <c r="J30" s="18">
        <f>Tabela1[[#This Row],[SALDO PENDENTE PARCIAL]]-Tabela1[[#This Row],[CARGA 1 QZ]]</f>
        <v>313.16999999999985</v>
      </c>
      <c r="K30" s="18">
        <v>500</v>
      </c>
      <c r="L30" s="18">
        <v>5.49</v>
      </c>
      <c r="M30" s="18"/>
      <c r="N30" s="18">
        <f>Tabela1[[#This Row],[2ª QZ]]-Tabela1[[#This Row],[SALDO FINAL]]-Tabela1[[#This Row],[SALDO CARTAO]]-Tabela1[[#This Row],[Adiantamento ]]</f>
        <v>181.34000000000015</v>
      </c>
      <c r="O30" s="18"/>
      <c r="P30" s="18">
        <f>IF(Tabela1[[#This Row],[CARGA PARCIAL]]&lt;0,0,Tabela1[[#This Row],[CARGA PARCIAL]])+Tabela1[[#This Row],[REEMBOLSO]]</f>
        <v>181.34000000000015</v>
      </c>
      <c r="Q30" s="17"/>
      <c r="R30" s="17" t="s">
        <v>23</v>
      </c>
    </row>
    <row r="31" spans="2:18">
      <c r="B31" s="17" t="s">
        <v>107</v>
      </c>
      <c r="C31" s="17" t="s">
        <v>108</v>
      </c>
      <c r="D31" s="17" t="s">
        <v>19</v>
      </c>
      <c r="E31" s="17" t="s">
        <v>109</v>
      </c>
      <c r="F31" s="17" t="s">
        <v>36</v>
      </c>
      <c r="G31" s="17" t="s">
        <v>37</v>
      </c>
      <c r="H31" s="18">
        <v>500.00000000000045</v>
      </c>
      <c r="I31" s="18">
        <v>107.5</v>
      </c>
      <c r="J31" s="18">
        <f>Tabela1[[#This Row],[SALDO PENDENTE PARCIAL]]-Tabela1[[#This Row],[CARGA 1 QZ]]</f>
        <v>392.50000000000045</v>
      </c>
      <c r="K31" s="18">
        <v>500</v>
      </c>
      <c r="L31" s="18">
        <v>0</v>
      </c>
      <c r="M31" s="18"/>
      <c r="N31" s="18">
        <f>Tabela1[[#This Row],[2ª QZ]]-Tabela1[[#This Row],[SALDO FINAL]]-Tabela1[[#This Row],[SALDO CARTAO]]-Tabela1[[#This Row],[Adiantamento ]]</f>
        <v>107.49999999999955</v>
      </c>
      <c r="O31" s="18"/>
      <c r="P31" s="18">
        <f>IF(Tabela1[[#This Row],[CARGA PARCIAL]]&lt;0,0,Tabela1[[#This Row],[CARGA PARCIAL]])+Tabela1[[#This Row],[REEMBOLSO]]</f>
        <v>107.49999999999955</v>
      </c>
      <c r="Q31" s="17"/>
      <c r="R31" s="17" t="s">
        <v>23</v>
      </c>
    </row>
    <row r="32" spans="2:18">
      <c r="B32" s="17" t="s">
        <v>110</v>
      </c>
      <c r="C32" s="17" t="s">
        <v>111</v>
      </c>
      <c r="D32" s="17" t="s">
        <v>19</v>
      </c>
      <c r="E32" s="17" t="s">
        <v>112</v>
      </c>
      <c r="F32" s="17" t="s">
        <v>21</v>
      </c>
      <c r="G32" s="17" t="s">
        <v>22</v>
      </c>
      <c r="H32" s="18">
        <v>27801.410000000003</v>
      </c>
      <c r="I32" s="18">
        <v>7254.8099999999977</v>
      </c>
      <c r="J32" s="18">
        <f>Tabela1[[#This Row],[SALDO PENDENTE PARCIAL]]-Tabela1[[#This Row],[CARGA 1 QZ]]</f>
        <v>20546.600000000006</v>
      </c>
      <c r="K32" s="18">
        <v>9000</v>
      </c>
      <c r="L32" s="18">
        <v>221.94</v>
      </c>
      <c r="M32" s="18"/>
      <c r="N32" s="18">
        <f>Tabela1[[#This Row],[2ª QZ]]-Tabela1[[#This Row],[SALDO FINAL]]-Tabela1[[#This Row],[SALDO CARTAO]]-Tabela1[[#This Row],[Adiantamento ]]</f>
        <v>-11768.540000000006</v>
      </c>
      <c r="O32" s="18"/>
      <c r="P32" s="18">
        <f>IF(Tabela1[[#This Row],[CARGA PARCIAL]]&lt;0,0,Tabela1[[#This Row],[CARGA PARCIAL]])+Tabela1[[#This Row],[REEMBOLSO]]</f>
        <v>0</v>
      </c>
      <c r="Q32" s="17"/>
      <c r="R32" s="17" t="s">
        <v>23</v>
      </c>
    </row>
    <row r="33" spans="2:18">
      <c r="B33" s="17" t="s">
        <v>113</v>
      </c>
      <c r="C33" s="17" t="s">
        <v>114</v>
      </c>
      <c r="D33" s="17" t="s">
        <v>19</v>
      </c>
      <c r="E33" s="17" t="s">
        <v>115</v>
      </c>
      <c r="F33" s="17" t="s">
        <v>41</v>
      </c>
      <c r="G33" s="17" t="s">
        <v>37</v>
      </c>
      <c r="H33" s="18">
        <v>2088.0799999999722</v>
      </c>
      <c r="I33" s="18">
        <v>2243.8900000000285</v>
      </c>
      <c r="J33" s="18">
        <v>0</v>
      </c>
      <c r="K33" s="18">
        <v>2800</v>
      </c>
      <c r="L33" s="18">
        <v>1.89</v>
      </c>
      <c r="M33" s="18"/>
      <c r="N33" s="18">
        <f>Tabela1[[#This Row],[2ª QZ]]-Tabela1[[#This Row],[SALDO FINAL]]-Tabela1[[#This Row],[SALDO CARTAO]]-Tabela1[[#This Row],[Adiantamento ]]</f>
        <v>2798.11</v>
      </c>
      <c r="O33" s="18"/>
      <c r="P33" s="18">
        <f>IF(Tabela1[[#This Row],[CARGA PARCIAL]]&lt;0,0,Tabela1[[#This Row],[CARGA PARCIAL]])+Tabela1[[#This Row],[REEMBOLSO]]</f>
        <v>2798.11</v>
      </c>
      <c r="Q33" s="17"/>
      <c r="R33" s="17" t="s">
        <v>23</v>
      </c>
    </row>
    <row r="34" spans="2:18">
      <c r="B34" s="17" t="s">
        <v>116</v>
      </c>
      <c r="C34" s="17" t="s">
        <v>117</v>
      </c>
      <c r="D34" s="17" t="s">
        <v>19</v>
      </c>
      <c r="E34" s="17" t="s">
        <v>118</v>
      </c>
      <c r="F34" s="17" t="s">
        <v>45</v>
      </c>
      <c r="G34" s="17" t="s">
        <v>37</v>
      </c>
      <c r="H34" s="18">
        <v>1372.76</v>
      </c>
      <c r="I34" s="18">
        <v>0</v>
      </c>
      <c r="J34" s="18">
        <f>Tabela1[[#This Row],[SALDO PENDENTE PARCIAL]]-Tabela1[[#This Row],[CARGA 1 QZ]]</f>
        <v>1372.76</v>
      </c>
      <c r="K34" s="18">
        <v>1200</v>
      </c>
      <c r="L34" s="18">
        <v>1708.41</v>
      </c>
      <c r="M34" s="18"/>
      <c r="N34" s="18">
        <f>Tabela1[[#This Row],[2ª QZ]]-Tabela1[[#This Row],[SALDO FINAL]]-Tabela1[[#This Row],[SALDO CARTAO]]-Tabela1[[#This Row],[Adiantamento ]]</f>
        <v>-1881.17</v>
      </c>
      <c r="O34" s="18"/>
      <c r="P34" s="18">
        <f>IF(Tabela1[[#This Row],[CARGA PARCIAL]]&lt;0,0,Tabela1[[#This Row],[CARGA PARCIAL]])+Tabela1[[#This Row],[REEMBOLSO]]</f>
        <v>0</v>
      </c>
      <c r="Q34" s="17"/>
      <c r="R34" s="17" t="s">
        <v>23</v>
      </c>
    </row>
    <row r="35" spans="2:18">
      <c r="B35" s="17" t="s">
        <v>119</v>
      </c>
      <c r="C35" s="17" t="s">
        <v>120</v>
      </c>
      <c r="D35" s="17" t="s">
        <v>19</v>
      </c>
      <c r="E35" s="17" t="s">
        <v>51</v>
      </c>
      <c r="F35" s="17" t="s">
        <v>31</v>
      </c>
      <c r="G35" s="17" t="s">
        <v>32</v>
      </c>
      <c r="H35" s="18">
        <v>387.33999999999969</v>
      </c>
      <c r="I35" s="18">
        <v>387.12000000000006</v>
      </c>
      <c r="J35" s="18">
        <f>Tabela1[[#This Row],[SALDO PENDENTE PARCIAL]]-Tabela1[[#This Row],[CARGA 1 QZ]]</f>
        <v>0.21999999999962938</v>
      </c>
      <c r="K35" s="18">
        <v>400</v>
      </c>
      <c r="L35" s="18">
        <v>0</v>
      </c>
      <c r="M35" s="18"/>
      <c r="N35" s="18">
        <f>Tabela1[[#This Row],[2ª QZ]]-Tabela1[[#This Row],[SALDO FINAL]]-Tabela1[[#This Row],[SALDO CARTAO]]-Tabela1[[#This Row],[Adiantamento ]]</f>
        <v>399.78000000000037</v>
      </c>
      <c r="O35" s="18"/>
      <c r="P35" s="18">
        <f>IF(Tabela1[[#This Row],[CARGA PARCIAL]]&lt;0,0,Tabela1[[#This Row],[CARGA PARCIAL]])+Tabela1[[#This Row],[REEMBOLSO]]</f>
        <v>399.78000000000037</v>
      </c>
      <c r="Q35" s="17"/>
      <c r="R35" s="17" t="s">
        <v>23</v>
      </c>
    </row>
    <row r="36" spans="2:18">
      <c r="B36" s="17" t="s">
        <v>121</v>
      </c>
      <c r="C36" s="17" t="s">
        <v>122</v>
      </c>
      <c r="D36" s="17" t="s">
        <v>19</v>
      </c>
      <c r="E36" s="17" t="s">
        <v>123</v>
      </c>
      <c r="F36" s="17" t="s">
        <v>21</v>
      </c>
      <c r="G36" s="17" t="s">
        <v>22</v>
      </c>
      <c r="H36" s="18">
        <v>3405.8500000000045</v>
      </c>
      <c r="I36" s="18">
        <v>7634.1599999999962</v>
      </c>
      <c r="J36" s="18">
        <v>0</v>
      </c>
      <c r="K36" s="18">
        <v>5500</v>
      </c>
      <c r="L36" s="18">
        <v>92.65</v>
      </c>
      <c r="M36" s="18"/>
      <c r="N36" s="18">
        <f>Tabela1[[#This Row],[2ª QZ]]-Tabela1[[#This Row],[SALDO FINAL]]-Tabela1[[#This Row],[SALDO CARTAO]]-Tabela1[[#This Row],[Adiantamento ]]</f>
        <v>5407.35</v>
      </c>
      <c r="O36" s="18"/>
      <c r="P36" s="18">
        <f>IF(Tabela1[[#This Row],[CARGA PARCIAL]]&lt;0,0,Tabela1[[#This Row],[CARGA PARCIAL]])+Tabela1[[#This Row],[REEMBOLSO]]</f>
        <v>5407.35</v>
      </c>
      <c r="Q36" s="17"/>
      <c r="R36" s="17" t="s">
        <v>23</v>
      </c>
    </row>
    <row r="37" spans="2:18">
      <c r="B37" s="17" t="s">
        <v>124</v>
      </c>
      <c r="C37" s="17" t="s">
        <v>125</v>
      </c>
      <c r="D37" s="17" t="s">
        <v>19</v>
      </c>
      <c r="E37" s="17" t="s">
        <v>126</v>
      </c>
      <c r="F37" s="17" t="s">
        <v>31</v>
      </c>
      <c r="G37" s="17" t="s">
        <v>32</v>
      </c>
      <c r="H37" s="18">
        <v>225.67000000000007</v>
      </c>
      <c r="I37" s="18">
        <v>0</v>
      </c>
      <c r="J37" s="18">
        <f>Tabela1[[#This Row],[SALDO PENDENTE PARCIAL]]-Tabela1[[#This Row],[CARGA 1 QZ]]</f>
        <v>225.67000000000007</v>
      </c>
      <c r="K37" s="18">
        <v>300</v>
      </c>
      <c r="L37" s="18">
        <v>0</v>
      </c>
      <c r="M37" s="18"/>
      <c r="N37" s="18">
        <f>Tabela1[[#This Row],[2ª QZ]]-Tabela1[[#This Row],[SALDO FINAL]]-Tabela1[[#This Row],[SALDO CARTAO]]-Tabela1[[#This Row],[Adiantamento ]]</f>
        <v>74.329999999999927</v>
      </c>
      <c r="O37" s="18"/>
      <c r="P37" s="18">
        <f>IF(Tabela1[[#This Row],[CARGA PARCIAL]]&lt;0,0,Tabela1[[#This Row],[CARGA PARCIAL]])+Tabela1[[#This Row],[REEMBOLSO]]</f>
        <v>74.329999999999927</v>
      </c>
      <c r="Q37" s="17"/>
      <c r="R37" s="17" t="s">
        <v>23</v>
      </c>
    </row>
    <row r="38" spans="2:18">
      <c r="B38" s="17" t="s">
        <v>127</v>
      </c>
      <c r="C38" s="17" t="s">
        <v>128</v>
      </c>
      <c r="D38" s="17" t="s">
        <v>19</v>
      </c>
      <c r="E38" s="17" t="s">
        <v>129</v>
      </c>
      <c r="F38" s="17" t="s">
        <v>95</v>
      </c>
      <c r="G38" s="17" t="s">
        <v>22</v>
      </c>
      <c r="H38" s="18">
        <v>605.48999999998978</v>
      </c>
      <c r="I38" s="18">
        <v>1357.7400000000164</v>
      </c>
      <c r="J38" s="18">
        <v>0</v>
      </c>
      <c r="K38" s="18">
        <v>5000</v>
      </c>
      <c r="L38" s="18">
        <v>2524.21</v>
      </c>
      <c r="M38" s="18"/>
      <c r="N38" s="18">
        <f>Tabela1[[#This Row],[2ª QZ]]-Tabela1[[#This Row],[SALDO FINAL]]-Tabela1[[#This Row],[SALDO CARTAO]]-Tabela1[[#This Row],[Adiantamento ]]</f>
        <v>2475.79</v>
      </c>
      <c r="O38" s="18"/>
      <c r="P38" s="18">
        <f>IF(Tabela1[[#This Row],[CARGA PARCIAL]]&lt;0,0,Tabela1[[#This Row],[CARGA PARCIAL]])+Tabela1[[#This Row],[REEMBOLSO]]</f>
        <v>2475.79</v>
      </c>
      <c r="Q38" s="17"/>
      <c r="R38" s="17" t="s">
        <v>23</v>
      </c>
    </row>
    <row r="39" spans="2:18">
      <c r="B39" s="17" t="s">
        <v>130</v>
      </c>
      <c r="C39" s="17" t="s">
        <v>131</v>
      </c>
      <c r="D39" s="17" t="s">
        <v>19</v>
      </c>
      <c r="E39" s="17" t="s">
        <v>132</v>
      </c>
      <c r="F39" s="17" t="s">
        <v>27</v>
      </c>
      <c r="G39" s="17" t="s">
        <v>22</v>
      </c>
      <c r="H39" s="18">
        <v>90.399999999978178</v>
      </c>
      <c r="I39" s="18">
        <v>966.59999999999854</v>
      </c>
      <c r="J39" s="18">
        <v>0</v>
      </c>
      <c r="K39" s="18">
        <v>1000</v>
      </c>
      <c r="L39" s="18">
        <v>2.6</v>
      </c>
      <c r="M39" s="18"/>
      <c r="N39" s="18">
        <f>Tabela1[[#This Row],[2ª QZ]]-Tabela1[[#This Row],[SALDO FINAL]]-Tabela1[[#This Row],[SALDO CARTAO]]-Tabela1[[#This Row],[Adiantamento ]]</f>
        <v>997.4</v>
      </c>
      <c r="O39" s="18"/>
      <c r="P39" s="18">
        <f>IF(Tabela1[[#This Row],[CARGA PARCIAL]]&lt;0,0,Tabela1[[#This Row],[CARGA PARCIAL]])+Tabela1[[#This Row],[REEMBOLSO]]</f>
        <v>997.4</v>
      </c>
      <c r="Q39" s="17"/>
      <c r="R39" s="17" t="s">
        <v>23</v>
      </c>
    </row>
    <row r="40" spans="2:18">
      <c r="B40" s="17" t="s">
        <v>133</v>
      </c>
      <c r="C40" s="17" t="s">
        <v>134</v>
      </c>
      <c r="D40" s="17" t="s">
        <v>19</v>
      </c>
      <c r="E40" s="17" t="s">
        <v>135</v>
      </c>
      <c r="F40" s="17" t="s">
        <v>36</v>
      </c>
      <c r="G40" s="17" t="s">
        <v>37</v>
      </c>
      <c r="H40" s="18">
        <v>-1.2799999999925058</v>
      </c>
      <c r="I40" s="18">
        <v>400.92000000000007</v>
      </c>
      <c r="J40" s="18">
        <v>0</v>
      </c>
      <c r="K40" s="18">
        <v>800</v>
      </c>
      <c r="L40" s="18">
        <v>4.29</v>
      </c>
      <c r="M40" s="18"/>
      <c r="N40" s="18">
        <f>Tabela1[[#This Row],[2ª QZ]]-Tabela1[[#This Row],[SALDO FINAL]]-Tabela1[[#This Row],[SALDO CARTAO]]-Tabela1[[#This Row],[Adiantamento ]]</f>
        <v>795.71</v>
      </c>
      <c r="O40" s="18"/>
      <c r="P40" s="18">
        <f>IF(Tabela1[[#This Row],[CARGA PARCIAL]]&lt;0,0,Tabela1[[#This Row],[CARGA PARCIAL]])+Tabela1[[#This Row],[REEMBOLSO]]</f>
        <v>795.71</v>
      </c>
      <c r="Q40" s="17"/>
      <c r="R40" s="17" t="s">
        <v>23</v>
      </c>
    </row>
    <row r="41" spans="2:18">
      <c r="B41" s="17" t="s">
        <v>136</v>
      </c>
      <c r="C41" s="17" t="s">
        <v>137</v>
      </c>
      <c r="D41" s="17" t="s">
        <v>19</v>
      </c>
      <c r="E41" s="17" t="s">
        <v>138</v>
      </c>
      <c r="F41" s="17" t="s">
        <v>21</v>
      </c>
      <c r="G41" s="17" t="s">
        <v>22</v>
      </c>
      <c r="H41" s="18">
        <v>930.48999999997056</v>
      </c>
      <c r="I41" s="18">
        <v>2055.3200000000115</v>
      </c>
      <c r="J41" s="18">
        <v>0</v>
      </c>
      <c r="K41" s="18">
        <v>2000</v>
      </c>
      <c r="L41" s="18">
        <v>37.83</v>
      </c>
      <c r="M41" s="18"/>
      <c r="N41" s="18">
        <f>Tabela1[[#This Row],[2ª QZ]]-Tabela1[[#This Row],[SALDO FINAL]]-Tabela1[[#This Row],[SALDO CARTAO]]-Tabela1[[#This Row],[Adiantamento ]]</f>
        <v>1962.17</v>
      </c>
      <c r="O41" s="18"/>
      <c r="P41" s="18">
        <f>IF(Tabela1[[#This Row],[CARGA PARCIAL]]&lt;0,0,Tabela1[[#This Row],[CARGA PARCIAL]])+Tabela1[[#This Row],[REEMBOLSO]]</f>
        <v>1962.17</v>
      </c>
      <c r="Q41" s="17"/>
      <c r="R41" s="17" t="s">
        <v>23</v>
      </c>
    </row>
    <row r="42" spans="2:18">
      <c r="B42" s="17" t="s">
        <v>139</v>
      </c>
      <c r="C42" s="17" t="s">
        <v>140</v>
      </c>
      <c r="D42" s="17" t="s">
        <v>19</v>
      </c>
      <c r="E42" s="17" t="s">
        <v>51</v>
      </c>
      <c r="F42" s="17" t="s">
        <v>31</v>
      </c>
      <c r="G42" s="17" t="s">
        <v>32</v>
      </c>
      <c r="H42" s="18">
        <v>743.38000000000227</v>
      </c>
      <c r="I42" s="18">
        <v>0</v>
      </c>
      <c r="J42" s="18">
        <f>Tabela1[[#This Row],[SALDO PENDENTE PARCIAL]]-Tabela1[[#This Row],[CARGA 1 QZ]]</f>
        <v>743.38000000000227</v>
      </c>
      <c r="K42" s="18">
        <v>800</v>
      </c>
      <c r="L42" s="18">
        <v>110.64</v>
      </c>
      <c r="M42" s="18"/>
      <c r="N42" s="18">
        <f>Tabela1[[#This Row],[2ª QZ]]-Tabela1[[#This Row],[SALDO FINAL]]-Tabela1[[#This Row],[SALDO CARTAO]]-Tabela1[[#This Row],[Adiantamento ]]</f>
        <v>-54.02000000000227</v>
      </c>
      <c r="O42" s="18"/>
      <c r="P42" s="18">
        <f>IF(Tabela1[[#This Row],[CARGA PARCIAL]]&lt;0,0,Tabela1[[#This Row],[CARGA PARCIAL]])+Tabela1[[#This Row],[REEMBOLSO]]</f>
        <v>0</v>
      </c>
      <c r="Q42" s="17"/>
      <c r="R42" s="17" t="s">
        <v>23</v>
      </c>
    </row>
    <row r="43" spans="2:18">
      <c r="B43" s="17" t="s">
        <v>141</v>
      </c>
      <c r="C43" s="17" t="s">
        <v>142</v>
      </c>
      <c r="D43" s="17" t="s">
        <v>19</v>
      </c>
      <c r="E43" s="17" t="s">
        <v>51</v>
      </c>
      <c r="F43" s="17" t="s">
        <v>31</v>
      </c>
      <c r="G43" s="17" t="s">
        <v>32</v>
      </c>
      <c r="H43" s="18">
        <v>-87.189999999997781</v>
      </c>
      <c r="I43" s="18">
        <v>412.67000000000007</v>
      </c>
      <c r="J43" s="18">
        <v>0</v>
      </c>
      <c r="K43" s="18">
        <v>700</v>
      </c>
      <c r="L43" s="18">
        <v>0</v>
      </c>
      <c r="M43" s="18"/>
      <c r="N43" s="18">
        <f>Tabela1[[#This Row],[2ª QZ]]-Tabela1[[#This Row],[SALDO FINAL]]-Tabela1[[#This Row],[SALDO CARTAO]]-Tabela1[[#This Row],[Adiantamento ]]</f>
        <v>700</v>
      </c>
      <c r="O43" s="18"/>
      <c r="P43" s="18">
        <f>IF(Tabela1[[#This Row],[CARGA PARCIAL]]&lt;0,0,Tabela1[[#This Row],[CARGA PARCIAL]])+Tabela1[[#This Row],[REEMBOLSO]]</f>
        <v>700</v>
      </c>
      <c r="Q43" s="17"/>
      <c r="R43" s="17" t="s">
        <v>23</v>
      </c>
    </row>
    <row r="44" spans="2:18">
      <c r="B44" s="17" t="s">
        <v>143</v>
      </c>
      <c r="C44" s="17" t="s">
        <v>144</v>
      </c>
      <c r="D44" s="17" t="s">
        <v>19</v>
      </c>
      <c r="E44" s="17" t="s">
        <v>44</v>
      </c>
      <c r="F44" s="17" t="s">
        <v>45</v>
      </c>
      <c r="G44" s="17" t="s">
        <v>37</v>
      </c>
      <c r="H44" s="18">
        <v>577.9099999999994</v>
      </c>
      <c r="I44" s="18">
        <v>0</v>
      </c>
      <c r="J44" s="18">
        <f>Tabela1[[#This Row],[SALDO PENDENTE PARCIAL]]-Tabela1[[#This Row],[CARGA 1 QZ]]</f>
        <v>577.9099999999994</v>
      </c>
      <c r="K44" s="18">
        <v>80</v>
      </c>
      <c r="L44" s="18">
        <v>0.3</v>
      </c>
      <c r="M44" s="18"/>
      <c r="N44" s="18">
        <f>Tabela1[[#This Row],[2ª QZ]]-Tabela1[[#This Row],[SALDO FINAL]]-Tabela1[[#This Row],[SALDO CARTAO]]-Tabela1[[#This Row],[Adiantamento ]]</f>
        <v>-498.20999999999941</v>
      </c>
      <c r="O44" s="18"/>
      <c r="P44" s="18">
        <f>IF(Tabela1[[#This Row],[CARGA PARCIAL]]&lt;0,0,Tabela1[[#This Row],[CARGA PARCIAL]])+Tabela1[[#This Row],[REEMBOLSO]]</f>
        <v>0</v>
      </c>
      <c r="Q44" s="17"/>
      <c r="R44" s="17" t="s">
        <v>23</v>
      </c>
    </row>
    <row r="45" spans="2:18">
      <c r="B45" s="17" t="s">
        <v>145</v>
      </c>
      <c r="C45" s="17" t="s">
        <v>146</v>
      </c>
      <c r="D45" s="17" t="s">
        <v>19</v>
      </c>
      <c r="E45" s="17" t="s">
        <v>109</v>
      </c>
      <c r="F45" s="17" t="s">
        <v>36</v>
      </c>
      <c r="G45" s="17" t="s">
        <v>37</v>
      </c>
      <c r="H45" s="18">
        <v>-512.93999999999971</v>
      </c>
      <c r="I45" s="18">
        <v>463.4099999999998</v>
      </c>
      <c r="J45" s="18">
        <v>0</v>
      </c>
      <c r="K45" s="18">
        <v>700</v>
      </c>
      <c r="L45" s="18">
        <v>612.87</v>
      </c>
      <c r="M45" s="18"/>
      <c r="N45" s="18">
        <f>Tabela1[[#This Row],[2ª QZ]]-Tabela1[[#This Row],[SALDO FINAL]]-Tabela1[[#This Row],[SALDO CARTAO]]-Tabela1[[#This Row],[Adiantamento ]]</f>
        <v>87.13</v>
      </c>
      <c r="O45" s="18"/>
      <c r="P45" s="18">
        <f>IF(Tabela1[[#This Row],[CARGA PARCIAL]]&lt;0,0,Tabela1[[#This Row],[CARGA PARCIAL]])+Tabela1[[#This Row],[REEMBOLSO]]</f>
        <v>87.13</v>
      </c>
      <c r="Q45" s="17"/>
      <c r="R45" s="17" t="s">
        <v>23</v>
      </c>
    </row>
    <row r="46" spans="2:18">
      <c r="B46" s="17" t="s">
        <v>147</v>
      </c>
      <c r="C46" s="17" t="s">
        <v>148</v>
      </c>
      <c r="D46" s="17" t="s">
        <v>19</v>
      </c>
      <c r="E46" s="17" t="s">
        <v>149</v>
      </c>
      <c r="F46" s="17" t="s">
        <v>69</v>
      </c>
      <c r="G46" s="17" t="s">
        <v>37</v>
      </c>
      <c r="H46" s="18">
        <v>1657.4600000000132</v>
      </c>
      <c r="I46" s="18">
        <v>527.66999999999462</v>
      </c>
      <c r="J46" s="18">
        <f>Tabela1[[#This Row],[SALDO PENDENTE PARCIAL]]-Tabela1[[#This Row],[CARGA 1 QZ]]</f>
        <v>1129.7900000000186</v>
      </c>
      <c r="K46" s="18">
        <v>2200</v>
      </c>
      <c r="L46" s="18">
        <v>3.73</v>
      </c>
      <c r="M46" s="18"/>
      <c r="N46" s="18">
        <f>Tabela1[[#This Row],[2ª QZ]]-Tabela1[[#This Row],[SALDO FINAL]]-Tabela1[[#This Row],[SALDO CARTAO]]-Tabela1[[#This Row],[Adiantamento ]]</f>
        <v>1066.4799999999814</v>
      </c>
      <c r="O46" s="18"/>
      <c r="P46" s="18">
        <f>IF(Tabela1[[#This Row],[CARGA PARCIAL]]&lt;0,0,Tabela1[[#This Row],[CARGA PARCIAL]])+Tabela1[[#This Row],[REEMBOLSO]]</f>
        <v>1066.4799999999814</v>
      </c>
      <c r="Q46" s="17"/>
      <c r="R46" s="17" t="s">
        <v>23</v>
      </c>
    </row>
    <row r="47" spans="2:18">
      <c r="B47" s="17" t="s">
        <v>150</v>
      </c>
      <c r="C47" s="17" t="s">
        <v>151</v>
      </c>
      <c r="D47" s="17" t="s">
        <v>19</v>
      </c>
      <c r="E47" s="17" t="s">
        <v>44</v>
      </c>
      <c r="F47" s="17" t="s">
        <v>45</v>
      </c>
      <c r="G47" s="17" t="s">
        <v>37</v>
      </c>
      <c r="H47" s="18">
        <v>662.74999999999989</v>
      </c>
      <c r="I47" s="18">
        <v>0</v>
      </c>
      <c r="J47" s="18">
        <f>Tabela1[[#This Row],[SALDO PENDENTE PARCIAL]]-Tabela1[[#This Row],[CARGA 1 QZ]]</f>
        <v>662.74999999999989</v>
      </c>
      <c r="K47" s="18">
        <v>120</v>
      </c>
      <c r="L47" s="18">
        <v>0</v>
      </c>
      <c r="M47" s="18"/>
      <c r="N47" s="18">
        <f>Tabela1[[#This Row],[2ª QZ]]-Tabela1[[#This Row],[SALDO FINAL]]-Tabela1[[#This Row],[SALDO CARTAO]]-Tabela1[[#This Row],[Adiantamento ]]</f>
        <v>-542.74999999999989</v>
      </c>
      <c r="O47" s="18"/>
      <c r="P47" s="18">
        <f>IF(Tabela1[[#This Row],[CARGA PARCIAL]]&lt;0,0,Tabela1[[#This Row],[CARGA PARCIAL]])+Tabela1[[#This Row],[REEMBOLSO]]</f>
        <v>0</v>
      </c>
      <c r="Q47" s="17"/>
      <c r="R47" s="17" t="s">
        <v>23</v>
      </c>
    </row>
    <row r="48" spans="2:18">
      <c r="B48" s="17" t="s">
        <v>152</v>
      </c>
      <c r="C48" s="17" t="s">
        <v>153</v>
      </c>
      <c r="D48" s="17" t="s">
        <v>19</v>
      </c>
      <c r="E48" s="17" t="s">
        <v>54</v>
      </c>
      <c r="F48" s="17" t="s">
        <v>55</v>
      </c>
      <c r="G48" s="17" t="s">
        <v>22</v>
      </c>
      <c r="H48" s="18">
        <v>943.33999999999912</v>
      </c>
      <c r="I48" s="18">
        <v>0</v>
      </c>
      <c r="J48" s="18">
        <f>Tabela1[[#This Row],[SALDO PENDENTE PARCIAL]]-Tabela1[[#This Row],[CARGA 1 QZ]]</f>
        <v>943.33999999999912</v>
      </c>
      <c r="K48" s="18">
        <v>1000</v>
      </c>
      <c r="L48" s="18">
        <v>56.66</v>
      </c>
      <c r="M48" s="18"/>
      <c r="N48" s="18">
        <f>Tabela1[[#This Row],[2ª QZ]]-Tabela1[[#This Row],[SALDO FINAL]]-Tabela1[[#This Row],[SALDO CARTAO]]-Tabela1[[#This Row],[Adiantamento ]]</f>
        <v>8.8107299234252423E-13</v>
      </c>
      <c r="O48" s="18"/>
      <c r="P48" s="18">
        <f>IF(Tabela1[[#This Row],[CARGA PARCIAL]]&lt;0,0,Tabela1[[#This Row],[CARGA PARCIAL]])+Tabela1[[#This Row],[REEMBOLSO]]</f>
        <v>8.8107299234252423E-13</v>
      </c>
      <c r="Q48" s="17"/>
      <c r="R48" s="17" t="s">
        <v>23</v>
      </c>
    </row>
    <row r="49" spans="2:18">
      <c r="B49" s="17" t="s">
        <v>154</v>
      </c>
      <c r="C49" s="17" t="s">
        <v>155</v>
      </c>
      <c r="D49" s="17" t="s">
        <v>19</v>
      </c>
      <c r="E49" s="17" t="s">
        <v>156</v>
      </c>
      <c r="F49" s="17" t="s">
        <v>31</v>
      </c>
      <c r="G49" s="17" t="s">
        <v>32</v>
      </c>
      <c r="H49" s="18">
        <v>420</v>
      </c>
      <c r="I49" s="18">
        <v>292.56</v>
      </c>
      <c r="J49" s="18">
        <f>Tabela1[[#This Row],[SALDO PENDENTE PARCIAL]]-Tabela1[[#This Row],[CARGA 1 QZ]]</f>
        <v>127.44</v>
      </c>
      <c r="K49" s="18">
        <v>800</v>
      </c>
      <c r="L49" s="18">
        <v>348.98</v>
      </c>
      <c r="M49" s="18"/>
      <c r="N49" s="18">
        <f>Tabela1[[#This Row],[2ª QZ]]-Tabela1[[#This Row],[SALDO FINAL]]-Tabela1[[#This Row],[SALDO CARTAO]]-Tabela1[[#This Row],[Adiantamento ]]</f>
        <v>323.57999999999993</v>
      </c>
      <c r="O49" s="18"/>
      <c r="P49" s="18">
        <f>IF(Tabela1[[#This Row],[CARGA PARCIAL]]&lt;0,0,Tabela1[[#This Row],[CARGA PARCIAL]])+Tabela1[[#This Row],[REEMBOLSO]]</f>
        <v>323.57999999999993</v>
      </c>
      <c r="Q49" s="17"/>
      <c r="R49" s="17" t="s">
        <v>23</v>
      </c>
    </row>
    <row r="50" spans="2:18">
      <c r="B50" s="17" t="s">
        <v>157</v>
      </c>
      <c r="C50" s="17" t="s">
        <v>158</v>
      </c>
      <c r="D50" s="17" t="s">
        <v>19</v>
      </c>
      <c r="E50" s="17" t="s">
        <v>159</v>
      </c>
      <c r="F50" s="17" t="s">
        <v>21</v>
      </c>
      <c r="G50" s="17" t="s">
        <v>22</v>
      </c>
      <c r="H50" s="18">
        <v>0</v>
      </c>
      <c r="I50" s="18">
        <v>0</v>
      </c>
      <c r="J50" s="18">
        <v>300</v>
      </c>
      <c r="K50" s="18">
        <v>300</v>
      </c>
      <c r="L50" s="18">
        <v>0</v>
      </c>
      <c r="M50" s="18"/>
      <c r="N50" s="18">
        <f>Tabela1[[#This Row],[2ª QZ]]-Tabela1[[#This Row],[SALDO FINAL]]-Tabela1[[#This Row],[SALDO CARTAO]]-Tabela1[[#This Row],[Adiantamento ]]</f>
        <v>0</v>
      </c>
      <c r="O50" s="18"/>
      <c r="P50" s="18">
        <f>IF(Tabela1[[#This Row],[CARGA PARCIAL]]&lt;0,0,Tabela1[[#This Row],[CARGA PARCIAL]])+Tabela1[[#This Row],[REEMBOLSO]]</f>
        <v>0</v>
      </c>
      <c r="Q50" s="17"/>
      <c r="R50" s="17" t="s">
        <v>86</v>
      </c>
    </row>
    <row r="51" spans="2:18">
      <c r="B51" s="17" t="s">
        <v>160</v>
      </c>
      <c r="C51" s="17" t="s">
        <v>161</v>
      </c>
      <c r="D51" s="17" t="s">
        <v>19</v>
      </c>
      <c r="E51" s="17" t="s">
        <v>162</v>
      </c>
      <c r="F51" s="17" t="s">
        <v>36</v>
      </c>
      <c r="G51" s="17" t="s">
        <v>37</v>
      </c>
      <c r="H51" s="18">
        <v>-68.400000000000432</v>
      </c>
      <c r="I51" s="18">
        <v>0</v>
      </c>
      <c r="J51" s="18">
        <v>0</v>
      </c>
      <c r="K51" s="18">
        <v>700</v>
      </c>
      <c r="L51" s="18">
        <v>900</v>
      </c>
      <c r="M51" s="18"/>
      <c r="N51" s="18">
        <f>Tabela1[[#This Row],[2ª QZ]]-Tabela1[[#This Row],[SALDO FINAL]]-Tabela1[[#This Row],[SALDO CARTAO]]-Tabela1[[#This Row],[Adiantamento ]]</f>
        <v>-200</v>
      </c>
      <c r="O51" s="18"/>
      <c r="P51" s="18">
        <f>IF(Tabela1[[#This Row],[CARGA PARCIAL]]&lt;0,0,Tabela1[[#This Row],[CARGA PARCIAL]])+Tabela1[[#This Row],[REEMBOLSO]]</f>
        <v>0</v>
      </c>
      <c r="Q51" s="17"/>
      <c r="R51" s="17" t="s">
        <v>23</v>
      </c>
    </row>
    <row r="52" spans="2:18">
      <c r="B52" s="17" t="s">
        <v>163</v>
      </c>
      <c r="C52" s="17" t="s">
        <v>164</v>
      </c>
      <c r="D52" s="17" t="s">
        <v>19</v>
      </c>
      <c r="E52" s="17" t="s">
        <v>165</v>
      </c>
      <c r="F52" s="17" t="s">
        <v>95</v>
      </c>
      <c r="G52" s="17" t="s">
        <v>22</v>
      </c>
      <c r="H52" s="18">
        <v>5516.0900000001011</v>
      </c>
      <c r="I52" s="18">
        <v>4995.1899999999732</v>
      </c>
      <c r="J52" s="18">
        <f>Tabela1[[#This Row],[SALDO PENDENTE PARCIAL]]-Tabela1[[#This Row],[CARGA 1 QZ]]</f>
        <v>520.90000000012787</v>
      </c>
      <c r="K52" s="18">
        <v>5000</v>
      </c>
      <c r="L52" s="18">
        <v>5.19</v>
      </c>
      <c r="M52" s="18"/>
      <c r="N52" s="18">
        <f>Tabela1[[#This Row],[2ª QZ]]-Tabela1[[#This Row],[SALDO FINAL]]-Tabela1[[#This Row],[SALDO CARTAO]]-Tabela1[[#This Row],[Adiantamento ]]</f>
        <v>4473.9099999998725</v>
      </c>
      <c r="O52" s="18"/>
      <c r="P52" s="18">
        <f>IF(Tabela1[[#This Row],[CARGA PARCIAL]]&lt;0,0,Tabela1[[#This Row],[CARGA PARCIAL]])+Tabela1[[#This Row],[REEMBOLSO]]</f>
        <v>4473.9099999998725</v>
      </c>
      <c r="Q52" s="17"/>
      <c r="R52" s="17" t="s">
        <v>23</v>
      </c>
    </row>
    <row r="53" spans="2:18">
      <c r="B53" s="17" t="s">
        <v>166</v>
      </c>
      <c r="C53" s="17" t="s">
        <v>167</v>
      </c>
      <c r="D53" s="17" t="s">
        <v>19</v>
      </c>
      <c r="E53" s="17" t="s">
        <v>168</v>
      </c>
      <c r="F53" s="17" t="s">
        <v>169</v>
      </c>
      <c r="G53" s="17" t="s">
        <v>32</v>
      </c>
      <c r="H53" s="18">
        <v>3161.4199999999819</v>
      </c>
      <c r="I53" s="18">
        <v>1028.1400000000031</v>
      </c>
      <c r="J53" s="18">
        <f>Tabela1[[#This Row],[SALDO PENDENTE PARCIAL]]-Tabela1[[#This Row],[CARGA 1 QZ]]</f>
        <v>2133.2799999999788</v>
      </c>
      <c r="K53" s="18">
        <v>6200</v>
      </c>
      <c r="L53" s="18">
        <v>3031.58</v>
      </c>
      <c r="M53" s="18"/>
      <c r="N53" s="18">
        <f>Tabela1[[#This Row],[2ª QZ]]-Tabela1[[#This Row],[SALDO FINAL]]-Tabela1[[#This Row],[SALDO CARTAO]]-Tabela1[[#This Row],[Adiantamento ]]</f>
        <v>1035.1400000000212</v>
      </c>
      <c r="O53" s="18"/>
      <c r="P53" s="18">
        <f>IF(Tabela1[[#This Row],[CARGA PARCIAL]]&lt;0,0,Tabela1[[#This Row],[CARGA PARCIAL]])+Tabela1[[#This Row],[REEMBOLSO]]</f>
        <v>1035.1400000000212</v>
      </c>
      <c r="Q53" s="17"/>
      <c r="R53" s="17" t="s">
        <v>23</v>
      </c>
    </row>
    <row r="54" spans="2:18">
      <c r="B54" s="17" t="s">
        <v>170</v>
      </c>
      <c r="C54" s="20" t="s">
        <v>171</v>
      </c>
      <c r="D54" s="17" t="s">
        <v>19</v>
      </c>
      <c r="E54" s="17" t="s">
        <v>172</v>
      </c>
      <c r="F54" s="17" t="s">
        <v>36</v>
      </c>
      <c r="G54" s="17" t="s">
        <v>37</v>
      </c>
      <c r="H54" s="18">
        <v>6504.2</v>
      </c>
      <c r="I54" s="18">
        <v>0</v>
      </c>
      <c r="J54" s="18">
        <f>Tabela1[[#This Row],[SALDO PENDENTE PARCIAL]]-Tabela1[[#This Row],[CARGA 1 QZ]]</f>
        <v>6504.2</v>
      </c>
      <c r="K54" s="18">
        <v>2400</v>
      </c>
      <c r="L54" s="18">
        <v>0</v>
      </c>
      <c r="M54" s="18"/>
      <c r="N54" s="18">
        <f>Tabela1[[#This Row],[2ª QZ]]-Tabela1[[#This Row],[SALDO FINAL]]-Tabela1[[#This Row],[SALDO CARTAO]]-Tabela1[[#This Row],[Adiantamento ]]</f>
        <v>-4104.2</v>
      </c>
      <c r="O54" s="18"/>
      <c r="P54" s="18">
        <f>IF(Tabela1[[#This Row],[CARGA PARCIAL]]&lt;0,0,Tabela1[[#This Row],[CARGA PARCIAL]])+Tabela1[[#This Row],[REEMBOLSO]]</f>
        <v>0</v>
      </c>
      <c r="Q54" s="17"/>
      <c r="R54" s="17" t="s">
        <v>23</v>
      </c>
    </row>
    <row r="55" spans="2:18">
      <c r="B55" s="17" t="s">
        <v>173</v>
      </c>
      <c r="C55" s="17" t="s">
        <v>174</v>
      </c>
      <c r="D55" s="17" t="s">
        <v>19</v>
      </c>
      <c r="E55" s="17" t="s">
        <v>44</v>
      </c>
      <c r="F55" s="17" t="s">
        <v>45</v>
      </c>
      <c r="G55" s="17" t="s">
        <v>37</v>
      </c>
      <c r="H55" s="18">
        <v>614.29000000000849</v>
      </c>
      <c r="I55" s="18">
        <v>1320.4799999999955</v>
      </c>
      <c r="J55" s="18">
        <v>0</v>
      </c>
      <c r="K55" s="18">
        <v>2520</v>
      </c>
      <c r="L55" s="18">
        <v>646.64</v>
      </c>
      <c r="M55" s="18"/>
      <c r="N55" s="18">
        <f>Tabela1[[#This Row],[2ª QZ]]-Tabela1[[#This Row],[SALDO FINAL]]-Tabela1[[#This Row],[SALDO CARTAO]]-Tabela1[[#This Row],[Adiantamento ]]</f>
        <v>1873.3600000000001</v>
      </c>
      <c r="O55" s="18"/>
      <c r="P55" s="18">
        <f>IF(Tabela1[[#This Row],[CARGA PARCIAL]]&lt;0,0,Tabela1[[#This Row],[CARGA PARCIAL]])+Tabela1[[#This Row],[REEMBOLSO]]</f>
        <v>1873.3600000000001</v>
      </c>
      <c r="Q55" s="17"/>
      <c r="R55" s="17" t="s">
        <v>23</v>
      </c>
    </row>
    <row r="56" spans="2:18">
      <c r="B56" s="17" t="s">
        <v>175</v>
      </c>
      <c r="C56" s="17" t="s">
        <v>176</v>
      </c>
      <c r="D56" s="17" t="s">
        <v>19</v>
      </c>
      <c r="E56" s="17" t="s">
        <v>177</v>
      </c>
      <c r="F56" s="17" t="s">
        <v>27</v>
      </c>
      <c r="G56" s="17" t="s">
        <v>22</v>
      </c>
      <c r="H56" s="18">
        <v>109.50000000000009</v>
      </c>
      <c r="I56" s="18">
        <v>0</v>
      </c>
      <c r="J56" s="18">
        <f>Tabela1[[#This Row],[SALDO PENDENTE PARCIAL]]-Tabela1[[#This Row],[CARGA 1 QZ]]</f>
        <v>109.50000000000009</v>
      </c>
      <c r="K56" s="18">
        <v>200</v>
      </c>
      <c r="L56" s="18">
        <v>169.16</v>
      </c>
      <c r="M56" s="18"/>
      <c r="N56" s="18">
        <f>Tabela1[[#This Row],[2ª QZ]]-Tabela1[[#This Row],[SALDO FINAL]]-Tabela1[[#This Row],[SALDO CARTAO]]-Tabela1[[#This Row],[Adiantamento ]]</f>
        <v>-78.660000000000082</v>
      </c>
      <c r="O56" s="18"/>
      <c r="P56" s="18">
        <f>IF(Tabela1[[#This Row],[CARGA PARCIAL]]&lt;0,0,Tabela1[[#This Row],[CARGA PARCIAL]])+Tabela1[[#This Row],[REEMBOLSO]]</f>
        <v>0</v>
      </c>
      <c r="Q56" s="17"/>
      <c r="R56" s="17" t="s">
        <v>23</v>
      </c>
    </row>
    <row r="57" spans="2:18">
      <c r="B57" s="17" t="s">
        <v>178</v>
      </c>
      <c r="C57" s="17" t="s">
        <v>179</v>
      </c>
      <c r="D57" s="17" t="s">
        <v>19</v>
      </c>
      <c r="E57" s="17" t="s">
        <v>180</v>
      </c>
      <c r="F57" s="17" t="s">
        <v>69</v>
      </c>
      <c r="G57" s="17" t="s">
        <v>37</v>
      </c>
      <c r="H57" s="18">
        <v>-57.240000000000123</v>
      </c>
      <c r="I57" s="18">
        <v>97.910000000000025</v>
      </c>
      <c r="J57" s="18">
        <v>0</v>
      </c>
      <c r="K57" s="18">
        <v>400</v>
      </c>
      <c r="L57" s="18">
        <v>146.13999999999999</v>
      </c>
      <c r="M57" s="18"/>
      <c r="N57" s="18">
        <f>Tabela1[[#This Row],[2ª QZ]]-Tabela1[[#This Row],[SALDO FINAL]]-Tabela1[[#This Row],[SALDO CARTAO]]-Tabela1[[#This Row],[Adiantamento ]]</f>
        <v>253.86</v>
      </c>
      <c r="O57" s="18"/>
      <c r="P57" s="18">
        <f>IF(Tabela1[[#This Row],[CARGA PARCIAL]]&lt;0,0,Tabela1[[#This Row],[CARGA PARCIAL]])+Tabela1[[#This Row],[REEMBOLSO]]</f>
        <v>253.86</v>
      </c>
      <c r="Q57" s="17"/>
      <c r="R57" s="17" t="s">
        <v>23</v>
      </c>
    </row>
    <row r="58" spans="2:18">
      <c r="B58" s="17" t="s">
        <v>181</v>
      </c>
      <c r="C58" s="17" t="s">
        <v>182</v>
      </c>
      <c r="D58" s="17" t="s">
        <v>19</v>
      </c>
      <c r="E58" s="17" t="s">
        <v>183</v>
      </c>
      <c r="F58" s="17" t="s">
        <v>69</v>
      </c>
      <c r="G58" s="17" t="s">
        <v>37</v>
      </c>
      <c r="H58" s="18">
        <v>1683.6699999999023</v>
      </c>
      <c r="I58" s="18">
        <v>953.3500000000713</v>
      </c>
      <c r="J58" s="18">
        <f>Tabela1[[#This Row],[SALDO PENDENTE PARCIAL]]-Tabela1[[#This Row],[CARGA 1 QZ]]</f>
        <v>730.319999999831</v>
      </c>
      <c r="K58" s="18">
        <v>4300</v>
      </c>
      <c r="L58" s="18">
        <v>1.35</v>
      </c>
      <c r="M58" s="18"/>
      <c r="N58" s="18">
        <f>Tabela1[[#This Row],[2ª QZ]]-Tabela1[[#This Row],[SALDO FINAL]]-Tabela1[[#This Row],[SALDO CARTAO]]-Tabela1[[#This Row],[Adiantamento ]]</f>
        <v>3568.3300000001691</v>
      </c>
      <c r="O58" s="18"/>
      <c r="P58" s="18">
        <f>IF(Tabela1[[#This Row],[CARGA PARCIAL]]&lt;0,0,Tabela1[[#This Row],[CARGA PARCIAL]])+Tabela1[[#This Row],[REEMBOLSO]]</f>
        <v>3568.3300000001691</v>
      </c>
      <c r="Q58" s="17"/>
      <c r="R58" s="17" t="s">
        <v>23</v>
      </c>
    </row>
    <row r="59" spans="2:18">
      <c r="B59" s="17" t="s">
        <v>184</v>
      </c>
      <c r="C59" s="17" t="s">
        <v>185</v>
      </c>
      <c r="D59" s="17" t="s">
        <v>19</v>
      </c>
      <c r="E59" s="17" t="s">
        <v>186</v>
      </c>
      <c r="F59" s="17" t="s">
        <v>41</v>
      </c>
      <c r="G59" s="17" t="s">
        <v>37</v>
      </c>
      <c r="H59" s="18">
        <v>100.33</v>
      </c>
      <c r="I59" s="18">
        <v>0</v>
      </c>
      <c r="J59" s="18">
        <f>Tabela1[[#This Row],[SALDO PENDENTE PARCIAL]]-Tabela1[[#This Row],[CARGA 1 QZ]]</f>
        <v>100.33</v>
      </c>
      <c r="K59" s="18">
        <v>125</v>
      </c>
      <c r="L59" s="18">
        <v>17.920000000000002</v>
      </c>
      <c r="M59" s="18"/>
      <c r="N59" s="18">
        <f>Tabela1[[#This Row],[2ª QZ]]-Tabela1[[#This Row],[SALDO FINAL]]-Tabela1[[#This Row],[SALDO CARTAO]]-Tabela1[[#This Row],[Adiantamento ]]</f>
        <v>6.75</v>
      </c>
      <c r="O59" s="18"/>
      <c r="P59" s="18">
        <f>IF(Tabela1[[#This Row],[CARGA PARCIAL]]&lt;0,0,Tabela1[[#This Row],[CARGA PARCIAL]])+Tabela1[[#This Row],[REEMBOLSO]]</f>
        <v>6.75</v>
      </c>
      <c r="Q59" s="17"/>
      <c r="R59" s="17" t="s">
        <v>23</v>
      </c>
    </row>
    <row r="60" spans="2:18">
      <c r="B60" s="17" t="s">
        <v>187</v>
      </c>
      <c r="C60" s="17" t="s">
        <v>188</v>
      </c>
      <c r="D60" s="17" t="s">
        <v>19</v>
      </c>
      <c r="E60" s="17" t="s">
        <v>20</v>
      </c>
      <c r="F60" s="17" t="s">
        <v>21</v>
      </c>
      <c r="G60" s="17" t="s">
        <v>22</v>
      </c>
      <c r="H60" s="18">
        <v>1111.6099999999976</v>
      </c>
      <c r="I60" s="18">
        <v>4186.8850000000084</v>
      </c>
      <c r="J60" s="18">
        <v>0</v>
      </c>
      <c r="K60" s="18">
        <v>4000</v>
      </c>
      <c r="L60" s="18">
        <v>4.2</v>
      </c>
      <c r="M60" s="18"/>
      <c r="N60" s="18">
        <f>Tabela1[[#This Row],[2ª QZ]]-Tabela1[[#This Row],[SALDO FINAL]]-Tabela1[[#This Row],[SALDO CARTAO]]-Tabela1[[#This Row],[Adiantamento ]]</f>
        <v>3995.8</v>
      </c>
      <c r="O60" s="18"/>
      <c r="P60" s="18">
        <f>IF(Tabela1[[#This Row],[CARGA PARCIAL]]&lt;0,0,Tabela1[[#This Row],[CARGA PARCIAL]])+Tabela1[[#This Row],[REEMBOLSO]]</f>
        <v>3995.8</v>
      </c>
      <c r="Q60" s="17"/>
      <c r="R60" s="17" t="s">
        <v>23</v>
      </c>
    </row>
    <row r="61" spans="2:18">
      <c r="B61" s="17" t="s">
        <v>189</v>
      </c>
      <c r="C61" s="17" t="s">
        <v>190</v>
      </c>
      <c r="D61" s="17" t="s">
        <v>19</v>
      </c>
      <c r="E61" s="17" t="s">
        <v>186</v>
      </c>
      <c r="F61" s="17" t="s">
        <v>41</v>
      </c>
      <c r="G61" s="17" t="s">
        <v>37</v>
      </c>
      <c r="H61" s="18">
        <v>-3957.3399999999929</v>
      </c>
      <c r="I61" s="18">
        <v>0</v>
      </c>
      <c r="J61" s="18">
        <v>0</v>
      </c>
      <c r="K61" s="18">
        <v>2800</v>
      </c>
      <c r="L61" s="18">
        <v>0</v>
      </c>
      <c r="M61" s="18"/>
      <c r="N61" s="18">
        <f>Tabela1[[#This Row],[2ª QZ]]-Tabela1[[#This Row],[SALDO FINAL]]-Tabela1[[#This Row],[SALDO CARTAO]]-Tabela1[[#This Row],[Adiantamento ]]</f>
        <v>2800</v>
      </c>
      <c r="O61" s="18"/>
      <c r="P61" s="18">
        <f>IF(Tabela1[[#This Row],[CARGA PARCIAL]]&lt;0,0,Tabela1[[#This Row],[CARGA PARCIAL]])+Tabela1[[#This Row],[REEMBOLSO]]</f>
        <v>2800</v>
      </c>
      <c r="Q61" s="17"/>
      <c r="R61" s="17" t="s">
        <v>23</v>
      </c>
    </row>
    <row r="62" spans="2:18">
      <c r="B62" s="17" t="s">
        <v>191</v>
      </c>
      <c r="C62" s="17" t="s">
        <v>192</v>
      </c>
      <c r="D62" s="17" t="s">
        <v>19</v>
      </c>
      <c r="E62" s="17" t="s">
        <v>193</v>
      </c>
      <c r="F62" s="17" t="s">
        <v>21</v>
      </c>
      <c r="G62" s="17" t="s">
        <v>22</v>
      </c>
      <c r="H62" s="18">
        <v>1639.8699999999978</v>
      </c>
      <c r="I62" s="18">
        <v>307.38000000000102</v>
      </c>
      <c r="J62" s="18">
        <f>Tabela1[[#This Row],[SALDO PENDENTE PARCIAL]]-Tabela1[[#This Row],[CARGA 1 QZ]]</f>
        <v>1332.4899999999968</v>
      </c>
      <c r="K62" s="18">
        <v>1400</v>
      </c>
      <c r="L62" s="18">
        <v>8.2799999999999994</v>
      </c>
      <c r="M62" s="18"/>
      <c r="N62" s="18">
        <f>Tabela1[[#This Row],[2ª QZ]]-Tabela1[[#This Row],[SALDO FINAL]]-Tabela1[[#This Row],[SALDO CARTAO]]-Tabela1[[#This Row],[Adiantamento ]]</f>
        <v>59.230000000003173</v>
      </c>
      <c r="O62" s="18"/>
      <c r="P62" s="18">
        <f>IF(Tabela1[[#This Row],[CARGA PARCIAL]]&lt;0,0,Tabela1[[#This Row],[CARGA PARCIAL]])+Tabela1[[#This Row],[REEMBOLSO]]</f>
        <v>59.230000000003173</v>
      </c>
      <c r="Q62" s="17"/>
      <c r="R62" s="17" t="s">
        <v>23</v>
      </c>
    </row>
    <row r="63" spans="2:18">
      <c r="B63" s="17" t="s">
        <v>194</v>
      </c>
      <c r="C63" s="17" t="s">
        <v>195</v>
      </c>
      <c r="D63" s="17" t="s">
        <v>19</v>
      </c>
      <c r="E63" s="17" t="s">
        <v>196</v>
      </c>
      <c r="F63" s="17" t="s">
        <v>31</v>
      </c>
      <c r="G63" s="17" t="s">
        <v>32</v>
      </c>
      <c r="H63" s="18">
        <v>211</v>
      </c>
      <c r="I63" s="18">
        <v>443</v>
      </c>
      <c r="J63" s="18">
        <v>0</v>
      </c>
      <c r="K63" s="18">
        <v>750</v>
      </c>
      <c r="L63" s="18">
        <v>0</v>
      </c>
      <c r="M63" s="18"/>
      <c r="N63" s="18">
        <f>Tabela1[[#This Row],[2ª QZ]]-Tabela1[[#This Row],[SALDO FINAL]]-Tabela1[[#This Row],[SALDO CARTAO]]-Tabela1[[#This Row],[Adiantamento ]]</f>
        <v>750</v>
      </c>
      <c r="O63" s="18"/>
      <c r="P63" s="18">
        <f>IF(Tabela1[[#This Row],[CARGA PARCIAL]]&lt;0,0,Tabela1[[#This Row],[CARGA PARCIAL]])+Tabela1[[#This Row],[REEMBOLSO]]</f>
        <v>750</v>
      </c>
      <c r="Q63" s="17"/>
      <c r="R63" s="17" t="s">
        <v>23</v>
      </c>
    </row>
    <row r="64" spans="2:18">
      <c r="B64" s="17" t="s">
        <v>197</v>
      </c>
      <c r="C64" s="17" t="s">
        <v>198</v>
      </c>
      <c r="D64" s="17" t="s">
        <v>19</v>
      </c>
      <c r="E64" s="17" t="s">
        <v>199</v>
      </c>
      <c r="F64" s="17" t="s">
        <v>169</v>
      </c>
      <c r="G64" s="17" t="s">
        <v>32</v>
      </c>
      <c r="H64" s="18">
        <v>6352.7099999999846</v>
      </c>
      <c r="I64" s="18">
        <v>932.9800000000248</v>
      </c>
      <c r="J64" s="18">
        <f>Tabela1[[#This Row],[SALDO PENDENTE PARCIAL]]-Tabela1[[#This Row],[CARGA 1 QZ]]</f>
        <v>5419.7299999999595</v>
      </c>
      <c r="K64" s="18">
        <v>4200</v>
      </c>
      <c r="L64" s="18">
        <v>9.43</v>
      </c>
      <c r="M64" s="18"/>
      <c r="N64" s="18">
        <f>Tabela1[[#This Row],[2ª QZ]]-Tabela1[[#This Row],[SALDO FINAL]]-Tabela1[[#This Row],[SALDO CARTAO]]-Tabela1[[#This Row],[Adiantamento ]]</f>
        <v>-1229.1599999999596</v>
      </c>
      <c r="O64" s="18"/>
      <c r="P64" s="18">
        <f>IF(Tabela1[[#This Row],[CARGA PARCIAL]]&lt;0,0,Tabela1[[#This Row],[CARGA PARCIAL]])+Tabela1[[#This Row],[REEMBOLSO]]</f>
        <v>0</v>
      </c>
      <c r="Q64" s="17"/>
      <c r="R64" s="17" t="s">
        <v>23</v>
      </c>
    </row>
    <row r="65" spans="2:18">
      <c r="B65" s="17" t="s">
        <v>200</v>
      </c>
      <c r="C65" s="17" t="s">
        <v>201</v>
      </c>
      <c r="D65" s="17" t="s">
        <v>19</v>
      </c>
      <c r="E65" s="17" t="s">
        <v>35</v>
      </c>
      <c r="F65" s="17" t="s">
        <v>36</v>
      </c>
      <c r="G65" s="17" t="s">
        <v>37</v>
      </c>
      <c r="H65" s="18">
        <v>1250.1099999999999</v>
      </c>
      <c r="I65" s="18">
        <v>0</v>
      </c>
      <c r="J65" s="18">
        <f>Tabela1[[#This Row],[SALDO PENDENTE PARCIAL]]-Tabela1[[#This Row],[CARGA 1 QZ]]</f>
        <v>1250.1099999999999</v>
      </c>
      <c r="K65" s="18">
        <v>1000</v>
      </c>
      <c r="L65" s="18">
        <v>753.99</v>
      </c>
      <c r="M65" s="18"/>
      <c r="N65" s="18">
        <f>Tabela1[[#This Row],[2ª QZ]]-Tabela1[[#This Row],[SALDO FINAL]]-Tabela1[[#This Row],[SALDO CARTAO]]-Tabela1[[#This Row],[Adiantamento ]]</f>
        <v>-1004.0999999999999</v>
      </c>
      <c r="O65" s="18"/>
      <c r="P65" s="18">
        <f>IF(Tabela1[[#This Row],[CARGA PARCIAL]]&lt;0,0,Tabela1[[#This Row],[CARGA PARCIAL]])+Tabela1[[#This Row],[REEMBOLSO]]</f>
        <v>0</v>
      </c>
      <c r="Q65" s="17"/>
      <c r="R65" s="17" t="s">
        <v>23</v>
      </c>
    </row>
    <row r="66" spans="2:18">
      <c r="B66" s="17" t="s">
        <v>202</v>
      </c>
      <c r="C66" s="17" t="s">
        <v>203</v>
      </c>
      <c r="D66" s="17" t="s">
        <v>19</v>
      </c>
      <c r="E66" s="17" t="s">
        <v>135</v>
      </c>
      <c r="F66" s="17" t="s">
        <v>36</v>
      </c>
      <c r="G66" s="17" t="s">
        <v>37</v>
      </c>
      <c r="H66" s="18">
        <v>350.6699999999974</v>
      </c>
      <c r="I66" s="18">
        <v>275.81000000000137</v>
      </c>
      <c r="J66" s="18">
        <f>Tabela1[[#This Row],[SALDO PENDENTE PARCIAL]]-Tabela1[[#This Row],[CARGA 1 QZ]]</f>
        <v>74.859999999996035</v>
      </c>
      <c r="K66" s="18">
        <v>800</v>
      </c>
      <c r="L66" s="18">
        <v>95.71</v>
      </c>
      <c r="M66" s="18"/>
      <c r="N66" s="18">
        <f>Tabela1[[#This Row],[2ª QZ]]-Tabela1[[#This Row],[SALDO FINAL]]-Tabela1[[#This Row],[SALDO CARTAO]]-Tabela1[[#This Row],[Adiantamento ]]</f>
        <v>629.43000000000393</v>
      </c>
      <c r="O66" s="18"/>
      <c r="P66" s="18">
        <f>IF(Tabela1[[#This Row],[CARGA PARCIAL]]&lt;0,0,Tabela1[[#This Row],[CARGA PARCIAL]])+Tabela1[[#This Row],[REEMBOLSO]]</f>
        <v>629.43000000000393</v>
      </c>
      <c r="Q66" s="17"/>
      <c r="R66" s="17" t="s">
        <v>23</v>
      </c>
    </row>
    <row r="67" spans="2:18">
      <c r="B67" s="17" t="s">
        <v>204</v>
      </c>
      <c r="C67" s="17" t="s">
        <v>205</v>
      </c>
      <c r="D67" s="17" t="s">
        <v>19</v>
      </c>
      <c r="E67" s="17" t="s">
        <v>135</v>
      </c>
      <c r="F67" s="17" t="s">
        <v>36</v>
      </c>
      <c r="G67" s="17" t="s">
        <v>37</v>
      </c>
      <c r="H67" s="18">
        <v>-433.82999999999765</v>
      </c>
      <c r="I67" s="18">
        <v>1101.4450000000013</v>
      </c>
      <c r="J67" s="18">
        <v>0</v>
      </c>
      <c r="K67" s="18">
        <v>900</v>
      </c>
      <c r="L67" s="18">
        <v>505.77</v>
      </c>
      <c r="M67" s="18"/>
      <c r="N67" s="18">
        <f>Tabela1[[#This Row],[2ª QZ]]-Tabela1[[#This Row],[SALDO FINAL]]-Tabela1[[#This Row],[SALDO CARTAO]]-Tabela1[[#This Row],[Adiantamento ]]</f>
        <v>394.23</v>
      </c>
      <c r="O67" s="18"/>
      <c r="P67" s="18">
        <f>IF(Tabela1[[#This Row],[CARGA PARCIAL]]&lt;0,0,Tabela1[[#This Row],[CARGA PARCIAL]])+Tabela1[[#This Row],[REEMBOLSO]]</f>
        <v>394.23</v>
      </c>
      <c r="Q67" s="17"/>
      <c r="R67" s="17" t="s">
        <v>23</v>
      </c>
    </row>
    <row r="68" spans="2:18">
      <c r="B68" s="17" t="s">
        <v>206</v>
      </c>
      <c r="C68" s="17" t="s">
        <v>207</v>
      </c>
      <c r="D68" s="17" t="s">
        <v>19</v>
      </c>
      <c r="E68" s="17" t="s">
        <v>118</v>
      </c>
      <c r="F68" s="17" t="s">
        <v>45</v>
      </c>
      <c r="G68" s="17" t="s">
        <v>37</v>
      </c>
      <c r="H68" s="18">
        <v>74.700000000000898</v>
      </c>
      <c r="I68" s="18">
        <v>48.399999999999181</v>
      </c>
      <c r="J68" s="18">
        <f>Tabela1[[#This Row],[SALDO PENDENTE PARCIAL]]-Tabela1[[#This Row],[CARGA 1 QZ]]</f>
        <v>26.300000000001717</v>
      </c>
      <c r="K68" s="18">
        <v>240</v>
      </c>
      <c r="L68" s="18">
        <v>165.3</v>
      </c>
      <c r="M68" s="18"/>
      <c r="N68" s="18">
        <f>Tabela1[[#This Row],[2ª QZ]]-Tabela1[[#This Row],[SALDO FINAL]]-Tabela1[[#This Row],[SALDO CARTAO]]-Tabela1[[#This Row],[Adiantamento ]]</f>
        <v>48.399999999998272</v>
      </c>
      <c r="O68" s="18"/>
      <c r="P68" s="18">
        <f>IF(Tabela1[[#This Row],[CARGA PARCIAL]]&lt;0,0,Tabela1[[#This Row],[CARGA PARCIAL]])+Tabela1[[#This Row],[REEMBOLSO]]</f>
        <v>48.399999999998272</v>
      </c>
      <c r="Q68" s="17"/>
      <c r="R68" s="17" t="s">
        <v>23</v>
      </c>
    </row>
    <row r="69" spans="2:18">
      <c r="B69" s="17" t="s">
        <v>208</v>
      </c>
      <c r="C69" s="17" t="s">
        <v>209</v>
      </c>
      <c r="D69" s="17" t="s">
        <v>19</v>
      </c>
      <c r="E69" s="17" t="s">
        <v>135</v>
      </c>
      <c r="F69" s="17" t="s">
        <v>36</v>
      </c>
      <c r="G69" s="17" t="s">
        <v>37</v>
      </c>
      <c r="H69" s="18">
        <v>1290.2900000000013</v>
      </c>
      <c r="I69" s="18">
        <v>0</v>
      </c>
      <c r="J69" s="18">
        <f>Tabela1[[#This Row],[SALDO PENDENTE PARCIAL]]-Tabela1[[#This Row],[CARGA 1 QZ]]</f>
        <v>1290.2900000000013</v>
      </c>
      <c r="K69" s="18">
        <v>600</v>
      </c>
      <c r="L69" s="18">
        <v>231.52</v>
      </c>
      <c r="M69" s="18"/>
      <c r="N69" s="18">
        <f>Tabela1[[#This Row],[2ª QZ]]-Tabela1[[#This Row],[SALDO FINAL]]-Tabela1[[#This Row],[SALDO CARTAO]]-Tabela1[[#This Row],[Adiantamento ]]</f>
        <v>-921.81000000000131</v>
      </c>
      <c r="O69" s="18"/>
      <c r="P69" s="18">
        <f>IF(Tabela1[[#This Row],[CARGA PARCIAL]]&lt;0,0,Tabela1[[#This Row],[CARGA PARCIAL]])+Tabela1[[#This Row],[REEMBOLSO]]</f>
        <v>0</v>
      </c>
      <c r="Q69" s="17"/>
      <c r="R69" s="17" t="s">
        <v>23</v>
      </c>
    </row>
    <row r="70" spans="2:18">
      <c r="B70" s="17" t="s">
        <v>210</v>
      </c>
      <c r="C70" s="17" t="s">
        <v>211</v>
      </c>
      <c r="D70" s="17" t="s">
        <v>19</v>
      </c>
      <c r="E70" s="17" t="s">
        <v>135</v>
      </c>
      <c r="F70" s="17" t="s">
        <v>36</v>
      </c>
      <c r="G70" s="17" t="s">
        <v>37</v>
      </c>
      <c r="H70" s="18">
        <v>120.71000000000211</v>
      </c>
      <c r="I70" s="18">
        <v>742.87999999999556</v>
      </c>
      <c r="J70" s="18">
        <v>0</v>
      </c>
      <c r="K70" s="18">
        <v>750</v>
      </c>
      <c r="L70" s="18">
        <v>214.97</v>
      </c>
      <c r="M70" s="18"/>
      <c r="N70" s="18">
        <f>Tabela1[[#This Row],[2ª QZ]]-Tabela1[[#This Row],[SALDO FINAL]]-Tabela1[[#This Row],[SALDO CARTAO]]-Tabela1[[#This Row],[Adiantamento ]]</f>
        <v>535.03</v>
      </c>
      <c r="O70" s="18"/>
      <c r="P70" s="18">
        <f>IF(Tabela1[[#This Row],[CARGA PARCIAL]]&lt;0,0,Tabela1[[#This Row],[CARGA PARCIAL]])+Tabela1[[#This Row],[REEMBOLSO]]</f>
        <v>535.03</v>
      </c>
      <c r="Q70" s="17"/>
      <c r="R70" s="17" t="s">
        <v>23</v>
      </c>
    </row>
    <row r="71" spans="2:18">
      <c r="B71" s="17" t="s">
        <v>212</v>
      </c>
      <c r="C71" s="17" t="s">
        <v>213</v>
      </c>
      <c r="D71" s="17" t="s">
        <v>19</v>
      </c>
      <c r="E71" s="17" t="s">
        <v>91</v>
      </c>
      <c r="F71" s="17" t="s">
        <v>45</v>
      </c>
      <c r="G71" s="17" t="s">
        <v>37</v>
      </c>
      <c r="H71" s="18">
        <v>243.44999999999993</v>
      </c>
      <c r="I71" s="18">
        <v>0</v>
      </c>
      <c r="J71" s="18">
        <f>Tabela1[[#This Row],[SALDO PENDENTE PARCIAL]]-Tabela1[[#This Row],[CARGA 1 QZ]]</f>
        <v>243.44999999999993</v>
      </c>
      <c r="K71" s="18">
        <v>150</v>
      </c>
      <c r="L71" s="18">
        <v>6.55</v>
      </c>
      <c r="M71" s="18"/>
      <c r="N71" s="18">
        <f>Tabela1[[#This Row],[2ª QZ]]-Tabela1[[#This Row],[SALDO FINAL]]-Tabela1[[#This Row],[SALDO CARTAO]]-Tabela1[[#This Row],[Adiantamento ]]</f>
        <v>-99.999999999999929</v>
      </c>
      <c r="O71" s="18"/>
      <c r="P71" s="18">
        <f>IF(Tabela1[[#This Row],[CARGA PARCIAL]]&lt;0,0,Tabela1[[#This Row],[CARGA PARCIAL]])+Tabela1[[#This Row],[REEMBOLSO]]</f>
        <v>0</v>
      </c>
      <c r="Q71" s="17"/>
      <c r="R71" s="17" t="s">
        <v>23</v>
      </c>
    </row>
    <row r="72" spans="2:18">
      <c r="B72" s="17" t="s">
        <v>214</v>
      </c>
      <c r="C72" s="17" t="s">
        <v>215</v>
      </c>
      <c r="D72" s="17" t="s">
        <v>19</v>
      </c>
      <c r="E72" s="17" t="s">
        <v>135</v>
      </c>
      <c r="F72" s="17" t="s">
        <v>36</v>
      </c>
      <c r="G72" s="17" t="s">
        <v>37</v>
      </c>
      <c r="H72" s="18">
        <v>676.91000000002794</v>
      </c>
      <c r="I72" s="18">
        <v>354.65999999995802</v>
      </c>
      <c r="J72" s="18">
        <f>Tabela1[[#This Row],[SALDO PENDENTE PARCIAL]]-Tabela1[[#This Row],[CARGA 1 QZ]]</f>
        <v>322.25000000006992</v>
      </c>
      <c r="K72" s="18">
        <v>800</v>
      </c>
      <c r="L72" s="18">
        <v>55.12</v>
      </c>
      <c r="M72" s="18"/>
      <c r="N72" s="18">
        <f>Tabela1[[#This Row],[2ª QZ]]-Tabela1[[#This Row],[SALDO FINAL]]-Tabela1[[#This Row],[SALDO CARTAO]]-Tabela1[[#This Row],[Adiantamento ]]</f>
        <v>422.62999999993008</v>
      </c>
      <c r="O72" s="18"/>
      <c r="P72" s="18">
        <f>IF(Tabela1[[#This Row],[CARGA PARCIAL]]&lt;0,0,Tabela1[[#This Row],[CARGA PARCIAL]])+Tabela1[[#This Row],[REEMBOLSO]]</f>
        <v>422.62999999993008</v>
      </c>
      <c r="Q72" s="17"/>
      <c r="R72" s="17" t="s">
        <v>23</v>
      </c>
    </row>
    <row r="73" spans="2:18">
      <c r="B73" s="17" t="s">
        <v>216</v>
      </c>
      <c r="C73" s="17" t="s">
        <v>217</v>
      </c>
      <c r="D73" s="17" t="s">
        <v>19</v>
      </c>
      <c r="E73" s="17" t="s">
        <v>218</v>
      </c>
      <c r="F73" s="17" t="s">
        <v>36</v>
      </c>
      <c r="G73" s="17" t="s">
        <v>37</v>
      </c>
      <c r="H73" s="18">
        <v>4826.2899999999881</v>
      </c>
      <c r="I73" s="18">
        <v>0</v>
      </c>
      <c r="J73" s="18">
        <f>Tabela1[[#This Row],[SALDO PENDENTE PARCIAL]]-Tabela1[[#This Row],[CARGA 1 QZ]]</f>
        <v>4826.2899999999881</v>
      </c>
      <c r="K73" s="18">
        <v>1000</v>
      </c>
      <c r="L73" s="18">
        <v>582.27</v>
      </c>
      <c r="M73" s="18"/>
      <c r="N73" s="18">
        <f>Tabela1[[#This Row],[2ª QZ]]-Tabela1[[#This Row],[SALDO FINAL]]-Tabela1[[#This Row],[SALDO CARTAO]]-Tabela1[[#This Row],[Adiantamento ]]</f>
        <v>-4408.5599999999886</v>
      </c>
      <c r="O73" s="18"/>
      <c r="P73" s="18">
        <f>IF(Tabela1[[#This Row],[CARGA PARCIAL]]&lt;0,0,Tabela1[[#This Row],[CARGA PARCIAL]])+Tabela1[[#This Row],[REEMBOLSO]]</f>
        <v>0</v>
      </c>
      <c r="Q73" s="17"/>
      <c r="R73" s="17" t="s">
        <v>23</v>
      </c>
    </row>
    <row r="74" spans="2:18">
      <c r="B74" s="17" t="s">
        <v>219</v>
      </c>
      <c r="C74" s="17" t="s">
        <v>220</v>
      </c>
      <c r="D74" s="17" t="s">
        <v>19</v>
      </c>
      <c r="E74" s="17" t="s">
        <v>91</v>
      </c>
      <c r="F74" s="17" t="s">
        <v>45</v>
      </c>
      <c r="G74" s="17" t="s">
        <v>37</v>
      </c>
      <c r="H74" s="18">
        <v>1.1368683772161603E-13</v>
      </c>
      <c r="I74" s="18">
        <v>0</v>
      </c>
      <c r="J74" s="18">
        <f>Tabela1[[#This Row],[SALDO PENDENTE PARCIAL]]-Tabela1[[#This Row],[CARGA 1 QZ]]</f>
        <v>1.1368683772161603E-13</v>
      </c>
      <c r="K74" s="18">
        <v>100</v>
      </c>
      <c r="L74" s="18">
        <v>68</v>
      </c>
      <c r="M74" s="18"/>
      <c r="N74" s="18">
        <f>Tabela1[[#This Row],[2ª QZ]]-Tabela1[[#This Row],[SALDO FINAL]]-Tabela1[[#This Row],[SALDO CARTAO]]-Tabela1[[#This Row],[Adiantamento ]]</f>
        <v>31.999999999999886</v>
      </c>
      <c r="O74" s="18"/>
      <c r="P74" s="18">
        <f>IF(Tabela1[[#This Row],[CARGA PARCIAL]]&lt;0,0,Tabela1[[#This Row],[CARGA PARCIAL]])+Tabela1[[#This Row],[REEMBOLSO]]</f>
        <v>31.999999999999886</v>
      </c>
      <c r="Q74" s="17"/>
      <c r="R74" s="17" t="s">
        <v>23</v>
      </c>
    </row>
    <row r="75" spans="2:18">
      <c r="B75" s="17" t="s">
        <v>221</v>
      </c>
      <c r="C75" s="17" t="s">
        <v>222</v>
      </c>
      <c r="D75" s="17" t="s">
        <v>19</v>
      </c>
      <c r="E75" s="17" t="s">
        <v>91</v>
      </c>
      <c r="F75" s="17" t="s">
        <v>45</v>
      </c>
      <c r="G75" s="17" t="s">
        <v>37</v>
      </c>
      <c r="H75" s="18">
        <v>58.06</v>
      </c>
      <c r="I75" s="18">
        <v>38.940000000000055</v>
      </c>
      <c r="J75" s="18">
        <f>Tabela1[[#This Row],[SALDO PENDENTE PARCIAL]]-Tabela1[[#This Row],[CARGA 1 QZ]]</f>
        <v>19.119999999999948</v>
      </c>
      <c r="K75" s="18">
        <v>100</v>
      </c>
      <c r="L75" s="18">
        <v>41.94</v>
      </c>
      <c r="M75" s="18"/>
      <c r="N75" s="18">
        <f>Tabela1[[#This Row],[2ª QZ]]-Tabela1[[#This Row],[SALDO FINAL]]-Tabela1[[#This Row],[SALDO CARTAO]]-Tabela1[[#This Row],[Adiantamento ]]</f>
        <v>38.940000000000055</v>
      </c>
      <c r="O75" s="18"/>
      <c r="P75" s="18">
        <f>IF(Tabela1[[#This Row],[CARGA PARCIAL]]&lt;0,0,Tabela1[[#This Row],[CARGA PARCIAL]])+Tabela1[[#This Row],[REEMBOLSO]]</f>
        <v>38.940000000000055</v>
      </c>
      <c r="Q75" s="17"/>
      <c r="R75" s="17" t="s">
        <v>23</v>
      </c>
    </row>
    <row r="76" spans="2:18">
      <c r="B76" s="17" t="s">
        <v>223</v>
      </c>
      <c r="C76" s="17" t="s">
        <v>224</v>
      </c>
      <c r="D76" s="17" t="s">
        <v>19</v>
      </c>
      <c r="E76" s="17" t="s">
        <v>225</v>
      </c>
      <c r="F76" s="17" t="s">
        <v>95</v>
      </c>
      <c r="G76" s="17" t="s">
        <v>22</v>
      </c>
      <c r="H76" s="18">
        <v>950.56000000000859</v>
      </c>
      <c r="I76" s="18">
        <v>1199.4899999999943</v>
      </c>
      <c r="J76" s="18">
        <v>0</v>
      </c>
      <c r="K76" s="18">
        <v>2000</v>
      </c>
      <c r="L76" s="18">
        <v>1.25</v>
      </c>
      <c r="M76" s="18"/>
      <c r="N76" s="18">
        <f>Tabela1[[#This Row],[2ª QZ]]-Tabela1[[#This Row],[SALDO FINAL]]-Tabela1[[#This Row],[SALDO CARTAO]]-Tabela1[[#This Row],[Adiantamento ]]</f>
        <v>1998.75</v>
      </c>
      <c r="O76" s="18"/>
      <c r="P76" s="18">
        <f>IF(Tabela1[[#This Row],[CARGA PARCIAL]]&lt;0,0,Tabela1[[#This Row],[CARGA PARCIAL]])+Tabela1[[#This Row],[REEMBOLSO]]</f>
        <v>1998.75</v>
      </c>
      <c r="Q76" s="17"/>
      <c r="R76" s="17" t="s">
        <v>23</v>
      </c>
    </row>
    <row r="77" spans="2:18">
      <c r="B77" s="17" t="s">
        <v>226</v>
      </c>
      <c r="C77" s="17" t="s">
        <v>227</v>
      </c>
      <c r="D77" s="17" t="s">
        <v>19</v>
      </c>
      <c r="E77" s="17" t="s">
        <v>228</v>
      </c>
      <c r="F77" s="17" t="s">
        <v>36</v>
      </c>
      <c r="G77" s="17" t="s">
        <v>37</v>
      </c>
      <c r="H77" s="18">
        <v>356.44999999999823</v>
      </c>
      <c r="I77" s="18">
        <v>1420.5300000000011</v>
      </c>
      <c r="J77" s="18">
        <v>0</v>
      </c>
      <c r="K77" s="18">
        <v>410</v>
      </c>
      <c r="L77" s="18">
        <v>1753.55</v>
      </c>
      <c r="M77" s="18"/>
      <c r="N77" s="18">
        <f>Tabela1[[#This Row],[2ª QZ]]-Tabela1[[#This Row],[SALDO FINAL]]-Tabela1[[#This Row],[SALDO CARTAO]]-Tabela1[[#This Row],[Adiantamento ]]</f>
        <v>-1343.55</v>
      </c>
      <c r="O77" s="18"/>
      <c r="P77" s="18">
        <f>IF(Tabela1[[#This Row],[CARGA PARCIAL]]&lt;0,0,Tabela1[[#This Row],[CARGA PARCIAL]])+Tabela1[[#This Row],[REEMBOLSO]]</f>
        <v>0</v>
      </c>
      <c r="Q77" s="17"/>
      <c r="R77" s="17" t="s">
        <v>23</v>
      </c>
    </row>
    <row r="78" spans="2:18">
      <c r="B78" s="17" t="s">
        <v>229</v>
      </c>
      <c r="C78" s="17" t="s">
        <v>230</v>
      </c>
      <c r="D78" s="17" t="s">
        <v>19</v>
      </c>
      <c r="E78" s="17" t="s">
        <v>231</v>
      </c>
      <c r="F78" s="17" t="s">
        <v>27</v>
      </c>
      <c r="G78" s="17" t="s">
        <v>22</v>
      </c>
      <c r="H78" s="18">
        <v>-18.970000000025028</v>
      </c>
      <c r="I78" s="18">
        <v>1915.7400000000125</v>
      </c>
      <c r="J78" s="18">
        <v>0</v>
      </c>
      <c r="K78" s="18">
        <v>1500</v>
      </c>
      <c r="L78" s="18">
        <v>17.739999999999998</v>
      </c>
      <c r="M78" s="18"/>
      <c r="N78" s="18">
        <f>Tabela1[[#This Row],[2ª QZ]]-Tabela1[[#This Row],[SALDO FINAL]]-Tabela1[[#This Row],[SALDO CARTAO]]-Tabela1[[#This Row],[Adiantamento ]]</f>
        <v>1482.26</v>
      </c>
      <c r="O78" s="18"/>
      <c r="P78" s="18">
        <f>IF(Tabela1[[#This Row],[CARGA PARCIAL]]&lt;0,0,Tabela1[[#This Row],[CARGA PARCIAL]])+Tabela1[[#This Row],[REEMBOLSO]]</f>
        <v>1482.26</v>
      </c>
      <c r="Q78" s="17"/>
      <c r="R78" s="17" t="s">
        <v>23</v>
      </c>
    </row>
    <row r="79" spans="2:18">
      <c r="B79" s="17" t="s">
        <v>232</v>
      </c>
      <c r="C79" s="17" t="s">
        <v>233</v>
      </c>
      <c r="D79" s="17" t="s">
        <v>19</v>
      </c>
      <c r="E79" s="17" t="s">
        <v>234</v>
      </c>
      <c r="F79" s="17" t="s">
        <v>41</v>
      </c>
      <c r="G79" s="17" t="s">
        <v>37</v>
      </c>
      <c r="H79" s="18">
        <v>-3.694822225952521E-13</v>
      </c>
      <c r="I79" s="18">
        <v>94.310000000000201</v>
      </c>
      <c r="J79" s="18">
        <v>0</v>
      </c>
      <c r="K79" s="18">
        <v>200</v>
      </c>
      <c r="L79" s="18">
        <v>68.91</v>
      </c>
      <c r="M79" s="18"/>
      <c r="N79" s="18">
        <f>Tabela1[[#This Row],[2ª QZ]]-Tabela1[[#This Row],[SALDO FINAL]]-Tabela1[[#This Row],[SALDO CARTAO]]-Tabela1[[#This Row],[Adiantamento ]]</f>
        <v>131.09</v>
      </c>
      <c r="O79" s="18"/>
      <c r="P79" s="18">
        <f>IF(Tabela1[[#This Row],[CARGA PARCIAL]]&lt;0,0,Tabela1[[#This Row],[CARGA PARCIAL]])+Tabela1[[#This Row],[REEMBOLSO]]</f>
        <v>131.09</v>
      </c>
      <c r="Q79" s="17"/>
      <c r="R79" s="17" t="s">
        <v>23</v>
      </c>
    </row>
    <row r="80" spans="2:18">
      <c r="B80" s="17" t="s">
        <v>235</v>
      </c>
      <c r="C80" s="17" t="s">
        <v>236</v>
      </c>
      <c r="D80" s="17" t="s">
        <v>19</v>
      </c>
      <c r="E80" s="17" t="s">
        <v>44</v>
      </c>
      <c r="F80" s="17" t="s">
        <v>45</v>
      </c>
      <c r="G80" s="17" t="s">
        <v>37</v>
      </c>
      <c r="H80" s="18">
        <v>11.39999999999705</v>
      </c>
      <c r="I80" s="18">
        <v>52.800000000001454</v>
      </c>
      <c r="J80" s="18">
        <v>0</v>
      </c>
      <c r="K80" s="18">
        <v>120</v>
      </c>
      <c r="L80" s="18">
        <v>108.6</v>
      </c>
      <c r="M80" s="18"/>
      <c r="N80" s="18">
        <f>Tabela1[[#This Row],[2ª QZ]]-Tabela1[[#This Row],[SALDO FINAL]]-Tabela1[[#This Row],[SALDO CARTAO]]-Tabela1[[#This Row],[Adiantamento ]]</f>
        <v>11.400000000000006</v>
      </c>
      <c r="O80" s="18"/>
      <c r="P80" s="18">
        <f>IF(Tabela1[[#This Row],[CARGA PARCIAL]]&lt;0,0,Tabela1[[#This Row],[CARGA PARCIAL]])+Tabela1[[#This Row],[REEMBOLSO]]</f>
        <v>11.400000000000006</v>
      </c>
      <c r="Q80" s="17"/>
      <c r="R80" s="17" t="s">
        <v>23</v>
      </c>
    </row>
    <row r="81" spans="2:18">
      <c r="B81" s="17" t="s">
        <v>237</v>
      </c>
      <c r="C81" s="17" t="s">
        <v>238</v>
      </c>
      <c r="D81" s="17" t="s">
        <v>19</v>
      </c>
      <c r="E81" s="17" t="s">
        <v>239</v>
      </c>
      <c r="F81" s="17" t="s">
        <v>41</v>
      </c>
      <c r="G81" s="17" t="s">
        <v>37</v>
      </c>
      <c r="H81" s="18">
        <v>3480.4799999999996</v>
      </c>
      <c r="I81" s="18">
        <v>0</v>
      </c>
      <c r="J81" s="18">
        <f>Tabela1[[#This Row],[SALDO PENDENTE PARCIAL]]-Tabela1[[#This Row],[CARGA 1 QZ]]</f>
        <v>3480.4799999999996</v>
      </c>
      <c r="K81" s="18">
        <v>250</v>
      </c>
      <c r="L81" s="18">
        <v>12.92</v>
      </c>
      <c r="M81" s="18"/>
      <c r="N81" s="18">
        <f>Tabela1[[#This Row],[2ª QZ]]-Tabela1[[#This Row],[SALDO FINAL]]-Tabela1[[#This Row],[SALDO CARTAO]]-Tabela1[[#This Row],[Adiantamento ]]</f>
        <v>-3243.3999999999996</v>
      </c>
      <c r="O81" s="18"/>
      <c r="P81" s="18">
        <f>IF(Tabela1[[#This Row],[CARGA PARCIAL]]&lt;0,0,Tabela1[[#This Row],[CARGA PARCIAL]])+Tabela1[[#This Row],[REEMBOLSO]]</f>
        <v>0</v>
      </c>
      <c r="Q81" s="17"/>
      <c r="R81" s="17" t="s">
        <v>23</v>
      </c>
    </row>
    <row r="82" spans="2:18">
      <c r="B82" s="17" t="s">
        <v>240</v>
      </c>
      <c r="C82" s="17" t="s">
        <v>241</v>
      </c>
      <c r="D82" s="17" t="s">
        <v>19</v>
      </c>
      <c r="E82" s="17" t="s">
        <v>242</v>
      </c>
      <c r="F82" s="17" t="s">
        <v>36</v>
      </c>
      <c r="G82" s="17" t="s">
        <v>37</v>
      </c>
      <c r="H82" s="18">
        <v>-274.76000000002006</v>
      </c>
      <c r="I82" s="18">
        <v>135.58999999999651</v>
      </c>
      <c r="J82" s="18">
        <v>0</v>
      </c>
      <c r="K82" s="18">
        <v>2500</v>
      </c>
      <c r="L82" s="18">
        <v>7.59</v>
      </c>
      <c r="M82" s="18"/>
      <c r="N82" s="18">
        <f>Tabela1[[#This Row],[2ª QZ]]-Tabela1[[#This Row],[SALDO FINAL]]-Tabela1[[#This Row],[SALDO CARTAO]]-Tabela1[[#This Row],[Adiantamento ]]</f>
        <v>2492.41</v>
      </c>
      <c r="O82" s="18"/>
      <c r="P82" s="18">
        <f>IF(Tabela1[[#This Row],[CARGA PARCIAL]]&lt;0,0,Tabela1[[#This Row],[CARGA PARCIAL]])+Tabela1[[#This Row],[REEMBOLSO]]</f>
        <v>2492.41</v>
      </c>
      <c r="Q82" s="17"/>
      <c r="R82" s="17" t="s">
        <v>23</v>
      </c>
    </row>
    <row r="83" spans="2:18">
      <c r="B83" s="17" t="s">
        <v>243</v>
      </c>
      <c r="C83" s="17" t="s">
        <v>244</v>
      </c>
      <c r="D83" s="17" t="s">
        <v>19</v>
      </c>
      <c r="E83" s="17" t="s">
        <v>245</v>
      </c>
      <c r="F83" s="17" t="s">
        <v>27</v>
      </c>
      <c r="G83" s="17" t="s">
        <v>22</v>
      </c>
      <c r="H83" s="18">
        <v>992.64999999999895</v>
      </c>
      <c r="I83" s="18">
        <v>443.56000000000108</v>
      </c>
      <c r="J83" s="18">
        <f>Tabela1[[#This Row],[SALDO PENDENTE PARCIAL]]-Tabela1[[#This Row],[CARGA 1 QZ]]</f>
        <v>549.08999999999787</v>
      </c>
      <c r="K83" s="18">
        <v>4000</v>
      </c>
      <c r="L83" s="18">
        <v>1288.6400000000001</v>
      </c>
      <c r="M83" s="18"/>
      <c r="N83" s="18">
        <f>Tabela1[[#This Row],[2ª QZ]]-Tabela1[[#This Row],[SALDO FINAL]]-Tabela1[[#This Row],[SALDO CARTAO]]-Tabela1[[#This Row],[Adiantamento ]]</f>
        <v>2162.2700000000023</v>
      </c>
      <c r="O83" s="18"/>
      <c r="P83" s="18">
        <f>IF(Tabela1[[#This Row],[CARGA PARCIAL]]&lt;0,0,Tabela1[[#This Row],[CARGA PARCIAL]])+Tabela1[[#This Row],[REEMBOLSO]]</f>
        <v>2162.2700000000023</v>
      </c>
      <c r="Q83" s="17"/>
      <c r="R83" s="17" t="s">
        <v>23</v>
      </c>
    </row>
    <row r="84" spans="2:18">
      <c r="B84" s="17" t="s">
        <v>246</v>
      </c>
      <c r="C84" s="17" t="s">
        <v>247</v>
      </c>
      <c r="D84" s="17" t="s">
        <v>19</v>
      </c>
      <c r="E84" s="17" t="s">
        <v>248</v>
      </c>
      <c r="F84" s="17" t="s">
        <v>41</v>
      </c>
      <c r="G84" s="17" t="s">
        <v>37</v>
      </c>
      <c r="H84" s="18">
        <v>-376.0300000000002</v>
      </c>
      <c r="I84" s="18">
        <v>917.51500000000124</v>
      </c>
      <c r="J84" s="18">
        <v>0</v>
      </c>
      <c r="K84" s="18">
        <v>750</v>
      </c>
      <c r="L84" s="18">
        <v>3.52</v>
      </c>
      <c r="M84" s="18"/>
      <c r="N84" s="18">
        <f>Tabela1[[#This Row],[2ª QZ]]-Tabela1[[#This Row],[SALDO FINAL]]-Tabela1[[#This Row],[SALDO CARTAO]]-Tabela1[[#This Row],[Adiantamento ]]</f>
        <v>746.48</v>
      </c>
      <c r="O84" s="18"/>
      <c r="P84" s="18">
        <f>IF(Tabela1[[#This Row],[CARGA PARCIAL]]&lt;0,0,Tabela1[[#This Row],[CARGA PARCIAL]])+Tabela1[[#This Row],[REEMBOLSO]]</f>
        <v>746.48</v>
      </c>
      <c r="Q84" s="17"/>
      <c r="R84" s="17" t="s">
        <v>23</v>
      </c>
    </row>
    <row r="85" spans="2:18">
      <c r="B85" s="17" t="s">
        <v>249</v>
      </c>
      <c r="C85" s="17" t="s">
        <v>250</v>
      </c>
      <c r="D85" s="17" t="s">
        <v>19</v>
      </c>
      <c r="E85" s="17" t="s">
        <v>48</v>
      </c>
      <c r="F85" s="17" t="s">
        <v>36</v>
      </c>
      <c r="G85" s="17" t="s">
        <v>37</v>
      </c>
      <c r="H85" s="18">
        <v>-3349.0399999999963</v>
      </c>
      <c r="I85" s="18">
        <v>6.999999999996362</v>
      </c>
      <c r="J85" s="18">
        <v>0</v>
      </c>
      <c r="K85" s="18">
        <v>1600</v>
      </c>
      <c r="L85" s="18">
        <v>4949.04</v>
      </c>
      <c r="M85" s="18"/>
      <c r="N85" s="18">
        <f>Tabela1[[#This Row],[2ª QZ]]-Tabela1[[#This Row],[SALDO FINAL]]-Tabela1[[#This Row],[SALDO CARTAO]]-Tabela1[[#This Row],[Adiantamento ]]</f>
        <v>-3349.04</v>
      </c>
      <c r="O85" s="18"/>
      <c r="P85" s="18">
        <f>IF(Tabela1[[#This Row],[CARGA PARCIAL]]&lt;0,0,Tabela1[[#This Row],[CARGA PARCIAL]])+Tabela1[[#This Row],[REEMBOLSO]]</f>
        <v>0</v>
      </c>
      <c r="Q85" s="17"/>
      <c r="R85" s="17" t="s">
        <v>23</v>
      </c>
    </row>
    <row r="86" spans="2:18">
      <c r="B86" s="17" t="s">
        <v>251</v>
      </c>
      <c r="C86" s="17" t="s">
        <v>252</v>
      </c>
      <c r="D86" s="17" t="s">
        <v>19</v>
      </c>
      <c r="E86" s="17" t="s">
        <v>196</v>
      </c>
      <c r="F86" s="17" t="s">
        <v>31</v>
      </c>
      <c r="G86" s="17" t="s">
        <v>32</v>
      </c>
      <c r="H86" s="18">
        <v>472.89999999999975</v>
      </c>
      <c r="I86" s="18">
        <v>423.05000000000013</v>
      </c>
      <c r="J86" s="18">
        <f>Tabela1[[#This Row],[SALDO PENDENTE PARCIAL]]-Tabela1[[#This Row],[CARGA 1 QZ]]</f>
        <v>49.849999999999625</v>
      </c>
      <c r="K86" s="18">
        <v>750</v>
      </c>
      <c r="L86" s="18">
        <v>277.10000000000002</v>
      </c>
      <c r="M86" s="18"/>
      <c r="N86" s="18">
        <f>Tabela1[[#This Row],[2ª QZ]]-Tabela1[[#This Row],[SALDO FINAL]]-Tabela1[[#This Row],[SALDO CARTAO]]-Tabela1[[#This Row],[Adiantamento ]]</f>
        <v>423.0500000000003</v>
      </c>
      <c r="O86" s="18"/>
      <c r="P86" s="18">
        <f>IF(Tabela1[[#This Row],[CARGA PARCIAL]]&lt;0,0,Tabela1[[#This Row],[CARGA PARCIAL]])+Tabela1[[#This Row],[REEMBOLSO]]</f>
        <v>423.0500000000003</v>
      </c>
      <c r="Q86" s="17"/>
      <c r="R86" s="17" t="s">
        <v>23</v>
      </c>
    </row>
    <row r="87" spans="2:18">
      <c r="B87" s="17" t="s">
        <v>253</v>
      </c>
      <c r="C87" s="17" t="s">
        <v>254</v>
      </c>
      <c r="D87" s="17" t="s">
        <v>19</v>
      </c>
      <c r="E87" s="17" t="s">
        <v>44</v>
      </c>
      <c r="F87" s="17" t="s">
        <v>45</v>
      </c>
      <c r="G87" s="17" t="s">
        <v>37</v>
      </c>
      <c r="H87" s="18">
        <v>4.7999999999997272</v>
      </c>
      <c r="I87" s="18">
        <v>131.19999999999936</v>
      </c>
      <c r="J87" s="18">
        <v>0</v>
      </c>
      <c r="K87" s="18">
        <v>160</v>
      </c>
      <c r="L87" s="18">
        <v>0</v>
      </c>
      <c r="M87" s="18"/>
      <c r="N87" s="18">
        <f>Tabela1[[#This Row],[2ª QZ]]-Tabela1[[#This Row],[SALDO FINAL]]-Tabela1[[#This Row],[SALDO CARTAO]]-Tabela1[[#This Row],[Adiantamento ]]</f>
        <v>160</v>
      </c>
      <c r="O87" s="18"/>
      <c r="P87" s="18">
        <f>IF(Tabela1[[#This Row],[CARGA PARCIAL]]&lt;0,0,Tabela1[[#This Row],[CARGA PARCIAL]])+Tabela1[[#This Row],[REEMBOLSO]]</f>
        <v>160</v>
      </c>
      <c r="Q87" s="17"/>
      <c r="R87" s="17" t="s">
        <v>23</v>
      </c>
    </row>
    <row r="88" spans="2:18">
      <c r="B88" s="17" t="s">
        <v>255</v>
      </c>
      <c r="C88" s="17" t="s">
        <v>256</v>
      </c>
      <c r="D88" s="17" t="s">
        <v>19</v>
      </c>
      <c r="E88" s="17" t="s">
        <v>257</v>
      </c>
      <c r="F88" s="17" t="s">
        <v>27</v>
      </c>
      <c r="G88" s="17" t="s">
        <v>22</v>
      </c>
      <c r="H88" s="18">
        <v>0</v>
      </c>
      <c r="I88" s="18">
        <v>0</v>
      </c>
      <c r="J88" s="18">
        <f>Tabela1[[#This Row],[SALDO PENDENTE PARCIAL]]-Tabela1[[#This Row],[CARGA 1 QZ]]</f>
        <v>0</v>
      </c>
      <c r="K88" s="18">
        <v>400</v>
      </c>
      <c r="L88" s="18">
        <v>400</v>
      </c>
      <c r="M88" s="18"/>
      <c r="N88" s="18">
        <f>Tabela1[[#This Row],[2ª QZ]]-Tabela1[[#This Row],[SALDO FINAL]]-Tabela1[[#This Row],[SALDO CARTAO]]-Tabela1[[#This Row],[Adiantamento ]]</f>
        <v>0</v>
      </c>
      <c r="O88" s="18"/>
      <c r="P88" s="18">
        <f>IF(Tabela1[[#This Row],[CARGA PARCIAL]]&lt;0,0,Tabela1[[#This Row],[CARGA PARCIAL]])+Tabela1[[#This Row],[REEMBOLSO]]</f>
        <v>0</v>
      </c>
      <c r="Q88" s="17"/>
      <c r="R88" s="17" t="s">
        <v>23</v>
      </c>
    </row>
    <row r="89" spans="2:18">
      <c r="B89" s="17" t="s">
        <v>258</v>
      </c>
      <c r="C89" s="17" t="s">
        <v>259</v>
      </c>
      <c r="D89" s="17" t="s">
        <v>19</v>
      </c>
      <c r="E89" s="17" t="s">
        <v>138</v>
      </c>
      <c r="F89" s="17" t="s">
        <v>21</v>
      </c>
      <c r="G89" s="17" t="s">
        <v>22</v>
      </c>
      <c r="H89" s="18">
        <v>929.38000000000216</v>
      </c>
      <c r="I89" s="18">
        <v>52.750000000003666</v>
      </c>
      <c r="J89" s="18">
        <f>Tabela1[[#This Row],[SALDO PENDENTE PARCIAL]]-Tabela1[[#This Row],[CARGA 1 QZ]]</f>
        <v>876.62999999999852</v>
      </c>
      <c r="K89" s="18">
        <v>2000</v>
      </c>
      <c r="L89" s="18">
        <v>4.22</v>
      </c>
      <c r="M89" s="18"/>
      <c r="N89" s="18">
        <f>Tabela1[[#This Row],[2ª QZ]]-Tabela1[[#This Row],[SALDO FINAL]]-Tabela1[[#This Row],[SALDO CARTAO]]-Tabela1[[#This Row],[Adiantamento ]]</f>
        <v>1119.1500000000015</v>
      </c>
      <c r="O89" s="18"/>
      <c r="P89" s="18">
        <f>IF(Tabela1[[#This Row],[CARGA PARCIAL]]&lt;0,0,Tabela1[[#This Row],[CARGA PARCIAL]])+Tabela1[[#This Row],[REEMBOLSO]]</f>
        <v>1119.1500000000015</v>
      </c>
      <c r="Q89" s="17"/>
      <c r="R89" s="17" t="s">
        <v>23</v>
      </c>
    </row>
    <row r="90" spans="2:18">
      <c r="B90" s="17" t="s">
        <v>260</v>
      </c>
      <c r="C90" s="17" t="s">
        <v>261</v>
      </c>
      <c r="D90" s="17" t="s">
        <v>19</v>
      </c>
      <c r="E90" s="17" t="s">
        <v>30</v>
      </c>
      <c r="F90" s="17" t="s">
        <v>31</v>
      </c>
      <c r="G90" s="17" t="s">
        <v>32</v>
      </c>
      <c r="H90" s="18">
        <v>578.46000000000049</v>
      </c>
      <c r="I90" s="18">
        <v>354.52000000000038</v>
      </c>
      <c r="J90" s="18">
        <f>Tabela1[[#This Row],[SALDO PENDENTE PARCIAL]]-Tabela1[[#This Row],[CARGA 1 QZ]]</f>
        <v>223.94000000000011</v>
      </c>
      <c r="K90" s="18">
        <v>1000</v>
      </c>
      <c r="L90" s="18">
        <v>359.44</v>
      </c>
      <c r="M90" s="18"/>
      <c r="N90" s="18">
        <f>Tabela1[[#This Row],[2ª QZ]]-Tabela1[[#This Row],[SALDO FINAL]]-Tabela1[[#This Row],[SALDO CARTAO]]-Tabela1[[#This Row],[Adiantamento ]]</f>
        <v>416.61999999999995</v>
      </c>
      <c r="O90" s="18"/>
      <c r="P90" s="18">
        <f>IF(Tabela1[[#This Row],[CARGA PARCIAL]]&lt;0,0,Tabela1[[#This Row],[CARGA PARCIAL]])+Tabela1[[#This Row],[REEMBOLSO]]</f>
        <v>416.61999999999995</v>
      </c>
      <c r="Q90" s="17"/>
      <c r="R90" s="17" t="s">
        <v>23</v>
      </c>
    </row>
    <row r="91" spans="2:18">
      <c r="B91" s="17" t="s">
        <v>262</v>
      </c>
      <c r="C91" s="17" t="s">
        <v>263</v>
      </c>
      <c r="D91" s="17" t="s">
        <v>19</v>
      </c>
      <c r="E91" s="17" t="s">
        <v>264</v>
      </c>
      <c r="F91" s="17" t="s">
        <v>27</v>
      </c>
      <c r="G91" s="17" t="s">
        <v>22</v>
      </c>
      <c r="H91" s="18">
        <v>249.50999999999948</v>
      </c>
      <c r="I91" s="18">
        <v>0</v>
      </c>
      <c r="J91" s="18">
        <f>Tabela1[[#This Row],[SALDO PENDENTE PARCIAL]]-Tabela1[[#This Row],[CARGA 1 QZ]]</f>
        <v>249.50999999999948</v>
      </c>
      <c r="K91" s="18">
        <v>500</v>
      </c>
      <c r="L91" s="18">
        <v>310.3</v>
      </c>
      <c r="M91" s="18"/>
      <c r="N91" s="18">
        <f>Tabela1[[#This Row],[2ª QZ]]-Tabela1[[#This Row],[SALDO FINAL]]-Tabela1[[#This Row],[SALDO CARTAO]]-Tabela1[[#This Row],[Adiantamento ]]</f>
        <v>-59.809999999999491</v>
      </c>
      <c r="O91" s="18"/>
      <c r="P91" s="18">
        <f>IF(Tabela1[[#This Row],[CARGA PARCIAL]]&lt;0,0,Tabela1[[#This Row],[CARGA PARCIAL]])+Tabela1[[#This Row],[REEMBOLSO]]</f>
        <v>0</v>
      </c>
      <c r="Q91" s="17"/>
      <c r="R91" s="17" t="s">
        <v>23</v>
      </c>
    </row>
    <row r="92" spans="2:18">
      <c r="B92" s="17" t="s">
        <v>265</v>
      </c>
      <c r="C92" s="17" t="s">
        <v>266</v>
      </c>
      <c r="D92" s="17" t="s">
        <v>19</v>
      </c>
      <c r="E92" s="17" t="s">
        <v>91</v>
      </c>
      <c r="F92" s="17" t="s">
        <v>45</v>
      </c>
      <c r="G92" s="17" t="s">
        <v>37</v>
      </c>
      <c r="H92" s="18">
        <v>78.930000000000121</v>
      </c>
      <c r="I92" s="18">
        <v>24.99999999999989</v>
      </c>
      <c r="J92" s="18">
        <f>Tabela1[[#This Row],[SALDO PENDENTE PARCIAL]]-Tabela1[[#This Row],[CARGA 1 QZ]]</f>
        <v>53.930000000000234</v>
      </c>
      <c r="K92" s="18">
        <v>100</v>
      </c>
      <c r="L92" s="18">
        <v>21.07</v>
      </c>
      <c r="M92" s="18"/>
      <c r="N92" s="18">
        <f>Tabela1[[#This Row],[2ª QZ]]-Tabela1[[#This Row],[SALDO FINAL]]-Tabela1[[#This Row],[SALDO CARTAO]]-Tabela1[[#This Row],[Adiantamento ]]</f>
        <v>24.999999999999766</v>
      </c>
      <c r="O92" s="18"/>
      <c r="P92" s="18">
        <f>IF(Tabela1[[#This Row],[CARGA PARCIAL]]&lt;0,0,Tabela1[[#This Row],[CARGA PARCIAL]])+Tabela1[[#This Row],[REEMBOLSO]]</f>
        <v>24.999999999999766</v>
      </c>
      <c r="Q92" s="17"/>
      <c r="R92" s="17" t="s">
        <v>23</v>
      </c>
    </row>
    <row r="93" spans="2:18">
      <c r="B93" s="17" t="s">
        <v>267</v>
      </c>
      <c r="C93" s="17" t="s">
        <v>268</v>
      </c>
      <c r="D93" s="17" t="s">
        <v>19</v>
      </c>
      <c r="E93" s="17" t="s">
        <v>51</v>
      </c>
      <c r="F93" s="17" t="s">
        <v>31</v>
      </c>
      <c r="G93" s="17" t="s">
        <v>32</v>
      </c>
      <c r="H93" s="18">
        <v>-1778.68</v>
      </c>
      <c r="I93" s="18">
        <v>1425.8049999999994</v>
      </c>
      <c r="J93" s="18">
        <v>0</v>
      </c>
      <c r="K93" s="18">
        <v>1400</v>
      </c>
      <c r="L93" s="18">
        <v>1400.01</v>
      </c>
      <c r="M93" s="18"/>
      <c r="N93" s="18">
        <f>Tabela1[[#This Row],[2ª QZ]]-Tabela1[[#This Row],[SALDO FINAL]]-Tabela1[[#This Row],[SALDO CARTAO]]-Tabela1[[#This Row],[Adiantamento ]]</f>
        <v>-9.9999999999909051E-3</v>
      </c>
      <c r="O93" s="18"/>
      <c r="P93" s="18">
        <f>IF(Tabela1[[#This Row],[CARGA PARCIAL]]&lt;0,0,Tabela1[[#This Row],[CARGA PARCIAL]])+Tabela1[[#This Row],[REEMBOLSO]]</f>
        <v>0</v>
      </c>
      <c r="Q93" s="17"/>
      <c r="R93" s="17" t="s">
        <v>23</v>
      </c>
    </row>
    <row r="94" spans="2:18">
      <c r="B94" s="17" t="s">
        <v>269</v>
      </c>
      <c r="C94" s="17" t="s">
        <v>270</v>
      </c>
      <c r="D94" s="17" t="s">
        <v>19</v>
      </c>
      <c r="E94" s="17" t="s">
        <v>135</v>
      </c>
      <c r="F94" s="17" t="s">
        <v>36</v>
      </c>
      <c r="G94" s="17" t="s">
        <v>37</v>
      </c>
      <c r="H94" s="18">
        <v>-65.000000000002899</v>
      </c>
      <c r="I94" s="18">
        <v>707.80000000000143</v>
      </c>
      <c r="J94" s="18">
        <v>0</v>
      </c>
      <c r="K94" s="18">
        <v>800</v>
      </c>
      <c r="L94" s="18">
        <v>203.7</v>
      </c>
      <c r="M94" s="18"/>
      <c r="N94" s="18">
        <f>Tabela1[[#This Row],[2ª QZ]]-Tabela1[[#This Row],[SALDO FINAL]]-Tabela1[[#This Row],[SALDO CARTAO]]-Tabela1[[#This Row],[Adiantamento ]]</f>
        <v>596.29999999999995</v>
      </c>
      <c r="O94" s="18"/>
      <c r="P94" s="18">
        <f>IF(Tabela1[[#This Row],[CARGA PARCIAL]]&lt;0,0,Tabela1[[#This Row],[CARGA PARCIAL]])+Tabela1[[#This Row],[REEMBOLSO]]</f>
        <v>596.29999999999995</v>
      </c>
      <c r="Q94" s="17"/>
      <c r="R94" s="17" t="s">
        <v>23</v>
      </c>
    </row>
    <row r="95" spans="2:18">
      <c r="B95" s="17" t="s">
        <v>271</v>
      </c>
      <c r="C95" s="17" t="s">
        <v>272</v>
      </c>
      <c r="D95" s="17" t="s">
        <v>19</v>
      </c>
      <c r="E95" s="17" t="s">
        <v>44</v>
      </c>
      <c r="F95" s="17" t="s">
        <v>45</v>
      </c>
      <c r="G95" s="17" t="s">
        <v>37</v>
      </c>
      <c r="H95" s="18">
        <v>386.30000000000007</v>
      </c>
      <c r="I95" s="18">
        <v>0</v>
      </c>
      <c r="J95" s="18">
        <f>Tabela1[[#This Row],[SALDO PENDENTE PARCIAL]]-Tabela1[[#This Row],[CARGA 1 QZ]]</f>
        <v>386.30000000000007</v>
      </c>
      <c r="K95" s="18">
        <v>120</v>
      </c>
      <c r="L95" s="18">
        <v>46.86</v>
      </c>
      <c r="M95" s="18"/>
      <c r="N95" s="18">
        <f>Tabela1[[#This Row],[2ª QZ]]-Tabela1[[#This Row],[SALDO FINAL]]-Tabela1[[#This Row],[SALDO CARTAO]]-Tabela1[[#This Row],[Adiantamento ]]</f>
        <v>-313.16000000000008</v>
      </c>
      <c r="O95" s="18"/>
      <c r="P95" s="18">
        <f>IF(Tabela1[[#This Row],[CARGA PARCIAL]]&lt;0,0,Tabela1[[#This Row],[CARGA PARCIAL]])+Tabela1[[#This Row],[REEMBOLSO]]</f>
        <v>0</v>
      </c>
      <c r="Q95" s="17"/>
      <c r="R95" s="17" t="s">
        <v>23</v>
      </c>
    </row>
    <row r="96" spans="2:18">
      <c r="B96" s="17" t="s">
        <v>273</v>
      </c>
      <c r="C96" s="17" t="s">
        <v>274</v>
      </c>
      <c r="D96" s="17" t="s">
        <v>19</v>
      </c>
      <c r="E96" s="17" t="s">
        <v>75</v>
      </c>
      <c r="F96" s="17" t="s">
        <v>41</v>
      </c>
      <c r="G96" s="17" t="s">
        <v>37</v>
      </c>
      <c r="H96" s="18">
        <v>33.300000000000011</v>
      </c>
      <c r="I96" s="18">
        <v>163.70000000000005</v>
      </c>
      <c r="J96" s="18">
        <v>0</v>
      </c>
      <c r="K96" s="18">
        <v>200</v>
      </c>
      <c r="L96" s="18">
        <v>166.7</v>
      </c>
      <c r="M96" s="18"/>
      <c r="N96" s="18">
        <f>Tabela1[[#This Row],[2ª QZ]]-Tabela1[[#This Row],[SALDO FINAL]]-Tabela1[[#This Row],[SALDO CARTAO]]-Tabela1[[#This Row],[Adiantamento ]]</f>
        <v>33.300000000000011</v>
      </c>
      <c r="O96" s="18"/>
      <c r="P96" s="18">
        <f>IF(Tabela1[[#This Row],[CARGA PARCIAL]]&lt;0,0,Tabela1[[#This Row],[CARGA PARCIAL]])+Tabela1[[#This Row],[REEMBOLSO]]</f>
        <v>33.300000000000011</v>
      </c>
      <c r="Q96" s="17"/>
      <c r="R96" s="17" t="s">
        <v>23</v>
      </c>
    </row>
    <row r="97" spans="2:18">
      <c r="B97" s="17" t="s">
        <v>275</v>
      </c>
      <c r="C97" s="17" t="s">
        <v>276</v>
      </c>
      <c r="D97" s="17" t="s">
        <v>19</v>
      </c>
      <c r="E97" s="17" t="s">
        <v>135</v>
      </c>
      <c r="F97" s="17" t="s">
        <v>36</v>
      </c>
      <c r="G97" s="17" t="s">
        <v>37</v>
      </c>
      <c r="H97" s="18">
        <v>4.1495695768389851E-12</v>
      </c>
      <c r="I97" s="18">
        <v>697.93999999999505</v>
      </c>
      <c r="J97" s="18">
        <v>0</v>
      </c>
      <c r="K97" s="18">
        <v>800</v>
      </c>
      <c r="L97" s="18">
        <v>404.94</v>
      </c>
      <c r="M97" s="18"/>
      <c r="N97" s="18">
        <f>Tabela1[[#This Row],[2ª QZ]]-Tabela1[[#This Row],[SALDO FINAL]]-Tabela1[[#This Row],[SALDO CARTAO]]-Tabela1[[#This Row],[Adiantamento ]]</f>
        <v>395.06</v>
      </c>
      <c r="O97" s="18"/>
      <c r="P97" s="18">
        <f>IF(Tabela1[[#This Row],[CARGA PARCIAL]]&lt;0,0,Tabela1[[#This Row],[CARGA PARCIAL]])+Tabela1[[#This Row],[REEMBOLSO]]</f>
        <v>395.06</v>
      </c>
      <c r="Q97" s="17"/>
      <c r="R97" s="17" t="s">
        <v>23</v>
      </c>
    </row>
    <row r="98" spans="2:18">
      <c r="B98" s="17" t="s">
        <v>277</v>
      </c>
      <c r="C98" s="17" t="s">
        <v>278</v>
      </c>
      <c r="D98" s="17" t="s">
        <v>19</v>
      </c>
      <c r="E98" s="17" t="s">
        <v>135</v>
      </c>
      <c r="F98" s="17" t="s">
        <v>36</v>
      </c>
      <c r="G98" s="17" t="s">
        <v>37</v>
      </c>
      <c r="H98" s="18">
        <v>999.89999999999964</v>
      </c>
      <c r="I98" s="18">
        <v>0</v>
      </c>
      <c r="J98" s="18">
        <f>Tabela1[[#This Row],[SALDO PENDENTE PARCIAL]]-Tabela1[[#This Row],[CARGA 1 QZ]]</f>
        <v>999.89999999999964</v>
      </c>
      <c r="K98" s="18">
        <v>800</v>
      </c>
      <c r="L98" s="18">
        <v>0.3</v>
      </c>
      <c r="M98" s="18"/>
      <c r="N98" s="18">
        <f>Tabela1[[#This Row],[2ª QZ]]-Tabela1[[#This Row],[SALDO FINAL]]-Tabela1[[#This Row],[SALDO CARTAO]]-Tabela1[[#This Row],[Adiantamento ]]</f>
        <v>-200.19999999999965</v>
      </c>
      <c r="O98" s="18"/>
      <c r="P98" s="18">
        <f>IF(Tabela1[[#This Row],[CARGA PARCIAL]]&lt;0,0,Tabela1[[#This Row],[CARGA PARCIAL]])+Tabela1[[#This Row],[REEMBOLSO]]</f>
        <v>0</v>
      </c>
      <c r="Q98" s="17"/>
      <c r="R98" s="17" t="s">
        <v>23</v>
      </c>
    </row>
    <row r="99" spans="2:18">
      <c r="B99" s="17" t="s">
        <v>279</v>
      </c>
      <c r="C99" s="17" t="s">
        <v>280</v>
      </c>
      <c r="D99" s="17" t="s">
        <v>19</v>
      </c>
      <c r="E99" s="17" t="s">
        <v>51</v>
      </c>
      <c r="F99" s="17" t="s">
        <v>31</v>
      </c>
      <c r="G99" s="17" t="s">
        <v>32</v>
      </c>
      <c r="H99" s="18">
        <v>506.85000000000218</v>
      </c>
      <c r="I99" s="18">
        <v>0</v>
      </c>
      <c r="J99" s="18">
        <f>Tabela1[[#This Row],[SALDO PENDENTE PARCIAL]]-Tabela1[[#This Row],[CARGA 1 QZ]]</f>
        <v>506.85000000000218</v>
      </c>
      <c r="K99" s="18">
        <v>1500</v>
      </c>
      <c r="L99" s="18">
        <v>0</v>
      </c>
      <c r="M99" s="18"/>
      <c r="N99" s="18">
        <f>Tabela1[[#This Row],[2ª QZ]]-Tabela1[[#This Row],[SALDO FINAL]]-Tabela1[[#This Row],[SALDO CARTAO]]-Tabela1[[#This Row],[Adiantamento ]]</f>
        <v>993.14999999999782</v>
      </c>
      <c r="O99" s="18"/>
      <c r="P99" s="18">
        <f>IF(Tabela1[[#This Row],[CARGA PARCIAL]]&lt;0,0,Tabela1[[#This Row],[CARGA PARCIAL]])+Tabela1[[#This Row],[REEMBOLSO]]</f>
        <v>993.14999999999782</v>
      </c>
      <c r="Q99" s="17"/>
      <c r="R99" s="17" t="s">
        <v>23</v>
      </c>
    </row>
    <row r="100" spans="2:18">
      <c r="B100" s="17" t="s">
        <v>281</v>
      </c>
      <c r="C100" s="17" t="s">
        <v>282</v>
      </c>
      <c r="D100" s="17" t="s">
        <v>19</v>
      </c>
      <c r="E100" s="17" t="s">
        <v>91</v>
      </c>
      <c r="F100" s="17" t="s">
        <v>45</v>
      </c>
      <c r="G100" s="17" t="s">
        <v>37</v>
      </c>
      <c r="H100" s="18">
        <v>85</v>
      </c>
      <c r="I100" s="18">
        <v>0</v>
      </c>
      <c r="J100" s="18">
        <f>Tabela1[[#This Row],[SALDO PENDENTE PARCIAL]]-Tabela1[[#This Row],[CARGA 1 QZ]]</f>
        <v>85</v>
      </c>
      <c r="K100" s="18">
        <v>100</v>
      </c>
      <c r="L100" s="18">
        <v>45</v>
      </c>
      <c r="M100" s="18"/>
      <c r="N100" s="18">
        <f>Tabela1[[#This Row],[2ª QZ]]-Tabela1[[#This Row],[SALDO FINAL]]-Tabela1[[#This Row],[SALDO CARTAO]]-Tabela1[[#This Row],[Adiantamento ]]</f>
        <v>-30</v>
      </c>
      <c r="O100" s="18"/>
      <c r="P100" s="18">
        <f>IF(Tabela1[[#This Row],[CARGA PARCIAL]]&lt;0,0,Tabela1[[#This Row],[CARGA PARCIAL]])+Tabela1[[#This Row],[REEMBOLSO]]</f>
        <v>0</v>
      </c>
      <c r="Q100" s="17"/>
      <c r="R100" s="17" t="s">
        <v>23</v>
      </c>
    </row>
    <row r="101" spans="2:18">
      <c r="B101" s="17" t="s">
        <v>283</v>
      </c>
      <c r="C101" s="17" t="s">
        <v>284</v>
      </c>
      <c r="D101" s="17" t="s">
        <v>19</v>
      </c>
      <c r="E101" s="17" t="s">
        <v>91</v>
      </c>
      <c r="F101" s="17" t="s">
        <v>45</v>
      </c>
      <c r="G101" s="17" t="s">
        <v>37</v>
      </c>
      <c r="H101" s="18">
        <v>-104.3000000000051</v>
      </c>
      <c r="I101" s="18">
        <v>200.30000000000427</v>
      </c>
      <c r="J101" s="18">
        <v>0</v>
      </c>
      <c r="K101" s="18">
        <v>300</v>
      </c>
      <c r="L101" s="18">
        <v>210.9</v>
      </c>
      <c r="M101" s="18"/>
      <c r="N101" s="18">
        <f>Tabela1[[#This Row],[2ª QZ]]-Tabela1[[#This Row],[SALDO FINAL]]-Tabela1[[#This Row],[SALDO CARTAO]]-Tabela1[[#This Row],[Adiantamento ]]</f>
        <v>89.1</v>
      </c>
      <c r="O101" s="18"/>
      <c r="P101" s="18">
        <f>IF(Tabela1[[#This Row],[CARGA PARCIAL]]&lt;0,0,Tabela1[[#This Row],[CARGA PARCIAL]])+Tabela1[[#This Row],[REEMBOLSO]]</f>
        <v>89.1</v>
      </c>
      <c r="Q101" s="17"/>
      <c r="R101" s="17" t="s">
        <v>23</v>
      </c>
    </row>
    <row r="102" spans="2:18">
      <c r="B102" s="17" t="s">
        <v>285</v>
      </c>
      <c r="C102" s="17" t="s">
        <v>286</v>
      </c>
      <c r="D102" s="17" t="s">
        <v>19</v>
      </c>
      <c r="E102" s="17" t="s">
        <v>287</v>
      </c>
      <c r="F102" s="17" t="s">
        <v>36</v>
      </c>
      <c r="G102" s="17" t="s">
        <v>37</v>
      </c>
      <c r="H102" s="18">
        <v>476.39999999999145</v>
      </c>
      <c r="I102" s="18">
        <v>0</v>
      </c>
      <c r="J102" s="18">
        <f>Tabela1[[#This Row],[SALDO PENDENTE PARCIAL]]-Tabela1[[#This Row],[CARGA 1 QZ]]</f>
        <v>476.39999999999145</v>
      </c>
      <c r="K102" s="18">
        <v>400</v>
      </c>
      <c r="L102" s="18">
        <v>0</v>
      </c>
      <c r="M102" s="18"/>
      <c r="N102" s="18">
        <f>Tabela1[[#This Row],[2ª QZ]]-Tabela1[[#This Row],[SALDO FINAL]]-Tabela1[[#This Row],[SALDO CARTAO]]-Tabela1[[#This Row],[Adiantamento ]]</f>
        <v>-76.399999999991451</v>
      </c>
      <c r="O102" s="18"/>
      <c r="P102" s="18">
        <f>IF(Tabela1[[#This Row],[CARGA PARCIAL]]&lt;0,0,Tabela1[[#This Row],[CARGA PARCIAL]])+Tabela1[[#This Row],[REEMBOLSO]]</f>
        <v>0</v>
      </c>
      <c r="Q102" s="17"/>
      <c r="R102" s="17" t="s">
        <v>23</v>
      </c>
    </row>
    <row r="103" spans="2:18">
      <c r="B103" s="17" t="s">
        <v>288</v>
      </c>
      <c r="C103" s="17" t="s">
        <v>289</v>
      </c>
      <c r="D103" s="17" t="s">
        <v>19</v>
      </c>
      <c r="E103" s="17" t="s">
        <v>290</v>
      </c>
      <c r="F103" s="17" t="s">
        <v>69</v>
      </c>
      <c r="G103" s="17" t="s">
        <v>37</v>
      </c>
      <c r="H103" s="18">
        <v>534.30000000000041</v>
      </c>
      <c r="I103" s="18">
        <v>0</v>
      </c>
      <c r="J103" s="18">
        <f>Tabela1[[#This Row],[SALDO PENDENTE PARCIAL]]-Tabela1[[#This Row],[CARGA 1 QZ]]</f>
        <v>534.30000000000041</v>
      </c>
      <c r="K103" s="18">
        <v>675</v>
      </c>
      <c r="L103" s="18">
        <v>168</v>
      </c>
      <c r="M103" s="18"/>
      <c r="N103" s="18">
        <f>Tabela1[[#This Row],[2ª QZ]]-Tabela1[[#This Row],[SALDO FINAL]]-Tabela1[[#This Row],[SALDO CARTAO]]-Tabela1[[#This Row],[Adiantamento ]]</f>
        <v>-27.300000000000409</v>
      </c>
      <c r="O103" s="18"/>
      <c r="P103" s="18">
        <f>IF(Tabela1[[#This Row],[CARGA PARCIAL]]&lt;0,0,Tabela1[[#This Row],[CARGA PARCIAL]])+Tabela1[[#This Row],[REEMBOLSO]]</f>
        <v>0</v>
      </c>
      <c r="Q103" s="17"/>
      <c r="R103" s="17" t="s">
        <v>23</v>
      </c>
    </row>
    <row r="104" spans="2:18">
      <c r="B104" s="17" t="s">
        <v>291</v>
      </c>
      <c r="C104" s="17" t="s">
        <v>292</v>
      </c>
      <c r="D104" s="17" t="s">
        <v>19</v>
      </c>
      <c r="E104" s="17" t="s">
        <v>293</v>
      </c>
      <c r="F104" s="17" t="s">
        <v>69</v>
      </c>
      <c r="G104" s="17" t="s">
        <v>37</v>
      </c>
      <c r="H104" s="18">
        <v>328.66000000000179</v>
      </c>
      <c r="I104" s="18">
        <v>1181.3499999999967</v>
      </c>
      <c r="J104" s="18">
        <v>0</v>
      </c>
      <c r="K104" s="18">
        <v>800</v>
      </c>
      <c r="L104" s="18">
        <v>999.67</v>
      </c>
      <c r="M104" s="18"/>
      <c r="N104" s="18">
        <f>Tabela1[[#This Row],[2ª QZ]]-Tabela1[[#This Row],[SALDO FINAL]]-Tabela1[[#This Row],[SALDO CARTAO]]-Tabela1[[#This Row],[Adiantamento ]]</f>
        <v>-199.66999999999996</v>
      </c>
      <c r="O104" s="18"/>
      <c r="P104" s="18">
        <f>IF(Tabela1[[#This Row],[CARGA PARCIAL]]&lt;0,0,Tabela1[[#This Row],[CARGA PARCIAL]])+Tabela1[[#This Row],[REEMBOLSO]]</f>
        <v>0</v>
      </c>
      <c r="Q104" s="17"/>
      <c r="R104" s="17" t="s">
        <v>23</v>
      </c>
    </row>
    <row r="105" spans="2:18">
      <c r="B105" s="17" t="s">
        <v>294</v>
      </c>
      <c r="C105" s="17" t="s">
        <v>295</v>
      </c>
      <c r="D105" s="17" t="s">
        <v>19</v>
      </c>
      <c r="E105" s="17" t="s">
        <v>296</v>
      </c>
      <c r="F105" s="17" t="s">
        <v>31</v>
      </c>
      <c r="G105" s="17" t="s">
        <v>32</v>
      </c>
      <c r="H105" s="18">
        <v>1176.8600000000024</v>
      </c>
      <c r="I105" s="18">
        <v>0</v>
      </c>
      <c r="J105" s="18">
        <f>Tabela1[[#This Row],[SALDO PENDENTE PARCIAL]]-Tabela1[[#This Row],[CARGA 1 QZ]]</f>
        <v>1176.8600000000024</v>
      </c>
      <c r="K105" s="18">
        <v>750</v>
      </c>
      <c r="L105" s="18">
        <v>0</v>
      </c>
      <c r="M105" s="18"/>
      <c r="N105" s="18">
        <f>Tabela1[[#This Row],[2ª QZ]]-Tabela1[[#This Row],[SALDO FINAL]]-Tabela1[[#This Row],[SALDO CARTAO]]-Tabela1[[#This Row],[Adiantamento ]]</f>
        <v>-426.8600000000024</v>
      </c>
      <c r="O105" s="18"/>
      <c r="P105" s="18">
        <f>IF(Tabela1[[#This Row],[CARGA PARCIAL]]&lt;0,0,Tabela1[[#This Row],[CARGA PARCIAL]])+Tabela1[[#This Row],[REEMBOLSO]]</f>
        <v>0</v>
      </c>
      <c r="Q105" s="17"/>
      <c r="R105" s="17" t="s">
        <v>23</v>
      </c>
    </row>
    <row r="106" spans="2:18">
      <c r="B106" s="17" t="s">
        <v>297</v>
      </c>
      <c r="C106" s="17" t="s">
        <v>298</v>
      </c>
      <c r="D106" s="17" t="s">
        <v>19</v>
      </c>
      <c r="E106" s="17" t="s">
        <v>225</v>
      </c>
      <c r="F106" s="17" t="s">
        <v>95</v>
      </c>
      <c r="G106" s="17" t="s">
        <v>22</v>
      </c>
      <c r="H106" s="18">
        <v>323.31000000000347</v>
      </c>
      <c r="I106" s="18">
        <v>1325.3449999999993</v>
      </c>
      <c r="J106" s="18">
        <v>0</v>
      </c>
      <c r="K106" s="18">
        <v>1000</v>
      </c>
      <c r="L106" s="18">
        <v>331.35</v>
      </c>
      <c r="M106" s="18"/>
      <c r="N106" s="18">
        <f>Tabela1[[#This Row],[2ª QZ]]-Tabela1[[#This Row],[SALDO FINAL]]-Tabela1[[#This Row],[SALDO CARTAO]]-Tabela1[[#This Row],[Adiantamento ]]</f>
        <v>668.65</v>
      </c>
      <c r="O106" s="18"/>
      <c r="P106" s="18">
        <f>IF(Tabela1[[#This Row],[CARGA PARCIAL]]&lt;0,0,Tabela1[[#This Row],[CARGA PARCIAL]])+Tabela1[[#This Row],[REEMBOLSO]]</f>
        <v>668.65</v>
      </c>
      <c r="Q106" s="17"/>
      <c r="R106" s="17" t="s">
        <v>23</v>
      </c>
    </row>
    <row r="107" spans="2:18">
      <c r="B107" s="17" t="s">
        <v>299</v>
      </c>
      <c r="C107" s="17" t="s">
        <v>300</v>
      </c>
      <c r="D107" s="17" t="s">
        <v>19</v>
      </c>
      <c r="E107" s="17" t="s">
        <v>193</v>
      </c>
      <c r="F107" s="17" t="s">
        <v>21</v>
      </c>
      <c r="G107" s="17" t="s">
        <v>22</v>
      </c>
      <c r="H107" s="18">
        <v>1219.0400000000118</v>
      </c>
      <c r="I107" s="18">
        <v>0</v>
      </c>
      <c r="J107" s="18">
        <f>Tabela1[[#This Row],[SALDO PENDENTE PARCIAL]]-Tabela1[[#This Row],[CARGA 1 QZ]]</f>
        <v>1219.0400000000118</v>
      </c>
      <c r="K107" s="18">
        <v>400</v>
      </c>
      <c r="L107" s="18">
        <v>342</v>
      </c>
      <c r="M107" s="18"/>
      <c r="N107" s="18">
        <f>Tabela1[[#This Row],[2ª QZ]]-Tabela1[[#This Row],[SALDO FINAL]]-Tabela1[[#This Row],[SALDO CARTAO]]-Tabela1[[#This Row],[Adiantamento ]]</f>
        <v>-1161.0400000000118</v>
      </c>
      <c r="O107" s="18"/>
      <c r="P107" s="18">
        <f>IF(Tabela1[[#This Row],[CARGA PARCIAL]]&lt;0,0,Tabela1[[#This Row],[CARGA PARCIAL]])+Tabela1[[#This Row],[REEMBOLSO]]</f>
        <v>0</v>
      </c>
      <c r="Q107" s="17"/>
      <c r="R107" s="17" t="s">
        <v>23</v>
      </c>
    </row>
    <row r="108" spans="2:18">
      <c r="B108" s="17" t="s">
        <v>301</v>
      </c>
      <c r="C108" s="17" t="s">
        <v>302</v>
      </c>
      <c r="D108" s="17" t="s">
        <v>19</v>
      </c>
      <c r="E108" s="17" t="s">
        <v>303</v>
      </c>
      <c r="F108" s="17" t="s">
        <v>36</v>
      </c>
      <c r="G108" s="17" t="s">
        <v>37</v>
      </c>
      <c r="H108" s="18">
        <v>3836.8499999999563</v>
      </c>
      <c r="I108" s="18">
        <v>1197.1500000000378</v>
      </c>
      <c r="J108" s="18">
        <f>Tabela1[[#This Row],[SALDO PENDENTE PARCIAL]]-Tabela1[[#This Row],[CARGA 1 QZ]]</f>
        <v>2639.6999999999184</v>
      </c>
      <c r="K108" s="18">
        <v>3600</v>
      </c>
      <c r="L108" s="18">
        <v>62.15</v>
      </c>
      <c r="M108" s="18"/>
      <c r="N108" s="18">
        <f>Tabela1[[#This Row],[2ª QZ]]-Tabela1[[#This Row],[SALDO FINAL]]-Tabela1[[#This Row],[SALDO CARTAO]]-Tabela1[[#This Row],[Adiantamento ]]</f>
        <v>898.1500000000816</v>
      </c>
      <c r="O108" s="18"/>
      <c r="P108" s="18">
        <f>IF(Tabela1[[#This Row],[CARGA PARCIAL]]&lt;0,0,Tabela1[[#This Row],[CARGA PARCIAL]])+Tabela1[[#This Row],[REEMBOLSO]]</f>
        <v>898.1500000000816</v>
      </c>
      <c r="Q108" s="17"/>
      <c r="R108" s="17" t="s">
        <v>23</v>
      </c>
    </row>
    <row r="109" spans="2:18">
      <c r="B109" s="17" t="s">
        <v>304</v>
      </c>
      <c r="C109" s="17" t="s">
        <v>305</v>
      </c>
      <c r="D109" s="17" t="s">
        <v>19</v>
      </c>
      <c r="E109" s="17" t="s">
        <v>234</v>
      </c>
      <c r="F109" s="17" t="s">
        <v>41</v>
      </c>
      <c r="G109" s="17" t="s">
        <v>37</v>
      </c>
      <c r="H109" s="18">
        <v>-1282.8099999999909</v>
      </c>
      <c r="I109" s="18">
        <v>2574.9049999999979</v>
      </c>
      <c r="J109" s="18">
        <v>0</v>
      </c>
      <c r="K109" s="18">
        <v>2500</v>
      </c>
      <c r="L109" s="18">
        <v>423.31</v>
      </c>
      <c r="M109" s="18"/>
      <c r="N109" s="18">
        <f>Tabela1[[#This Row],[2ª QZ]]-Tabela1[[#This Row],[SALDO FINAL]]-Tabela1[[#This Row],[SALDO CARTAO]]-Tabela1[[#This Row],[Adiantamento ]]</f>
        <v>2076.69</v>
      </c>
      <c r="O109" s="18"/>
      <c r="P109" s="18">
        <f>IF(Tabela1[[#This Row],[CARGA PARCIAL]]&lt;0,0,Tabela1[[#This Row],[CARGA PARCIAL]])+Tabela1[[#This Row],[REEMBOLSO]]</f>
        <v>2076.69</v>
      </c>
      <c r="Q109" s="17"/>
      <c r="R109" s="17" t="s">
        <v>23</v>
      </c>
    </row>
    <row r="110" spans="2:18">
      <c r="B110" s="17" t="s">
        <v>306</v>
      </c>
      <c r="C110" s="17" t="s">
        <v>307</v>
      </c>
      <c r="D110" s="17" t="s">
        <v>19</v>
      </c>
      <c r="E110" s="17" t="s">
        <v>135</v>
      </c>
      <c r="F110" s="17" t="s">
        <v>36</v>
      </c>
      <c r="G110" s="17" t="s">
        <v>37</v>
      </c>
      <c r="H110" s="18">
        <v>4.9453774408902973E-12</v>
      </c>
      <c r="I110" s="18">
        <v>571.26999999999862</v>
      </c>
      <c r="J110" s="18">
        <v>0</v>
      </c>
      <c r="K110" s="18">
        <v>800</v>
      </c>
      <c r="L110" s="18">
        <v>150.06</v>
      </c>
      <c r="M110" s="18"/>
      <c r="N110" s="18">
        <f>Tabela1[[#This Row],[2ª QZ]]-Tabela1[[#This Row],[SALDO FINAL]]-Tabela1[[#This Row],[SALDO CARTAO]]-Tabela1[[#This Row],[Adiantamento ]]</f>
        <v>649.94000000000005</v>
      </c>
      <c r="O110" s="18"/>
      <c r="P110" s="18">
        <f>IF(Tabela1[[#This Row],[CARGA PARCIAL]]&lt;0,0,Tabela1[[#This Row],[CARGA PARCIAL]])+Tabela1[[#This Row],[REEMBOLSO]]</f>
        <v>649.94000000000005</v>
      </c>
      <c r="Q110" s="17"/>
      <c r="R110" s="17" t="s">
        <v>23</v>
      </c>
    </row>
    <row r="111" spans="2:18">
      <c r="B111" s="17" t="s">
        <v>308</v>
      </c>
      <c r="C111" s="17" t="s">
        <v>309</v>
      </c>
      <c r="D111" s="17" t="s">
        <v>19</v>
      </c>
      <c r="E111" s="17" t="s">
        <v>293</v>
      </c>
      <c r="F111" s="17" t="s">
        <v>69</v>
      </c>
      <c r="G111" s="17" t="s">
        <v>37</v>
      </c>
      <c r="H111" s="18">
        <v>166.89999999999998</v>
      </c>
      <c r="I111" s="18">
        <v>0</v>
      </c>
      <c r="J111" s="18">
        <f>Tabela1[[#This Row],[SALDO PENDENTE PARCIAL]]-Tabela1[[#This Row],[CARGA 1 QZ]]</f>
        <v>166.89999999999998</v>
      </c>
      <c r="K111" s="18">
        <v>800</v>
      </c>
      <c r="L111" s="18">
        <v>731.1</v>
      </c>
      <c r="M111" s="18"/>
      <c r="N111" s="18">
        <f>Tabela1[[#This Row],[2ª QZ]]-Tabela1[[#This Row],[SALDO FINAL]]-Tabela1[[#This Row],[SALDO CARTAO]]-Tabela1[[#This Row],[Adiantamento ]]</f>
        <v>-98</v>
      </c>
      <c r="O111" s="18"/>
      <c r="P111" s="18">
        <f>IF(Tabela1[[#This Row],[CARGA PARCIAL]]&lt;0,0,Tabela1[[#This Row],[CARGA PARCIAL]])+Tabela1[[#This Row],[REEMBOLSO]]</f>
        <v>0</v>
      </c>
      <c r="Q111" s="17"/>
      <c r="R111" s="17" t="s">
        <v>23</v>
      </c>
    </row>
    <row r="112" spans="2:18">
      <c r="B112" s="17" t="s">
        <v>310</v>
      </c>
      <c r="C112" s="17" t="s">
        <v>311</v>
      </c>
      <c r="D112" s="17" t="s">
        <v>19</v>
      </c>
      <c r="E112" s="17" t="s">
        <v>312</v>
      </c>
      <c r="F112" s="17" t="s">
        <v>69</v>
      </c>
      <c r="G112" s="17" t="s">
        <v>37</v>
      </c>
      <c r="H112" s="18">
        <v>1615.6300000000433</v>
      </c>
      <c r="I112" s="18">
        <v>1533.4399999999732</v>
      </c>
      <c r="J112" s="18">
        <f>Tabela1[[#This Row],[SALDO PENDENTE PARCIAL]]-Tabela1[[#This Row],[CARGA 1 QZ]]</f>
        <v>82.190000000070086</v>
      </c>
      <c r="K112" s="18">
        <v>2800</v>
      </c>
      <c r="L112" s="18">
        <v>4.4400000000000004</v>
      </c>
      <c r="M112" s="18"/>
      <c r="N112" s="18">
        <f>Tabela1[[#This Row],[2ª QZ]]-Tabela1[[#This Row],[SALDO FINAL]]-Tabela1[[#This Row],[SALDO CARTAO]]-Tabela1[[#This Row],[Adiantamento ]]</f>
        <v>2713.3699999999299</v>
      </c>
      <c r="O112" s="18"/>
      <c r="P112" s="18">
        <f>IF(Tabela1[[#This Row],[CARGA PARCIAL]]&lt;0,0,Tabela1[[#This Row],[CARGA PARCIAL]])+Tabela1[[#This Row],[REEMBOLSO]]</f>
        <v>2713.3699999999299</v>
      </c>
      <c r="Q112" s="17"/>
      <c r="R112" s="17" t="s">
        <v>23</v>
      </c>
    </row>
    <row r="113" spans="2:18">
      <c r="B113" s="17" t="s">
        <v>313</v>
      </c>
      <c r="C113" s="17" t="s">
        <v>314</v>
      </c>
      <c r="D113" s="17" t="s">
        <v>19</v>
      </c>
      <c r="E113" s="17" t="s">
        <v>26</v>
      </c>
      <c r="F113" s="17" t="s">
        <v>27</v>
      </c>
      <c r="G113" s="17" t="s">
        <v>22</v>
      </c>
      <c r="H113" s="18">
        <v>2570.9099999999771</v>
      </c>
      <c r="I113" s="18">
        <v>501.88000000001171</v>
      </c>
      <c r="J113" s="18">
        <f>Tabela1[[#This Row],[SALDO PENDENTE PARCIAL]]-Tabela1[[#This Row],[CARGA 1 QZ]]</f>
        <v>2069.0299999999652</v>
      </c>
      <c r="K113" s="18">
        <v>4000</v>
      </c>
      <c r="L113" s="18">
        <v>11.62</v>
      </c>
      <c r="M113" s="18"/>
      <c r="N113" s="18">
        <f>Tabela1[[#This Row],[2ª QZ]]-Tabela1[[#This Row],[SALDO FINAL]]-Tabela1[[#This Row],[SALDO CARTAO]]-Tabela1[[#This Row],[Adiantamento ]]</f>
        <v>1919.3500000000349</v>
      </c>
      <c r="O113" s="18"/>
      <c r="P113" s="18">
        <f>IF(Tabela1[[#This Row],[CARGA PARCIAL]]&lt;0,0,Tabela1[[#This Row],[CARGA PARCIAL]])+Tabela1[[#This Row],[REEMBOLSO]]</f>
        <v>1919.3500000000349</v>
      </c>
      <c r="Q113" s="17"/>
      <c r="R113" s="17" t="s">
        <v>23</v>
      </c>
    </row>
    <row r="114" spans="2:18">
      <c r="B114" s="17" t="s">
        <v>315</v>
      </c>
      <c r="C114" s="17" t="s">
        <v>316</v>
      </c>
      <c r="D114" s="17" t="s">
        <v>19</v>
      </c>
      <c r="E114" s="17" t="s">
        <v>44</v>
      </c>
      <c r="F114" s="17" t="s">
        <v>45</v>
      </c>
      <c r="G114" s="17" t="s">
        <v>37</v>
      </c>
      <c r="H114" s="18">
        <v>976.75999999999988</v>
      </c>
      <c r="I114" s="18">
        <v>0</v>
      </c>
      <c r="J114" s="18">
        <f>Tabela1[[#This Row],[SALDO PENDENTE PARCIAL]]-Tabela1[[#This Row],[CARGA 1 QZ]]</f>
        <v>976.75999999999988</v>
      </c>
      <c r="K114" s="18">
        <v>160</v>
      </c>
      <c r="L114" s="18">
        <v>2.34</v>
      </c>
      <c r="M114" s="18"/>
      <c r="N114" s="18">
        <f>Tabela1[[#This Row],[2ª QZ]]-Tabela1[[#This Row],[SALDO FINAL]]-Tabela1[[#This Row],[SALDO CARTAO]]-Tabela1[[#This Row],[Adiantamento ]]</f>
        <v>-819.09999999999991</v>
      </c>
      <c r="O114" s="18"/>
      <c r="P114" s="18">
        <f>IF(Tabela1[[#This Row],[CARGA PARCIAL]]&lt;0,0,Tabela1[[#This Row],[CARGA PARCIAL]])+Tabela1[[#This Row],[REEMBOLSO]]</f>
        <v>0</v>
      </c>
      <c r="Q114" s="17"/>
      <c r="R114" s="17" t="s">
        <v>23</v>
      </c>
    </row>
    <row r="115" spans="2:18">
      <c r="B115" s="17" t="s">
        <v>317</v>
      </c>
      <c r="C115" s="17" t="s">
        <v>318</v>
      </c>
      <c r="D115" s="17" t="s">
        <v>19</v>
      </c>
      <c r="E115" s="17" t="s">
        <v>290</v>
      </c>
      <c r="F115" s="17" t="s">
        <v>69</v>
      </c>
      <c r="G115" s="17" t="s">
        <v>37</v>
      </c>
      <c r="H115" s="18">
        <v>609.03000000000111</v>
      </c>
      <c r="I115" s="18">
        <v>0</v>
      </c>
      <c r="J115" s="18">
        <f>Tabela1[[#This Row],[SALDO PENDENTE PARCIAL]]-Tabela1[[#This Row],[CARGA 1 QZ]]</f>
        <v>609.03000000000111</v>
      </c>
      <c r="K115" s="18">
        <v>1500</v>
      </c>
      <c r="L115" s="18">
        <v>620.02</v>
      </c>
      <c r="M115" s="18"/>
      <c r="N115" s="18">
        <f>Tabela1[[#This Row],[2ª QZ]]-Tabela1[[#This Row],[SALDO FINAL]]-Tabela1[[#This Row],[SALDO CARTAO]]-Tabela1[[#This Row],[Adiantamento ]]</f>
        <v>270.94999999999891</v>
      </c>
      <c r="O115" s="18"/>
      <c r="P115" s="18">
        <f>IF(Tabela1[[#This Row],[CARGA PARCIAL]]&lt;0,0,Tabela1[[#This Row],[CARGA PARCIAL]])+Tabela1[[#This Row],[REEMBOLSO]]</f>
        <v>270.94999999999891</v>
      </c>
      <c r="Q115" s="17"/>
      <c r="R115" s="17" t="s">
        <v>23</v>
      </c>
    </row>
    <row r="116" spans="2:18">
      <c r="B116" s="17" t="s">
        <v>319</v>
      </c>
      <c r="C116" s="17" t="s">
        <v>320</v>
      </c>
      <c r="D116" s="17" t="s">
        <v>19</v>
      </c>
      <c r="E116" s="17" t="s">
        <v>321</v>
      </c>
      <c r="F116" s="17" t="s">
        <v>95</v>
      </c>
      <c r="G116" s="17" t="s">
        <v>22</v>
      </c>
      <c r="H116" s="18">
        <v>0</v>
      </c>
      <c r="I116" s="18">
        <v>2000</v>
      </c>
      <c r="J116" s="18">
        <v>0</v>
      </c>
      <c r="K116" s="18">
        <v>2000</v>
      </c>
      <c r="L116" s="18">
        <v>6000</v>
      </c>
      <c r="M116" s="18"/>
      <c r="N116" s="18">
        <f>Tabela1[[#This Row],[2ª QZ]]-Tabela1[[#This Row],[SALDO FINAL]]-Tabela1[[#This Row],[SALDO CARTAO]]-Tabela1[[#This Row],[Adiantamento ]]</f>
        <v>-4000</v>
      </c>
      <c r="O116" s="18"/>
      <c r="P116" s="18">
        <f>IF(Tabela1[[#This Row],[CARGA PARCIAL]]&lt;0,0,Tabela1[[#This Row],[CARGA PARCIAL]])+Tabela1[[#This Row],[REEMBOLSO]]</f>
        <v>0</v>
      </c>
      <c r="Q116" s="17"/>
      <c r="R116" s="17" t="s">
        <v>23</v>
      </c>
    </row>
    <row r="117" spans="2:18">
      <c r="B117" s="17" t="s">
        <v>322</v>
      </c>
      <c r="C117" s="17" t="s">
        <v>323</v>
      </c>
      <c r="D117" s="17" t="s">
        <v>19</v>
      </c>
      <c r="E117" s="17" t="s">
        <v>324</v>
      </c>
      <c r="F117" s="17" t="s">
        <v>41</v>
      </c>
      <c r="G117" s="17" t="s">
        <v>37</v>
      </c>
      <c r="H117" s="18">
        <v>1165.8899999999066</v>
      </c>
      <c r="I117" s="18">
        <v>1615.3300000000963</v>
      </c>
      <c r="J117" s="18">
        <v>0</v>
      </c>
      <c r="K117" s="18">
        <v>2800</v>
      </c>
      <c r="L117" s="18">
        <v>30.33</v>
      </c>
      <c r="M117" s="18"/>
      <c r="N117" s="18">
        <f>Tabela1[[#This Row],[2ª QZ]]-Tabela1[[#This Row],[SALDO FINAL]]-Tabela1[[#This Row],[SALDO CARTAO]]-Tabela1[[#This Row],[Adiantamento ]]</f>
        <v>2769.67</v>
      </c>
      <c r="O117" s="18"/>
      <c r="P117" s="18">
        <f>IF(Tabela1[[#This Row],[CARGA PARCIAL]]&lt;0,0,Tabela1[[#This Row],[CARGA PARCIAL]])+Tabela1[[#This Row],[REEMBOLSO]]</f>
        <v>2769.67</v>
      </c>
      <c r="Q117" s="17"/>
      <c r="R117" s="17" t="s">
        <v>23</v>
      </c>
    </row>
    <row r="118" spans="2:18">
      <c r="B118" s="17" t="s">
        <v>325</v>
      </c>
      <c r="C118" s="17" t="s">
        <v>326</v>
      </c>
      <c r="D118" s="17" t="s">
        <v>19</v>
      </c>
      <c r="E118" s="17" t="s">
        <v>327</v>
      </c>
      <c r="F118" s="17" t="s">
        <v>69</v>
      </c>
      <c r="G118" s="17" t="s">
        <v>37</v>
      </c>
      <c r="H118" s="18">
        <v>5604.9</v>
      </c>
      <c r="I118" s="18">
        <v>59.699999999999818</v>
      </c>
      <c r="J118" s="18">
        <f>Tabela1[[#This Row],[SALDO PENDENTE PARCIAL]]-Tabela1[[#This Row],[CARGA 1 QZ]]</f>
        <v>5545.2</v>
      </c>
      <c r="K118" s="18">
        <v>1500</v>
      </c>
      <c r="L118" s="18">
        <v>67.67</v>
      </c>
      <c r="M118" s="18"/>
      <c r="N118" s="18">
        <f>Tabela1[[#This Row],[2ª QZ]]-Tabela1[[#This Row],[SALDO FINAL]]-Tabela1[[#This Row],[SALDO CARTAO]]-Tabela1[[#This Row],[Adiantamento ]]</f>
        <v>-4112.87</v>
      </c>
      <c r="O118" s="18"/>
      <c r="P118" s="18">
        <f>IF(Tabela1[[#This Row],[CARGA PARCIAL]]&lt;0,0,Tabela1[[#This Row],[CARGA PARCIAL]])+Tabela1[[#This Row],[REEMBOLSO]]</f>
        <v>0</v>
      </c>
      <c r="Q118" s="17"/>
      <c r="R118" s="17" t="s">
        <v>23</v>
      </c>
    </row>
    <row r="119" spans="2:18">
      <c r="B119" s="17" t="s">
        <v>328</v>
      </c>
      <c r="C119" s="17" t="s">
        <v>329</v>
      </c>
      <c r="D119" s="17" t="s">
        <v>19</v>
      </c>
      <c r="E119" s="17" t="s">
        <v>330</v>
      </c>
      <c r="F119" s="17" t="s">
        <v>41</v>
      </c>
      <c r="G119" s="17" t="s">
        <v>37</v>
      </c>
      <c r="H119" s="18">
        <v>-350.45000000005444</v>
      </c>
      <c r="I119" s="18">
        <v>4493.0350000000508</v>
      </c>
      <c r="J119" s="18">
        <v>0</v>
      </c>
      <c r="K119" s="18">
        <v>2800</v>
      </c>
      <c r="L119" s="18">
        <v>6.04</v>
      </c>
      <c r="M119" s="18"/>
      <c r="N119" s="18">
        <f>Tabela1[[#This Row],[2ª QZ]]-Tabela1[[#This Row],[SALDO FINAL]]-Tabela1[[#This Row],[SALDO CARTAO]]-Tabela1[[#This Row],[Adiantamento ]]</f>
        <v>2793.96</v>
      </c>
      <c r="O119" s="18"/>
      <c r="P119" s="18">
        <f>IF(Tabela1[[#This Row],[CARGA PARCIAL]]&lt;0,0,Tabela1[[#This Row],[CARGA PARCIAL]])+Tabela1[[#This Row],[REEMBOLSO]]</f>
        <v>2793.96</v>
      </c>
      <c r="Q119" s="17"/>
      <c r="R119" s="17" t="s">
        <v>23</v>
      </c>
    </row>
    <row r="120" spans="2:18">
      <c r="B120" s="17" t="s">
        <v>331</v>
      </c>
      <c r="C120" s="17" t="s">
        <v>332</v>
      </c>
      <c r="D120" s="17" t="s">
        <v>19</v>
      </c>
      <c r="E120" s="17" t="s">
        <v>172</v>
      </c>
      <c r="F120" s="17" t="s">
        <v>36</v>
      </c>
      <c r="G120" s="17" t="s">
        <v>37</v>
      </c>
      <c r="H120" s="18">
        <v>0</v>
      </c>
      <c r="I120" s="18">
        <v>0</v>
      </c>
      <c r="J120" s="18">
        <v>600</v>
      </c>
      <c r="K120" s="18">
        <v>600</v>
      </c>
      <c r="L120" s="18">
        <v>0</v>
      </c>
      <c r="M120" s="18"/>
      <c r="N120" s="18">
        <f>Tabela1[[#This Row],[2ª QZ]]-Tabela1[[#This Row],[SALDO FINAL]]-Tabela1[[#This Row],[SALDO CARTAO]]-Tabela1[[#This Row],[Adiantamento ]]</f>
        <v>0</v>
      </c>
      <c r="O120" s="18"/>
      <c r="P120" s="18">
        <f>IF(Tabela1[[#This Row],[CARGA PARCIAL]]&lt;0,0,Tabela1[[#This Row],[CARGA PARCIAL]])+Tabela1[[#This Row],[REEMBOLSO]]</f>
        <v>0</v>
      </c>
      <c r="Q120" s="17"/>
      <c r="R120" s="17" t="s">
        <v>86</v>
      </c>
    </row>
    <row r="121" spans="2:18">
      <c r="B121" s="17" t="s">
        <v>333</v>
      </c>
      <c r="C121" s="17" t="s">
        <v>334</v>
      </c>
      <c r="D121" s="17" t="s">
        <v>19</v>
      </c>
      <c r="E121" s="17" t="s">
        <v>218</v>
      </c>
      <c r="F121" s="17" t="s">
        <v>36</v>
      </c>
      <c r="G121" s="17" t="s">
        <v>37</v>
      </c>
      <c r="H121" s="18">
        <v>93.920000000005018</v>
      </c>
      <c r="I121" s="18">
        <v>142.47499999999715</v>
      </c>
      <c r="J121" s="18">
        <v>0</v>
      </c>
      <c r="K121" s="18">
        <v>250</v>
      </c>
      <c r="L121" s="18">
        <v>150.56</v>
      </c>
      <c r="M121" s="18"/>
      <c r="N121" s="18">
        <f>Tabela1[[#This Row],[2ª QZ]]-Tabela1[[#This Row],[SALDO FINAL]]-Tabela1[[#This Row],[SALDO CARTAO]]-Tabela1[[#This Row],[Adiantamento ]]</f>
        <v>99.44</v>
      </c>
      <c r="O121" s="18"/>
      <c r="P121" s="18">
        <f>IF(Tabela1[[#This Row],[CARGA PARCIAL]]&lt;0,0,Tabela1[[#This Row],[CARGA PARCIAL]])+Tabela1[[#This Row],[REEMBOLSO]]</f>
        <v>99.44</v>
      </c>
      <c r="Q121" s="17"/>
      <c r="R121" s="17" t="s">
        <v>23</v>
      </c>
    </row>
    <row r="122" spans="2:18">
      <c r="B122" s="17" t="s">
        <v>335</v>
      </c>
      <c r="C122" s="17" t="s">
        <v>336</v>
      </c>
      <c r="D122" s="17" t="s">
        <v>19</v>
      </c>
      <c r="E122" s="17" t="s">
        <v>337</v>
      </c>
      <c r="F122" s="17" t="s">
        <v>36</v>
      </c>
      <c r="G122" s="17" t="s">
        <v>37</v>
      </c>
      <c r="H122" s="18">
        <v>1432.7900000000145</v>
      </c>
      <c r="I122" s="18">
        <v>600.8099999999904</v>
      </c>
      <c r="J122" s="18">
        <f>Tabela1[[#This Row],[SALDO PENDENTE PARCIAL]]-Tabela1[[#This Row],[CARGA 1 QZ]]</f>
        <v>831.98000000002412</v>
      </c>
      <c r="K122" s="18">
        <v>1500</v>
      </c>
      <c r="L122" s="18">
        <v>60.21</v>
      </c>
      <c r="M122" s="18"/>
      <c r="N122" s="18">
        <f>Tabela1[[#This Row],[2ª QZ]]-Tabela1[[#This Row],[SALDO FINAL]]-Tabela1[[#This Row],[SALDO CARTAO]]-Tabela1[[#This Row],[Adiantamento ]]</f>
        <v>607.80999999997584</v>
      </c>
      <c r="O122" s="18"/>
      <c r="P122" s="18">
        <f>IF(Tabela1[[#This Row],[CARGA PARCIAL]]&lt;0,0,Tabela1[[#This Row],[CARGA PARCIAL]])+Tabela1[[#This Row],[REEMBOLSO]]</f>
        <v>607.80999999997584</v>
      </c>
      <c r="Q122" s="17"/>
      <c r="R122" s="17" t="s">
        <v>23</v>
      </c>
    </row>
    <row r="123" spans="2:18">
      <c r="B123" s="17" t="s">
        <v>338</v>
      </c>
      <c r="C123" s="17" t="s">
        <v>339</v>
      </c>
      <c r="D123" s="17" t="s">
        <v>19</v>
      </c>
      <c r="E123" s="17" t="s">
        <v>54</v>
      </c>
      <c r="F123" s="17" t="s">
        <v>55</v>
      </c>
      <c r="G123" s="17" t="s">
        <v>22</v>
      </c>
      <c r="H123" s="18">
        <v>1999.4199999999837</v>
      </c>
      <c r="I123" s="18">
        <v>1958.5300000000057</v>
      </c>
      <c r="J123" s="18">
        <f>Tabela1[[#This Row],[SALDO PENDENTE PARCIAL]]-Tabela1[[#This Row],[CARGA 1 QZ]]</f>
        <v>40.889999999978045</v>
      </c>
      <c r="K123" s="18">
        <v>2000</v>
      </c>
      <c r="L123" s="18">
        <v>8</v>
      </c>
      <c r="M123" s="18"/>
      <c r="N123" s="18">
        <f>Tabela1[[#This Row],[2ª QZ]]-Tabela1[[#This Row],[SALDO FINAL]]-Tabela1[[#This Row],[SALDO CARTAO]]-Tabela1[[#This Row],[Adiantamento ]]</f>
        <v>1951.110000000022</v>
      </c>
      <c r="O123" s="18"/>
      <c r="P123" s="18">
        <f>IF(Tabela1[[#This Row],[CARGA PARCIAL]]&lt;0,0,Tabela1[[#This Row],[CARGA PARCIAL]])+Tabela1[[#This Row],[REEMBOLSO]]</f>
        <v>1951.110000000022</v>
      </c>
      <c r="Q123" s="17"/>
      <c r="R123" s="17" t="s">
        <v>23</v>
      </c>
    </row>
    <row r="124" spans="2:18">
      <c r="B124" s="17" t="s">
        <v>340</v>
      </c>
      <c r="C124" s="17" t="s">
        <v>341</v>
      </c>
      <c r="D124" s="17" t="s">
        <v>19</v>
      </c>
      <c r="E124" s="17" t="s">
        <v>342</v>
      </c>
      <c r="F124" s="17" t="s">
        <v>21</v>
      </c>
      <c r="G124" s="17" t="s">
        <v>22</v>
      </c>
      <c r="H124" s="18">
        <v>-491.39000000000613</v>
      </c>
      <c r="I124" s="18">
        <v>51.250000000010694</v>
      </c>
      <c r="J124" s="18">
        <v>0</v>
      </c>
      <c r="K124" s="18">
        <v>2500</v>
      </c>
      <c r="L124" s="18">
        <v>7.86</v>
      </c>
      <c r="M124" s="18"/>
      <c r="N124" s="18">
        <f>Tabela1[[#This Row],[2ª QZ]]-Tabela1[[#This Row],[SALDO FINAL]]-Tabela1[[#This Row],[SALDO CARTAO]]-Tabela1[[#This Row],[Adiantamento ]]</f>
        <v>2492.14</v>
      </c>
      <c r="O124" s="18"/>
      <c r="P124" s="18">
        <f>IF(Tabela1[[#This Row],[CARGA PARCIAL]]&lt;0,0,Tabela1[[#This Row],[CARGA PARCIAL]])+Tabela1[[#This Row],[REEMBOLSO]]</f>
        <v>2492.14</v>
      </c>
      <c r="Q124" s="17"/>
      <c r="R124" s="17" t="s">
        <v>23</v>
      </c>
    </row>
    <row r="125" spans="2:18">
      <c r="B125" s="17" t="s">
        <v>343</v>
      </c>
      <c r="C125" s="17" t="s">
        <v>344</v>
      </c>
      <c r="D125" s="17" t="s">
        <v>19</v>
      </c>
      <c r="E125" s="17" t="s">
        <v>193</v>
      </c>
      <c r="F125" s="17" t="s">
        <v>21</v>
      </c>
      <c r="G125" s="17" t="s">
        <v>22</v>
      </c>
      <c r="H125" s="18">
        <v>1486.7899999999881</v>
      </c>
      <c r="I125" s="18">
        <v>583.09000000001015</v>
      </c>
      <c r="J125" s="18">
        <f>Tabela1[[#This Row],[SALDO PENDENTE PARCIAL]]-Tabela1[[#This Row],[CARGA 1 QZ]]</f>
        <v>903.69999999997799</v>
      </c>
      <c r="K125" s="18">
        <v>3200</v>
      </c>
      <c r="L125" s="18">
        <v>7.08</v>
      </c>
      <c r="M125" s="18"/>
      <c r="N125" s="18">
        <f>Tabela1[[#This Row],[2ª QZ]]-Tabela1[[#This Row],[SALDO FINAL]]-Tabela1[[#This Row],[SALDO CARTAO]]-Tabela1[[#This Row],[Adiantamento ]]</f>
        <v>2289.2200000000221</v>
      </c>
      <c r="O125" s="18"/>
      <c r="P125" s="18">
        <f>IF(Tabela1[[#This Row],[CARGA PARCIAL]]&lt;0,0,Tabela1[[#This Row],[CARGA PARCIAL]])+Tabela1[[#This Row],[REEMBOLSO]]</f>
        <v>2289.2200000000221</v>
      </c>
      <c r="Q125" s="17"/>
      <c r="R125" s="17" t="s">
        <v>23</v>
      </c>
    </row>
    <row r="126" spans="2:18">
      <c r="B126" s="17" t="s">
        <v>345</v>
      </c>
      <c r="C126" s="17" t="s">
        <v>346</v>
      </c>
      <c r="D126" s="17" t="s">
        <v>19</v>
      </c>
      <c r="E126" s="17" t="s">
        <v>347</v>
      </c>
      <c r="F126" s="17" t="s">
        <v>95</v>
      </c>
      <c r="G126" s="17" t="s">
        <v>22</v>
      </c>
      <c r="H126" s="18">
        <v>400</v>
      </c>
      <c r="I126" s="18">
        <v>0</v>
      </c>
      <c r="J126" s="18">
        <f>Tabela1[[#This Row],[SALDO PENDENTE PARCIAL]]-Tabela1[[#This Row],[CARGA 1 QZ]]</f>
        <v>400</v>
      </c>
      <c r="K126" s="18">
        <v>2000</v>
      </c>
      <c r="L126" s="18">
        <v>956</v>
      </c>
      <c r="M126" s="18"/>
      <c r="N126" s="18">
        <f>Tabela1[[#This Row],[2ª QZ]]-Tabela1[[#This Row],[SALDO FINAL]]-Tabela1[[#This Row],[SALDO CARTAO]]-Tabela1[[#This Row],[Adiantamento ]]</f>
        <v>644</v>
      </c>
      <c r="O126" s="18"/>
      <c r="P126" s="18">
        <f>IF(Tabela1[[#This Row],[CARGA PARCIAL]]&lt;0,0,Tabela1[[#This Row],[CARGA PARCIAL]])+Tabela1[[#This Row],[REEMBOLSO]]</f>
        <v>644</v>
      </c>
      <c r="Q126" s="17"/>
      <c r="R126" s="17" t="s">
        <v>23</v>
      </c>
    </row>
    <row r="127" spans="2:18">
      <c r="B127" s="17" t="s">
        <v>348</v>
      </c>
      <c r="C127" s="17" t="s">
        <v>349</v>
      </c>
      <c r="D127" s="17" t="s">
        <v>19</v>
      </c>
      <c r="E127" s="17" t="s">
        <v>350</v>
      </c>
      <c r="F127" s="17" t="s">
        <v>21</v>
      </c>
      <c r="G127" s="17" t="s">
        <v>22</v>
      </c>
      <c r="H127" s="18">
        <v>1646.4799999999523</v>
      </c>
      <c r="I127" s="18">
        <v>1949.1700000000301</v>
      </c>
      <c r="J127" s="18">
        <v>0</v>
      </c>
      <c r="K127" s="18">
        <v>4900</v>
      </c>
      <c r="L127" s="18">
        <v>356.25</v>
      </c>
      <c r="M127" s="18"/>
      <c r="N127" s="18">
        <f>Tabela1[[#This Row],[2ª QZ]]-Tabela1[[#This Row],[SALDO FINAL]]-Tabela1[[#This Row],[SALDO CARTAO]]-Tabela1[[#This Row],[Adiantamento ]]</f>
        <v>4543.75</v>
      </c>
      <c r="O127" s="18"/>
      <c r="P127" s="18">
        <f>IF(Tabela1[[#This Row],[CARGA PARCIAL]]&lt;0,0,Tabela1[[#This Row],[CARGA PARCIAL]])+Tabela1[[#This Row],[REEMBOLSO]]</f>
        <v>4543.75</v>
      </c>
      <c r="Q127" s="17"/>
      <c r="R127" s="17" t="s">
        <v>23</v>
      </c>
    </row>
    <row r="128" spans="2:18">
      <c r="B128" s="17" t="s">
        <v>351</v>
      </c>
      <c r="C128" s="17" t="s">
        <v>352</v>
      </c>
      <c r="D128" s="17" t="s">
        <v>19</v>
      </c>
      <c r="E128" s="17" t="s">
        <v>75</v>
      </c>
      <c r="F128" s="17" t="s">
        <v>41</v>
      </c>
      <c r="G128" s="17" t="s">
        <v>37</v>
      </c>
      <c r="H128" s="18">
        <v>881</v>
      </c>
      <c r="I128" s="18">
        <v>0</v>
      </c>
      <c r="J128" s="18">
        <f>Tabela1[[#This Row],[SALDO PENDENTE PARCIAL]]-Tabela1[[#This Row],[CARGA 1 QZ]]</f>
        <v>881</v>
      </c>
      <c r="K128" s="18">
        <v>120</v>
      </c>
      <c r="L128" s="18">
        <v>0</v>
      </c>
      <c r="M128" s="18"/>
      <c r="N128" s="18">
        <f>Tabela1[[#This Row],[2ª QZ]]-Tabela1[[#This Row],[SALDO FINAL]]-Tabela1[[#This Row],[SALDO CARTAO]]-Tabela1[[#This Row],[Adiantamento ]]</f>
        <v>-761</v>
      </c>
      <c r="O128" s="18"/>
      <c r="P128" s="18">
        <f>IF(Tabela1[[#This Row],[CARGA PARCIAL]]&lt;0,0,Tabela1[[#This Row],[CARGA PARCIAL]])+Tabela1[[#This Row],[REEMBOLSO]]</f>
        <v>0</v>
      </c>
      <c r="Q128" s="17"/>
      <c r="R128" s="17" t="s">
        <v>23</v>
      </c>
    </row>
    <row r="129" spans="2:18">
      <c r="B129" s="17" t="s">
        <v>353</v>
      </c>
      <c r="C129" s="17" t="s">
        <v>354</v>
      </c>
      <c r="D129" s="17" t="s">
        <v>19</v>
      </c>
      <c r="E129" s="17" t="s">
        <v>20</v>
      </c>
      <c r="F129" s="17" t="s">
        <v>21</v>
      </c>
      <c r="G129" s="17" t="s">
        <v>22</v>
      </c>
      <c r="H129" s="18">
        <v>228.56000000000404</v>
      </c>
      <c r="I129" s="18">
        <v>2827.3400000000111</v>
      </c>
      <c r="J129" s="18">
        <v>0</v>
      </c>
      <c r="K129" s="18">
        <v>4000</v>
      </c>
      <c r="L129" s="18">
        <v>1267.96</v>
      </c>
      <c r="M129" s="18"/>
      <c r="N129" s="18">
        <f>Tabela1[[#This Row],[2ª QZ]]-Tabela1[[#This Row],[SALDO FINAL]]-Tabela1[[#This Row],[SALDO CARTAO]]-Tabela1[[#This Row],[Adiantamento ]]</f>
        <v>2732.04</v>
      </c>
      <c r="O129" s="18"/>
      <c r="P129" s="18">
        <f>IF(Tabela1[[#This Row],[CARGA PARCIAL]]&lt;0,0,Tabela1[[#This Row],[CARGA PARCIAL]])+Tabela1[[#This Row],[REEMBOLSO]]</f>
        <v>2732.04</v>
      </c>
      <c r="Q129" s="17"/>
      <c r="R129" s="17" t="s">
        <v>23</v>
      </c>
    </row>
    <row r="130" spans="2:18">
      <c r="B130" s="17" t="s">
        <v>355</v>
      </c>
      <c r="C130" s="17" t="s">
        <v>356</v>
      </c>
      <c r="D130" s="17" t="s">
        <v>19</v>
      </c>
      <c r="E130" s="17" t="s">
        <v>54</v>
      </c>
      <c r="F130" s="17" t="s">
        <v>55</v>
      </c>
      <c r="G130" s="17" t="s">
        <v>22</v>
      </c>
      <c r="H130" s="18">
        <v>1390.4999999999964</v>
      </c>
      <c r="I130" s="18">
        <v>0</v>
      </c>
      <c r="J130" s="18">
        <f>Tabela1[[#This Row],[SALDO PENDENTE PARCIAL]]-Tabela1[[#This Row],[CARGA 1 QZ]]</f>
        <v>1390.4999999999964</v>
      </c>
      <c r="K130" s="18">
        <v>1000</v>
      </c>
      <c r="L130" s="18">
        <v>0</v>
      </c>
      <c r="M130" s="18"/>
      <c r="N130" s="18">
        <f>Tabela1[[#This Row],[2ª QZ]]-Tabela1[[#This Row],[SALDO FINAL]]-Tabela1[[#This Row],[SALDO CARTAO]]-Tabela1[[#This Row],[Adiantamento ]]</f>
        <v>-390.49999999999636</v>
      </c>
      <c r="O130" s="18"/>
      <c r="P130" s="18">
        <f>IF(Tabela1[[#This Row],[CARGA PARCIAL]]&lt;0,0,Tabela1[[#This Row],[CARGA PARCIAL]])+Tabela1[[#This Row],[REEMBOLSO]]</f>
        <v>0</v>
      </c>
      <c r="Q130" s="17"/>
      <c r="R130" s="17" t="s">
        <v>23</v>
      </c>
    </row>
    <row r="131" spans="2:18">
      <c r="B131" s="17" t="s">
        <v>357</v>
      </c>
      <c r="C131" s="17" t="s">
        <v>358</v>
      </c>
      <c r="D131" s="17" t="s">
        <v>19</v>
      </c>
      <c r="E131" s="17" t="s">
        <v>91</v>
      </c>
      <c r="F131" s="17" t="s">
        <v>45</v>
      </c>
      <c r="G131" s="17" t="s">
        <v>37</v>
      </c>
      <c r="H131" s="18">
        <v>184.7</v>
      </c>
      <c r="I131" s="18">
        <v>0</v>
      </c>
      <c r="J131" s="18">
        <f>Tabela1[[#This Row],[SALDO PENDENTE PARCIAL]]-Tabela1[[#This Row],[CARGA 1 QZ]]</f>
        <v>184.7</v>
      </c>
      <c r="K131" s="18">
        <v>100</v>
      </c>
      <c r="L131" s="18">
        <v>0</v>
      </c>
      <c r="M131" s="18"/>
      <c r="N131" s="18">
        <f>Tabela1[[#This Row],[2ª QZ]]-Tabela1[[#This Row],[SALDO FINAL]]-Tabela1[[#This Row],[SALDO CARTAO]]-Tabela1[[#This Row],[Adiantamento ]]</f>
        <v>-84.699999999999989</v>
      </c>
      <c r="O131" s="18"/>
      <c r="P131" s="18">
        <f>IF(Tabela1[[#This Row],[CARGA PARCIAL]]&lt;0,0,Tabela1[[#This Row],[CARGA PARCIAL]])+Tabela1[[#This Row],[REEMBOLSO]]</f>
        <v>0</v>
      </c>
      <c r="Q131" s="17"/>
      <c r="R131" s="17" t="s">
        <v>23</v>
      </c>
    </row>
    <row r="132" spans="2:18">
      <c r="B132" s="17" t="s">
        <v>359</v>
      </c>
      <c r="C132" s="17" t="s">
        <v>360</v>
      </c>
      <c r="D132" s="17" t="s">
        <v>19</v>
      </c>
      <c r="E132" s="17" t="s">
        <v>85</v>
      </c>
      <c r="F132" s="17" t="s">
        <v>69</v>
      </c>
      <c r="G132" s="17" t="s">
        <v>37</v>
      </c>
      <c r="H132" s="18">
        <v>595.96999999999969</v>
      </c>
      <c r="I132" s="18">
        <v>234.66000000000008</v>
      </c>
      <c r="J132" s="18">
        <f>Tabela1[[#This Row],[SALDO PENDENTE PARCIAL]]-Tabela1[[#This Row],[CARGA 1 QZ]]</f>
        <v>361.3099999999996</v>
      </c>
      <c r="K132" s="18">
        <v>1500</v>
      </c>
      <c r="L132" s="18">
        <v>13.66</v>
      </c>
      <c r="M132" s="18"/>
      <c r="N132" s="18">
        <f>Tabela1[[#This Row],[2ª QZ]]-Tabela1[[#This Row],[SALDO FINAL]]-Tabela1[[#This Row],[SALDO CARTAO]]-Tabela1[[#This Row],[Adiantamento ]]</f>
        <v>1125.0300000000004</v>
      </c>
      <c r="O132" s="18"/>
      <c r="P132" s="18">
        <f>IF(Tabela1[[#This Row],[CARGA PARCIAL]]&lt;0,0,Tabela1[[#This Row],[CARGA PARCIAL]])+Tabela1[[#This Row],[REEMBOLSO]]</f>
        <v>1125.0300000000004</v>
      </c>
      <c r="Q132" s="17"/>
      <c r="R132" s="17" t="s">
        <v>23</v>
      </c>
    </row>
    <row r="133" spans="2:18">
      <c r="B133" s="17" t="s">
        <v>361</v>
      </c>
      <c r="C133" s="17" t="s">
        <v>362</v>
      </c>
      <c r="D133" s="17" t="s">
        <v>19</v>
      </c>
      <c r="E133" s="17" t="s">
        <v>44</v>
      </c>
      <c r="F133" s="17" t="s">
        <v>45</v>
      </c>
      <c r="G133" s="17" t="s">
        <v>37</v>
      </c>
      <c r="H133" s="18">
        <v>179.99999999999994</v>
      </c>
      <c r="I133" s="18">
        <v>0</v>
      </c>
      <c r="J133" s="18">
        <f>Tabela1[[#This Row],[SALDO PENDENTE PARCIAL]]-Tabela1[[#This Row],[CARGA 1 QZ]]</f>
        <v>179.99999999999994</v>
      </c>
      <c r="K133" s="18">
        <v>120</v>
      </c>
      <c r="L133" s="18">
        <v>75.81</v>
      </c>
      <c r="M133" s="18"/>
      <c r="N133" s="18">
        <f>Tabela1[[#This Row],[2ª QZ]]-Tabela1[[#This Row],[SALDO FINAL]]-Tabela1[[#This Row],[SALDO CARTAO]]-Tabela1[[#This Row],[Adiantamento ]]</f>
        <v>-135.80999999999995</v>
      </c>
      <c r="O133" s="18"/>
      <c r="P133" s="18">
        <f>IF(Tabela1[[#This Row],[CARGA PARCIAL]]&lt;0,0,Tabela1[[#This Row],[CARGA PARCIAL]])+Tabela1[[#This Row],[REEMBOLSO]]</f>
        <v>0</v>
      </c>
      <c r="Q133" s="17"/>
      <c r="R133" s="17" t="s">
        <v>23</v>
      </c>
    </row>
    <row r="134" spans="2:18">
      <c r="B134" s="17" t="s">
        <v>363</v>
      </c>
      <c r="C134" s="17" t="s">
        <v>364</v>
      </c>
      <c r="D134" s="17" t="s">
        <v>19</v>
      </c>
      <c r="E134" s="17" t="s">
        <v>365</v>
      </c>
      <c r="F134" s="17" t="s">
        <v>27</v>
      </c>
      <c r="G134" s="17" t="s">
        <v>22</v>
      </c>
      <c r="H134" s="18">
        <v>1347.4800000000005</v>
      </c>
      <c r="I134" s="18">
        <v>341.58999999999912</v>
      </c>
      <c r="J134" s="18">
        <f>Tabela1[[#This Row],[SALDO PENDENTE PARCIAL]]-Tabela1[[#This Row],[CARGA 1 QZ]]</f>
        <v>1005.8900000000014</v>
      </c>
      <c r="K134" s="18">
        <v>2000</v>
      </c>
      <c r="L134" s="18">
        <v>645.52</v>
      </c>
      <c r="M134" s="18"/>
      <c r="N134" s="18">
        <f>Tabela1[[#This Row],[2ª QZ]]-Tabela1[[#This Row],[SALDO FINAL]]-Tabela1[[#This Row],[SALDO CARTAO]]-Tabela1[[#This Row],[Adiantamento ]]</f>
        <v>348.58999999999867</v>
      </c>
      <c r="O134" s="18"/>
      <c r="P134" s="18">
        <f>IF(Tabela1[[#This Row],[CARGA PARCIAL]]&lt;0,0,Tabela1[[#This Row],[CARGA PARCIAL]])+Tabela1[[#This Row],[REEMBOLSO]]</f>
        <v>348.58999999999867</v>
      </c>
      <c r="Q134" s="17"/>
      <c r="R134" s="17" t="s">
        <v>23</v>
      </c>
    </row>
    <row r="135" spans="2:18">
      <c r="B135" s="17" t="s">
        <v>366</v>
      </c>
      <c r="C135" s="17" t="s">
        <v>367</v>
      </c>
      <c r="D135" s="17" t="s">
        <v>19</v>
      </c>
      <c r="E135" s="17" t="s">
        <v>106</v>
      </c>
      <c r="F135" s="17" t="s">
        <v>41</v>
      </c>
      <c r="G135" s="17" t="s">
        <v>37</v>
      </c>
      <c r="H135" s="18">
        <v>-543.82000000000085</v>
      </c>
      <c r="I135" s="18">
        <v>506.79000000000013</v>
      </c>
      <c r="J135" s="18">
        <v>0</v>
      </c>
      <c r="K135" s="18">
        <v>500</v>
      </c>
      <c r="L135" s="18">
        <v>256.91000000000003</v>
      </c>
      <c r="M135" s="18"/>
      <c r="N135" s="18">
        <f>Tabela1[[#This Row],[2ª QZ]]-Tabela1[[#This Row],[SALDO FINAL]]-Tabela1[[#This Row],[SALDO CARTAO]]-Tabela1[[#This Row],[Adiantamento ]]</f>
        <v>243.08999999999997</v>
      </c>
      <c r="O135" s="18"/>
      <c r="P135" s="18">
        <f>IF(Tabela1[[#This Row],[CARGA PARCIAL]]&lt;0,0,Tabela1[[#This Row],[CARGA PARCIAL]])+Tabela1[[#This Row],[REEMBOLSO]]</f>
        <v>243.08999999999997</v>
      </c>
      <c r="Q135" s="17"/>
      <c r="R135" s="17" t="s">
        <v>23</v>
      </c>
    </row>
    <row r="136" spans="2:18">
      <c r="B136" s="17" t="s">
        <v>368</v>
      </c>
      <c r="C136" s="17" t="s">
        <v>369</v>
      </c>
      <c r="D136" s="17" t="s">
        <v>19</v>
      </c>
      <c r="E136" s="17" t="s">
        <v>370</v>
      </c>
      <c r="F136" s="17" t="s">
        <v>69</v>
      </c>
      <c r="G136" s="17" t="s">
        <v>37</v>
      </c>
      <c r="H136" s="18">
        <v>989</v>
      </c>
      <c r="I136" s="18">
        <v>0</v>
      </c>
      <c r="J136" s="18">
        <f>Tabela1[[#This Row],[SALDO PENDENTE PARCIAL]]-Tabela1[[#This Row],[CARGA 1 QZ]]</f>
        <v>989</v>
      </c>
      <c r="K136" s="18">
        <v>500</v>
      </c>
      <c r="L136" s="18">
        <v>4</v>
      </c>
      <c r="M136" s="18"/>
      <c r="N136" s="18">
        <f>Tabela1[[#This Row],[2ª QZ]]-Tabela1[[#This Row],[SALDO FINAL]]-Tabela1[[#This Row],[SALDO CARTAO]]-Tabela1[[#This Row],[Adiantamento ]]</f>
        <v>-493</v>
      </c>
      <c r="O136" s="18"/>
      <c r="P136" s="18">
        <f>IF(Tabela1[[#This Row],[CARGA PARCIAL]]&lt;0,0,Tabela1[[#This Row],[CARGA PARCIAL]])+Tabela1[[#This Row],[REEMBOLSO]]</f>
        <v>0</v>
      </c>
      <c r="Q136" s="17"/>
      <c r="R136" s="17" t="s">
        <v>23</v>
      </c>
    </row>
    <row r="137" spans="2:18">
      <c r="B137" s="17" t="s">
        <v>371</v>
      </c>
      <c r="C137" s="17" t="s">
        <v>372</v>
      </c>
      <c r="D137" s="17" t="s">
        <v>19</v>
      </c>
      <c r="E137" s="17" t="s">
        <v>373</v>
      </c>
      <c r="F137" s="17" t="s">
        <v>27</v>
      </c>
      <c r="G137" s="17" t="s">
        <v>22</v>
      </c>
      <c r="H137" s="18">
        <v>-283.16000000003987</v>
      </c>
      <c r="I137" s="18">
        <v>2079.0000000000146</v>
      </c>
      <c r="J137" s="18">
        <v>0</v>
      </c>
      <c r="K137" s="18">
        <v>2000</v>
      </c>
      <c r="L137" s="18">
        <v>87</v>
      </c>
      <c r="M137" s="18"/>
      <c r="N137" s="18">
        <f>Tabela1[[#This Row],[2ª QZ]]-Tabela1[[#This Row],[SALDO FINAL]]-Tabela1[[#This Row],[SALDO CARTAO]]-Tabela1[[#This Row],[Adiantamento ]]</f>
        <v>1913</v>
      </c>
      <c r="O137" s="18"/>
      <c r="P137" s="18">
        <f>IF(Tabela1[[#This Row],[CARGA PARCIAL]]&lt;0,0,Tabela1[[#This Row],[CARGA PARCIAL]])+Tabela1[[#This Row],[REEMBOLSO]]</f>
        <v>1913</v>
      </c>
      <c r="Q137" s="17"/>
      <c r="R137" s="17" t="s">
        <v>23</v>
      </c>
    </row>
    <row r="138" spans="2:18">
      <c r="B138" s="17" t="s">
        <v>374</v>
      </c>
      <c r="C138" s="17" t="s">
        <v>375</v>
      </c>
      <c r="D138" s="17" t="s">
        <v>19</v>
      </c>
      <c r="E138" s="17" t="s">
        <v>85</v>
      </c>
      <c r="F138" s="17" t="s">
        <v>69</v>
      </c>
      <c r="G138" s="17" t="s">
        <v>37</v>
      </c>
      <c r="H138" s="18">
        <v>2164.56</v>
      </c>
      <c r="I138" s="18">
        <v>0</v>
      </c>
      <c r="J138" s="18">
        <f>Tabela1[[#This Row],[SALDO PENDENTE PARCIAL]]-Tabela1[[#This Row],[CARGA 1 QZ]]</f>
        <v>2164.56</v>
      </c>
      <c r="K138" s="18">
        <v>1500</v>
      </c>
      <c r="L138" s="18">
        <v>21.78</v>
      </c>
      <c r="M138" s="18"/>
      <c r="N138" s="18">
        <f>Tabela1[[#This Row],[2ª QZ]]-Tabela1[[#This Row],[SALDO FINAL]]-Tabela1[[#This Row],[SALDO CARTAO]]-Tabela1[[#This Row],[Adiantamento ]]</f>
        <v>-686.33999999999992</v>
      </c>
      <c r="O138" s="18"/>
      <c r="P138" s="18">
        <f>IF(Tabela1[[#This Row],[CARGA PARCIAL]]&lt;0,0,Tabela1[[#This Row],[CARGA PARCIAL]])+Tabela1[[#This Row],[REEMBOLSO]]</f>
        <v>0</v>
      </c>
      <c r="Q138" s="17"/>
      <c r="R138" s="17" t="s">
        <v>23</v>
      </c>
    </row>
    <row r="139" spans="2:18">
      <c r="B139" s="17" t="s">
        <v>376</v>
      </c>
      <c r="C139" s="17" t="s">
        <v>377</v>
      </c>
      <c r="D139" s="17" t="s">
        <v>19</v>
      </c>
      <c r="E139" s="17" t="s">
        <v>378</v>
      </c>
      <c r="F139" s="17" t="s">
        <v>169</v>
      </c>
      <c r="G139" s="17" t="s">
        <v>32</v>
      </c>
      <c r="H139" s="18">
        <v>-457.02000000003665</v>
      </c>
      <c r="I139" s="18">
        <v>3145.0850000000191</v>
      </c>
      <c r="J139" s="18">
        <v>0</v>
      </c>
      <c r="K139" s="18">
        <v>2000</v>
      </c>
      <c r="L139" s="18">
        <v>16.09</v>
      </c>
      <c r="M139" s="18"/>
      <c r="N139" s="18">
        <f>Tabela1[[#This Row],[2ª QZ]]-Tabela1[[#This Row],[SALDO FINAL]]-Tabela1[[#This Row],[SALDO CARTAO]]-Tabela1[[#This Row],[Adiantamento ]]</f>
        <v>1983.91</v>
      </c>
      <c r="O139" s="18"/>
      <c r="P139" s="18">
        <f>IF(Tabela1[[#This Row],[CARGA PARCIAL]]&lt;0,0,Tabela1[[#This Row],[CARGA PARCIAL]])+Tabela1[[#This Row],[REEMBOLSO]]</f>
        <v>1983.91</v>
      </c>
      <c r="Q139" s="17"/>
      <c r="R139" s="17" t="s">
        <v>23</v>
      </c>
    </row>
    <row r="140" spans="2:18">
      <c r="B140" s="17" t="s">
        <v>379</v>
      </c>
      <c r="C140" s="17" t="s">
        <v>380</v>
      </c>
      <c r="D140" s="17" t="s">
        <v>19</v>
      </c>
      <c r="E140" s="17" t="s">
        <v>135</v>
      </c>
      <c r="F140" s="17" t="s">
        <v>36</v>
      </c>
      <c r="G140" s="17" t="s">
        <v>37</v>
      </c>
      <c r="H140" s="18">
        <v>2013.9499999999998</v>
      </c>
      <c r="I140" s="18">
        <v>0</v>
      </c>
      <c r="J140" s="18">
        <f>Tabela1[[#This Row],[SALDO PENDENTE PARCIAL]]-Tabela1[[#This Row],[CARGA 1 QZ]]</f>
        <v>2013.9499999999998</v>
      </c>
      <c r="K140" s="18">
        <v>1600</v>
      </c>
      <c r="L140" s="18">
        <v>93.29</v>
      </c>
      <c r="M140" s="18"/>
      <c r="N140" s="18">
        <f>Tabela1[[#This Row],[2ª QZ]]-Tabela1[[#This Row],[SALDO FINAL]]-Tabela1[[#This Row],[SALDO CARTAO]]-Tabela1[[#This Row],[Adiantamento ]]</f>
        <v>-507.23999999999984</v>
      </c>
      <c r="O140" s="18"/>
      <c r="P140" s="18">
        <f>IF(Tabela1[[#This Row],[CARGA PARCIAL]]&lt;0,0,Tabela1[[#This Row],[CARGA PARCIAL]])+Tabela1[[#This Row],[REEMBOLSO]]</f>
        <v>0</v>
      </c>
      <c r="Q140" s="17"/>
      <c r="R140" s="17" t="s">
        <v>23</v>
      </c>
    </row>
    <row r="141" spans="2:18">
      <c r="B141" s="17" t="s">
        <v>381</v>
      </c>
      <c r="C141" s="17" t="s">
        <v>382</v>
      </c>
      <c r="D141" s="17" t="s">
        <v>19</v>
      </c>
      <c r="E141" s="17" t="s">
        <v>75</v>
      </c>
      <c r="F141" s="17" t="s">
        <v>41</v>
      </c>
      <c r="G141" s="17" t="s">
        <v>37</v>
      </c>
      <c r="H141" s="18">
        <v>0</v>
      </c>
      <c r="I141" s="18">
        <v>300</v>
      </c>
      <c r="J141" s="18">
        <v>0</v>
      </c>
      <c r="K141" s="18">
        <v>300</v>
      </c>
      <c r="L141" s="18">
        <v>300</v>
      </c>
      <c r="M141" s="18"/>
      <c r="N141" s="18">
        <f>Tabela1[[#This Row],[2ª QZ]]-Tabela1[[#This Row],[SALDO FINAL]]-Tabela1[[#This Row],[SALDO CARTAO]]-Tabela1[[#This Row],[Adiantamento ]]</f>
        <v>0</v>
      </c>
      <c r="O141" s="18"/>
      <c r="P141" s="18">
        <f>IF(Tabela1[[#This Row],[CARGA PARCIAL]]&lt;0,0,Tabela1[[#This Row],[CARGA PARCIAL]])+Tabela1[[#This Row],[REEMBOLSO]]</f>
        <v>0</v>
      </c>
      <c r="Q141" s="17"/>
      <c r="R141" s="17" t="s">
        <v>23</v>
      </c>
    </row>
    <row r="142" spans="2:18">
      <c r="B142" s="17" t="s">
        <v>383</v>
      </c>
      <c r="C142" s="17" t="s">
        <v>384</v>
      </c>
      <c r="D142" s="17" t="s">
        <v>19</v>
      </c>
      <c r="E142" s="17" t="s">
        <v>293</v>
      </c>
      <c r="F142" s="17" t="s">
        <v>69</v>
      </c>
      <c r="G142" s="17" t="s">
        <v>37</v>
      </c>
      <c r="H142" s="18">
        <v>2519.5</v>
      </c>
      <c r="I142" s="18">
        <v>0</v>
      </c>
      <c r="J142" s="18">
        <f>Tabela1[[#This Row],[SALDO PENDENTE PARCIAL]]-Tabela1[[#This Row],[CARGA 1 QZ]]</f>
        <v>2519.5</v>
      </c>
      <c r="K142" s="18">
        <v>1000</v>
      </c>
      <c r="L142" s="18">
        <v>350.28</v>
      </c>
      <c r="M142" s="18"/>
      <c r="N142" s="18">
        <f>Tabela1[[#This Row],[2ª QZ]]-Tabela1[[#This Row],[SALDO FINAL]]-Tabela1[[#This Row],[SALDO CARTAO]]-Tabela1[[#This Row],[Adiantamento ]]</f>
        <v>-1869.78</v>
      </c>
      <c r="O142" s="18"/>
      <c r="P142" s="18">
        <f>IF(Tabela1[[#This Row],[CARGA PARCIAL]]&lt;0,0,Tabela1[[#This Row],[CARGA PARCIAL]])+Tabela1[[#This Row],[REEMBOLSO]]</f>
        <v>0</v>
      </c>
      <c r="Q142" s="17"/>
      <c r="R142" s="17" t="s">
        <v>23</v>
      </c>
    </row>
    <row r="143" spans="2:18">
      <c r="B143" s="17" t="s">
        <v>385</v>
      </c>
      <c r="C143" s="17" t="s">
        <v>386</v>
      </c>
      <c r="D143" s="17" t="s">
        <v>19</v>
      </c>
      <c r="E143" s="17" t="s">
        <v>387</v>
      </c>
      <c r="F143" s="17" t="s">
        <v>36</v>
      </c>
      <c r="G143" s="17" t="s">
        <v>37</v>
      </c>
      <c r="H143" s="18">
        <v>-524.60000000000218</v>
      </c>
      <c r="I143" s="18">
        <v>1462.3000000000047</v>
      </c>
      <c r="J143" s="18">
        <v>0</v>
      </c>
      <c r="K143" s="18">
        <v>1200</v>
      </c>
      <c r="L143" s="18">
        <v>0</v>
      </c>
      <c r="M143" s="18"/>
      <c r="N143" s="18">
        <f>Tabela1[[#This Row],[2ª QZ]]-Tabela1[[#This Row],[SALDO FINAL]]-Tabela1[[#This Row],[SALDO CARTAO]]-Tabela1[[#This Row],[Adiantamento ]]</f>
        <v>1200</v>
      </c>
      <c r="O143" s="18"/>
      <c r="P143" s="18">
        <f>IF(Tabela1[[#This Row],[CARGA PARCIAL]]&lt;0,0,Tabela1[[#This Row],[CARGA PARCIAL]])+Tabela1[[#This Row],[REEMBOLSO]]</f>
        <v>1200</v>
      </c>
      <c r="Q143" s="17"/>
      <c r="R143" s="17" t="s">
        <v>23</v>
      </c>
    </row>
    <row r="144" spans="2:18">
      <c r="B144" s="17" t="s">
        <v>388</v>
      </c>
      <c r="C144" s="17" t="s">
        <v>389</v>
      </c>
      <c r="D144" s="17" t="s">
        <v>19</v>
      </c>
      <c r="E144" s="17" t="s">
        <v>390</v>
      </c>
      <c r="F144" s="17" t="s">
        <v>69</v>
      </c>
      <c r="G144" s="17" t="s">
        <v>37</v>
      </c>
      <c r="H144" s="18">
        <v>2323</v>
      </c>
      <c r="I144" s="18">
        <v>0</v>
      </c>
      <c r="J144" s="18">
        <f>Tabela1[[#This Row],[SALDO PENDENTE PARCIAL]]-Tabela1[[#This Row],[CARGA 1 QZ]]</f>
        <v>2323</v>
      </c>
      <c r="K144" s="18">
        <v>500</v>
      </c>
      <c r="L144" s="18">
        <v>0</v>
      </c>
      <c r="M144" s="18"/>
      <c r="N144" s="18">
        <f>Tabela1[[#This Row],[2ª QZ]]-Tabela1[[#This Row],[SALDO FINAL]]-Tabela1[[#This Row],[SALDO CARTAO]]-Tabela1[[#This Row],[Adiantamento ]]</f>
        <v>-1823</v>
      </c>
      <c r="O144" s="18"/>
      <c r="P144" s="18">
        <f>IF(Tabela1[[#This Row],[CARGA PARCIAL]]&lt;0,0,Tabela1[[#This Row],[CARGA PARCIAL]])+Tabela1[[#This Row],[REEMBOLSO]]</f>
        <v>0</v>
      </c>
      <c r="Q144" s="17"/>
      <c r="R144" s="17" t="s">
        <v>23</v>
      </c>
    </row>
    <row r="145" spans="2:18">
      <c r="B145" s="17" t="s">
        <v>391</v>
      </c>
      <c r="C145" s="17" t="s">
        <v>392</v>
      </c>
      <c r="D145" s="17" t="s">
        <v>19</v>
      </c>
      <c r="E145" s="17" t="s">
        <v>393</v>
      </c>
      <c r="F145" s="17" t="s">
        <v>31</v>
      </c>
      <c r="G145" s="17" t="s">
        <v>32</v>
      </c>
      <c r="H145" s="18">
        <v>-1536.0100000000016</v>
      </c>
      <c r="I145" s="18">
        <v>768.00500000000056</v>
      </c>
      <c r="J145" s="18">
        <v>0</v>
      </c>
      <c r="K145" s="18">
        <v>500</v>
      </c>
      <c r="L145" s="18">
        <v>1000</v>
      </c>
      <c r="M145" s="18"/>
      <c r="N145" s="18">
        <f>Tabela1[[#This Row],[2ª QZ]]-Tabela1[[#This Row],[SALDO FINAL]]-Tabela1[[#This Row],[SALDO CARTAO]]-Tabela1[[#This Row],[Adiantamento ]]</f>
        <v>-500</v>
      </c>
      <c r="O145" s="18"/>
      <c r="P145" s="18">
        <f>IF(Tabela1[[#This Row],[CARGA PARCIAL]]&lt;0,0,Tabela1[[#This Row],[CARGA PARCIAL]])+Tabela1[[#This Row],[REEMBOLSO]]</f>
        <v>0</v>
      </c>
      <c r="Q145" s="17"/>
      <c r="R145" s="17" t="s">
        <v>23</v>
      </c>
    </row>
    <row r="146" spans="2:18">
      <c r="B146" s="17" t="s">
        <v>394</v>
      </c>
      <c r="C146" s="17" t="s">
        <v>395</v>
      </c>
      <c r="D146" s="17" t="s">
        <v>19</v>
      </c>
      <c r="E146" s="17" t="s">
        <v>396</v>
      </c>
      <c r="F146" s="17" t="s">
        <v>31</v>
      </c>
      <c r="G146" s="17" t="s">
        <v>32</v>
      </c>
      <c r="H146" s="18">
        <v>259.85000000000093</v>
      </c>
      <c r="I146" s="18">
        <v>1500</v>
      </c>
      <c r="J146" s="18">
        <v>0</v>
      </c>
      <c r="K146" s="18">
        <v>1500</v>
      </c>
      <c r="L146" s="18">
        <v>270.39999999999998</v>
      </c>
      <c r="M146" s="18"/>
      <c r="N146" s="18">
        <f>Tabela1[[#This Row],[2ª QZ]]-Tabela1[[#This Row],[SALDO FINAL]]-Tabela1[[#This Row],[SALDO CARTAO]]-Tabela1[[#This Row],[Adiantamento ]]</f>
        <v>1229.5999999999999</v>
      </c>
      <c r="O146" s="18"/>
      <c r="P146" s="18">
        <f>IF(Tabela1[[#This Row],[CARGA PARCIAL]]&lt;0,0,Tabela1[[#This Row],[CARGA PARCIAL]])+Tabela1[[#This Row],[REEMBOLSO]]</f>
        <v>1229.5999999999999</v>
      </c>
      <c r="Q146" s="17"/>
      <c r="R146" s="17" t="s">
        <v>23</v>
      </c>
    </row>
    <row r="147" spans="2:18">
      <c r="B147" s="17" t="s">
        <v>397</v>
      </c>
      <c r="C147" s="17" t="s">
        <v>398</v>
      </c>
      <c r="D147" s="17" t="s">
        <v>19</v>
      </c>
      <c r="E147" s="17" t="s">
        <v>91</v>
      </c>
      <c r="F147" s="17" t="s">
        <v>45</v>
      </c>
      <c r="G147" s="17" t="s">
        <v>37</v>
      </c>
      <c r="H147" s="18">
        <v>154.88</v>
      </c>
      <c r="I147" s="18">
        <v>0</v>
      </c>
      <c r="J147" s="18">
        <f>Tabela1[[#This Row],[SALDO PENDENTE PARCIAL]]-Tabela1[[#This Row],[CARGA 1 QZ]]</f>
        <v>154.88</v>
      </c>
      <c r="K147" s="18">
        <v>200</v>
      </c>
      <c r="L147" s="18">
        <v>87.24</v>
      </c>
      <c r="M147" s="18"/>
      <c r="N147" s="18">
        <f>Tabela1[[#This Row],[2ª QZ]]-Tabela1[[#This Row],[SALDO FINAL]]-Tabela1[[#This Row],[SALDO CARTAO]]-Tabela1[[#This Row],[Adiantamento ]]</f>
        <v>-42.11999999999999</v>
      </c>
      <c r="O147" s="18"/>
      <c r="P147" s="18">
        <f>IF(Tabela1[[#This Row],[CARGA PARCIAL]]&lt;0,0,Tabela1[[#This Row],[CARGA PARCIAL]])+Tabela1[[#This Row],[REEMBOLSO]]</f>
        <v>0</v>
      </c>
      <c r="Q147" s="17"/>
      <c r="R147" s="17" t="s">
        <v>23</v>
      </c>
    </row>
    <row r="148" spans="2:18">
      <c r="B148" s="17" t="s">
        <v>399</v>
      </c>
      <c r="C148" s="17" t="s">
        <v>400</v>
      </c>
      <c r="D148" s="17" t="s">
        <v>19</v>
      </c>
      <c r="E148" s="17" t="s">
        <v>54</v>
      </c>
      <c r="F148" s="17" t="s">
        <v>55</v>
      </c>
      <c r="G148" s="17" t="s">
        <v>22</v>
      </c>
      <c r="H148" s="18">
        <v>5361.83</v>
      </c>
      <c r="I148" s="18">
        <v>0</v>
      </c>
      <c r="J148" s="18">
        <f>Tabela1[[#This Row],[SALDO PENDENTE PARCIAL]]-Tabela1[[#This Row],[CARGA 1 QZ]]</f>
        <v>5361.83</v>
      </c>
      <c r="K148" s="18">
        <v>1500</v>
      </c>
      <c r="L148" s="18">
        <v>0</v>
      </c>
      <c r="M148" s="18"/>
      <c r="N148" s="18">
        <f>Tabela1[[#This Row],[2ª QZ]]-Tabela1[[#This Row],[SALDO FINAL]]-Tabela1[[#This Row],[SALDO CARTAO]]-Tabela1[[#This Row],[Adiantamento ]]</f>
        <v>-3861.83</v>
      </c>
      <c r="O148" s="18"/>
      <c r="P148" s="18">
        <f>IF(Tabela1[[#This Row],[CARGA PARCIAL]]&lt;0,0,Tabela1[[#This Row],[CARGA PARCIAL]])+Tabela1[[#This Row],[REEMBOLSO]]</f>
        <v>0</v>
      </c>
      <c r="Q148" s="17"/>
      <c r="R148" s="17" t="s">
        <v>23</v>
      </c>
    </row>
    <row r="149" spans="2:18">
      <c r="B149" s="17" t="s">
        <v>401</v>
      </c>
      <c r="C149" s="17" t="s">
        <v>402</v>
      </c>
      <c r="D149" s="17" t="s">
        <v>19</v>
      </c>
      <c r="E149" s="17" t="s">
        <v>135</v>
      </c>
      <c r="F149" s="17" t="s">
        <v>36</v>
      </c>
      <c r="G149" s="17" t="s">
        <v>37</v>
      </c>
      <c r="H149" s="18">
        <v>155.11999999999847</v>
      </c>
      <c r="I149" s="18">
        <v>751.8899999999976</v>
      </c>
      <c r="J149" s="18">
        <v>0</v>
      </c>
      <c r="K149" s="18">
        <v>800</v>
      </c>
      <c r="L149" s="18">
        <v>37.56</v>
      </c>
      <c r="M149" s="18"/>
      <c r="N149" s="18">
        <f>Tabela1[[#This Row],[2ª QZ]]-Tabela1[[#This Row],[SALDO FINAL]]-Tabela1[[#This Row],[SALDO CARTAO]]-Tabela1[[#This Row],[Adiantamento ]]</f>
        <v>762.44</v>
      </c>
      <c r="O149" s="18"/>
      <c r="P149" s="18">
        <f>IF(Tabela1[[#This Row],[CARGA PARCIAL]]&lt;0,0,Tabela1[[#This Row],[CARGA PARCIAL]])+Tabela1[[#This Row],[REEMBOLSO]]</f>
        <v>762.44</v>
      </c>
      <c r="Q149" s="17"/>
      <c r="R149" s="17" t="s">
        <v>23</v>
      </c>
    </row>
    <row r="150" spans="2:18">
      <c r="B150" s="17" t="s">
        <v>403</v>
      </c>
      <c r="C150" s="17" t="s">
        <v>404</v>
      </c>
      <c r="D150" s="17" t="s">
        <v>19</v>
      </c>
      <c r="E150" s="17" t="s">
        <v>405</v>
      </c>
      <c r="F150" s="17" t="s">
        <v>406</v>
      </c>
      <c r="G150" s="17" t="s">
        <v>407</v>
      </c>
      <c r="H150" s="18">
        <v>-1.9999999999995453</v>
      </c>
      <c r="I150" s="18">
        <v>155.39999999999958</v>
      </c>
      <c r="J150" s="18">
        <v>0</v>
      </c>
      <c r="K150" s="18">
        <v>500</v>
      </c>
      <c r="L150" s="18">
        <v>500</v>
      </c>
      <c r="M150" s="18"/>
      <c r="N150" s="18">
        <f>Tabela1[[#This Row],[2ª QZ]]-Tabela1[[#This Row],[SALDO FINAL]]-Tabela1[[#This Row],[SALDO CARTAO]]-Tabela1[[#This Row],[Adiantamento ]]</f>
        <v>0</v>
      </c>
      <c r="O150" s="18"/>
      <c r="P150" s="18">
        <f>IF(Tabela1[[#This Row],[CARGA PARCIAL]]&lt;0,0,Tabela1[[#This Row],[CARGA PARCIAL]])+Tabela1[[#This Row],[REEMBOLSO]]</f>
        <v>0</v>
      </c>
      <c r="Q150" s="17"/>
      <c r="R150" s="17" t="s">
        <v>23</v>
      </c>
    </row>
    <row r="151" spans="2:18">
      <c r="B151" s="17" t="s">
        <v>408</v>
      </c>
      <c r="C151" s="17" t="s">
        <v>409</v>
      </c>
      <c r="D151" s="17" t="s">
        <v>19</v>
      </c>
      <c r="E151" s="17" t="s">
        <v>109</v>
      </c>
      <c r="F151" s="17" t="s">
        <v>36</v>
      </c>
      <c r="G151" s="17" t="s">
        <v>37</v>
      </c>
      <c r="H151" s="18">
        <v>242</v>
      </c>
      <c r="I151" s="18">
        <v>0</v>
      </c>
      <c r="J151" s="18">
        <f>Tabela1[[#This Row],[SALDO PENDENTE PARCIAL]]-Tabela1[[#This Row],[CARGA 1 QZ]]</f>
        <v>242</v>
      </c>
      <c r="K151" s="18">
        <v>500</v>
      </c>
      <c r="L151" s="18">
        <v>339</v>
      </c>
      <c r="M151" s="18"/>
      <c r="N151" s="18">
        <f>Tabela1[[#This Row],[2ª QZ]]-Tabela1[[#This Row],[SALDO FINAL]]-Tabela1[[#This Row],[SALDO CARTAO]]-Tabela1[[#This Row],[Adiantamento ]]</f>
        <v>-81</v>
      </c>
      <c r="O151" s="18"/>
      <c r="P151" s="18">
        <f>IF(Tabela1[[#This Row],[CARGA PARCIAL]]&lt;0,0,Tabela1[[#This Row],[CARGA PARCIAL]])+Tabela1[[#This Row],[REEMBOLSO]]</f>
        <v>0</v>
      </c>
      <c r="Q151" s="17"/>
      <c r="R151" s="17" t="s">
        <v>23</v>
      </c>
    </row>
    <row r="152" spans="2:18">
      <c r="B152" s="17" t="s">
        <v>410</v>
      </c>
      <c r="C152" s="17" t="s">
        <v>411</v>
      </c>
      <c r="D152" s="17" t="s">
        <v>19</v>
      </c>
      <c r="E152" s="17" t="s">
        <v>135</v>
      </c>
      <c r="F152" s="17" t="s">
        <v>36</v>
      </c>
      <c r="G152" s="17" t="s">
        <v>37</v>
      </c>
      <c r="H152" s="18">
        <v>4.2064129956997931E-12</v>
      </c>
      <c r="I152" s="18">
        <v>407.19999999999339</v>
      </c>
      <c r="J152" s="18">
        <v>0</v>
      </c>
      <c r="K152" s="18">
        <v>800</v>
      </c>
      <c r="L152" s="18">
        <v>209.86</v>
      </c>
      <c r="M152" s="18"/>
      <c r="N152" s="18">
        <f>Tabela1[[#This Row],[2ª QZ]]-Tabela1[[#This Row],[SALDO FINAL]]-Tabela1[[#This Row],[SALDO CARTAO]]-Tabela1[[#This Row],[Adiantamento ]]</f>
        <v>590.14</v>
      </c>
      <c r="O152" s="18"/>
      <c r="P152" s="18">
        <f>IF(Tabela1[[#This Row],[CARGA PARCIAL]]&lt;0,0,Tabela1[[#This Row],[CARGA PARCIAL]])+Tabela1[[#This Row],[REEMBOLSO]]</f>
        <v>590.14</v>
      </c>
      <c r="Q152" s="17"/>
      <c r="R152" s="17" t="s">
        <v>23</v>
      </c>
    </row>
    <row r="153" spans="2:18">
      <c r="B153" s="17" t="s">
        <v>412</v>
      </c>
      <c r="C153" s="17" t="s">
        <v>413</v>
      </c>
      <c r="D153" s="17" t="s">
        <v>19</v>
      </c>
      <c r="E153" s="17" t="s">
        <v>414</v>
      </c>
      <c r="F153" s="17" t="s">
        <v>31</v>
      </c>
      <c r="G153" s="17" t="s">
        <v>32</v>
      </c>
      <c r="H153" s="18">
        <v>2864.5700000000943</v>
      </c>
      <c r="I153" s="18">
        <v>2713.509999999922</v>
      </c>
      <c r="J153" s="18">
        <f>Tabela1[[#This Row],[SALDO PENDENTE PARCIAL]]-Tabela1[[#This Row],[CARGA 1 QZ]]</f>
        <v>151.06000000017229</v>
      </c>
      <c r="K153" s="18">
        <v>4000</v>
      </c>
      <c r="L153" s="18">
        <v>0</v>
      </c>
      <c r="M153" s="18"/>
      <c r="N153" s="18">
        <f>Tabela1[[#This Row],[2ª QZ]]-Tabela1[[#This Row],[SALDO FINAL]]-Tabela1[[#This Row],[SALDO CARTAO]]-Tabela1[[#This Row],[Adiantamento ]]</f>
        <v>3848.9399999998277</v>
      </c>
      <c r="O153" s="18"/>
      <c r="P153" s="18">
        <f>IF(Tabela1[[#This Row],[CARGA PARCIAL]]&lt;0,0,Tabela1[[#This Row],[CARGA PARCIAL]])+Tabela1[[#This Row],[REEMBOLSO]]</f>
        <v>3848.9399999998277</v>
      </c>
      <c r="Q153" s="17"/>
      <c r="R153" s="17" t="s">
        <v>23</v>
      </c>
    </row>
    <row r="154" spans="2:18">
      <c r="B154" s="17" t="s">
        <v>415</v>
      </c>
      <c r="C154" s="17" t="s">
        <v>416</v>
      </c>
      <c r="D154" s="17" t="s">
        <v>19</v>
      </c>
      <c r="E154" s="17" t="s">
        <v>417</v>
      </c>
      <c r="F154" s="17" t="s">
        <v>41</v>
      </c>
      <c r="G154" s="17" t="s">
        <v>37</v>
      </c>
      <c r="H154" s="18">
        <v>766.62999999996998</v>
      </c>
      <c r="I154" s="18">
        <v>1963.1900000000239</v>
      </c>
      <c r="J154" s="18">
        <v>0</v>
      </c>
      <c r="K154" s="18">
        <v>2800</v>
      </c>
      <c r="L154" s="18">
        <v>741.08</v>
      </c>
      <c r="M154" s="18"/>
      <c r="N154" s="18">
        <f>Tabela1[[#This Row],[2ª QZ]]-Tabela1[[#This Row],[SALDO FINAL]]-Tabela1[[#This Row],[SALDO CARTAO]]-Tabela1[[#This Row],[Adiantamento ]]</f>
        <v>2058.92</v>
      </c>
      <c r="O154" s="18"/>
      <c r="P154" s="18">
        <f>IF(Tabela1[[#This Row],[CARGA PARCIAL]]&lt;0,0,Tabela1[[#This Row],[CARGA PARCIAL]])+Tabela1[[#This Row],[REEMBOLSO]]</f>
        <v>2058.92</v>
      </c>
      <c r="Q154" s="17"/>
      <c r="R154" s="17" t="s">
        <v>23</v>
      </c>
    </row>
    <row r="155" spans="2:18">
      <c r="B155" s="17" t="s">
        <v>418</v>
      </c>
      <c r="C155" s="17" t="s">
        <v>419</v>
      </c>
      <c r="D155" s="17" t="s">
        <v>19</v>
      </c>
      <c r="E155" s="17" t="s">
        <v>193</v>
      </c>
      <c r="F155" s="17" t="s">
        <v>21</v>
      </c>
      <c r="G155" s="17" t="s">
        <v>22</v>
      </c>
      <c r="H155" s="18">
        <v>2882.0500000000075</v>
      </c>
      <c r="I155" s="18">
        <v>1343.5999999999951</v>
      </c>
      <c r="J155" s="18">
        <f>Tabela1[[#This Row],[SALDO PENDENTE PARCIAL]]-Tabela1[[#This Row],[CARGA 1 QZ]]</f>
        <v>1538.4500000000123</v>
      </c>
      <c r="K155" s="18">
        <v>1600</v>
      </c>
      <c r="L155" s="18">
        <v>24.95</v>
      </c>
      <c r="M155" s="18"/>
      <c r="N155" s="18">
        <f>Tabela1[[#This Row],[2ª QZ]]-Tabela1[[#This Row],[SALDO FINAL]]-Tabela1[[#This Row],[SALDO CARTAO]]-Tabela1[[#This Row],[Adiantamento ]]</f>
        <v>36.599999999987674</v>
      </c>
      <c r="O155" s="18"/>
      <c r="P155" s="18">
        <f>IF(Tabela1[[#This Row],[CARGA PARCIAL]]&lt;0,0,Tabela1[[#This Row],[CARGA PARCIAL]])+Tabela1[[#This Row],[REEMBOLSO]]</f>
        <v>36.599999999987674</v>
      </c>
      <c r="Q155" s="17"/>
      <c r="R155" s="17" t="s">
        <v>23</v>
      </c>
    </row>
    <row r="156" spans="2:18">
      <c r="B156" s="17" t="s">
        <v>420</v>
      </c>
      <c r="C156" s="17" t="s">
        <v>421</v>
      </c>
      <c r="D156" s="17" t="s">
        <v>19</v>
      </c>
      <c r="E156" s="17" t="s">
        <v>337</v>
      </c>
      <c r="F156" s="17" t="s">
        <v>36</v>
      </c>
      <c r="G156" s="17" t="s">
        <v>37</v>
      </c>
      <c r="H156" s="18">
        <v>-2.0999999999989072</v>
      </c>
      <c r="I156" s="18">
        <v>480.44999999999982</v>
      </c>
      <c r="J156" s="18">
        <v>0</v>
      </c>
      <c r="K156" s="18">
        <v>800</v>
      </c>
      <c r="L156" s="18">
        <v>25.9</v>
      </c>
      <c r="M156" s="18"/>
      <c r="N156" s="18">
        <f>Tabela1[[#This Row],[2ª QZ]]-Tabela1[[#This Row],[SALDO FINAL]]-Tabela1[[#This Row],[SALDO CARTAO]]-Tabela1[[#This Row],[Adiantamento ]]</f>
        <v>774.1</v>
      </c>
      <c r="O156" s="18"/>
      <c r="P156" s="18">
        <f>IF(Tabela1[[#This Row],[CARGA PARCIAL]]&lt;0,0,Tabela1[[#This Row],[CARGA PARCIAL]])+Tabela1[[#This Row],[REEMBOLSO]]</f>
        <v>774.1</v>
      </c>
      <c r="Q156" s="17"/>
      <c r="R156" s="17" t="s">
        <v>23</v>
      </c>
    </row>
    <row r="157" spans="2:18">
      <c r="B157" s="17" t="s">
        <v>422</v>
      </c>
      <c r="C157" s="17" t="s">
        <v>423</v>
      </c>
      <c r="D157" s="17" t="s">
        <v>19</v>
      </c>
      <c r="E157" s="17" t="s">
        <v>424</v>
      </c>
      <c r="F157" s="17" t="s">
        <v>21</v>
      </c>
      <c r="G157" s="17" t="s">
        <v>22</v>
      </c>
      <c r="H157" s="18">
        <v>811.61000000000365</v>
      </c>
      <c r="I157" s="18">
        <v>0</v>
      </c>
      <c r="J157" s="18">
        <f>Tabela1[[#This Row],[SALDO PENDENTE PARCIAL]]-Tabela1[[#This Row],[CARGA 1 QZ]]</f>
        <v>811.61000000000365</v>
      </c>
      <c r="K157" s="18">
        <v>1200</v>
      </c>
      <c r="L157" s="18">
        <v>5.39</v>
      </c>
      <c r="M157" s="18"/>
      <c r="N157" s="18">
        <f>Tabela1[[#This Row],[2ª QZ]]-Tabela1[[#This Row],[SALDO FINAL]]-Tabela1[[#This Row],[SALDO CARTAO]]-Tabela1[[#This Row],[Adiantamento ]]</f>
        <v>382.99999999999636</v>
      </c>
      <c r="O157" s="18"/>
      <c r="P157" s="18">
        <f>IF(Tabela1[[#This Row],[CARGA PARCIAL]]&lt;0,0,Tabela1[[#This Row],[CARGA PARCIAL]])+Tabela1[[#This Row],[REEMBOLSO]]</f>
        <v>382.99999999999636</v>
      </c>
      <c r="Q157" s="17"/>
      <c r="R157" s="17" t="s">
        <v>23</v>
      </c>
    </row>
    <row r="158" spans="2:18">
      <c r="B158" s="17" t="s">
        <v>425</v>
      </c>
      <c r="C158" s="17" t="s">
        <v>426</v>
      </c>
      <c r="D158" s="17" t="s">
        <v>19</v>
      </c>
      <c r="E158" s="17" t="s">
        <v>85</v>
      </c>
      <c r="F158" s="17" t="s">
        <v>69</v>
      </c>
      <c r="G158" s="17" t="s">
        <v>37</v>
      </c>
      <c r="H158" s="18">
        <v>-299.89000000000033</v>
      </c>
      <c r="I158" s="18">
        <v>1000</v>
      </c>
      <c r="J158" s="18">
        <v>0</v>
      </c>
      <c r="K158" s="18">
        <v>1500</v>
      </c>
      <c r="L158" s="18">
        <v>6</v>
      </c>
      <c r="M158" s="18"/>
      <c r="N158" s="18">
        <f>Tabela1[[#This Row],[2ª QZ]]-Tabela1[[#This Row],[SALDO FINAL]]-Tabela1[[#This Row],[SALDO CARTAO]]-Tabela1[[#This Row],[Adiantamento ]]</f>
        <v>1494</v>
      </c>
      <c r="O158" s="18"/>
      <c r="P158" s="18">
        <f>IF(Tabela1[[#This Row],[CARGA PARCIAL]]&lt;0,0,Tabela1[[#This Row],[CARGA PARCIAL]])+Tabela1[[#This Row],[REEMBOLSO]]</f>
        <v>1494</v>
      </c>
      <c r="Q158" s="17"/>
      <c r="R158" s="17" t="s">
        <v>23</v>
      </c>
    </row>
    <row r="159" spans="2:18">
      <c r="B159" s="17" t="s">
        <v>427</v>
      </c>
      <c r="C159" s="17" t="s">
        <v>428</v>
      </c>
      <c r="D159" s="17" t="s">
        <v>19</v>
      </c>
      <c r="E159" s="17" t="s">
        <v>429</v>
      </c>
      <c r="F159" s="17" t="s">
        <v>27</v>
      </c>
      <c r="G159" s="17" t="s">
        <v>22</v>
      </c>
      <c r="H159" s="18">
        <v>658.96</v>
      </c>
      <c r="I159" s="18">
        <v>372.76000000000022</v>
      </c>
      <c r="J159" s="18">
        <f>Tabela1[[#This Row],[SALDO PENDENTE PARCIAL]]-Tabela1[[#This Row],[CARGA 1 QZ]]</f>
        <v>286.19999999999982</v>
      </c>
      <c r="K159" s="18">
        <v>750</v>
      </c>
      <c r="L159" s="18">
        <v>84.04</v>
      </c>
      <c r="M159" s="18"/>
      <c r="N159" s="18">
        <f>Tabela1[[#This Row],[2ª QZ]]-Tabela1[[#This Row],[SALDO FINAL]]-Tabela1[[#This Row],[SALDO CARTAO]]-Tabela1[[#This Row],[Adiantamento ]]</f>
        <v>379.76000000000016</v>
      </c>
      <c r="O159" s="18"/>
      <c r="P159" s="18">
        <f>IF(Tabela1[[#This Row],[CARGA PARCIAL]]&lt;0,0,Tabela1[[#This Row],[CARGA PARCIAL]])+Tabela1[[#This Row],[REEMBOLSO]]</f>
        <v>379.76000000000016</v>
      </c>
      <c r="Q159" s="17"/>
      <c r="R159" s="17" t="s">
        <v>23</v>
      </c>
    </row>
    <row r="160" spans="2:18">
      <c r="B160" s="17" t="s">
        <v>430</v>
      </c>
      <c r="C160" s="17" t="s">
        <v>431</v>
      </c>
      <c r="D160" s="17" t="s">
        <v>19</v>
      </c>
      <c r="E160" s="17" t="s">
        <v>48</v>
      </c>
      <c r="F160" s="17" t="s">
        <v>36</v>
      </c>
      <c r="G160" s="17" t="s">
        <v>37</v>
      </c>
      <c r="H160" s="18">
        <v>458.53</v>
      </c>
      <c r="I160" s="18">
        <v>0</v>
      </c>
      <c r="J160" s="18">
        <f>Tabela1[[#This Row],[SALDO PENDENTE PARCIAL]]-Tabela1[[#This Row],[CARGA 1 QZ]]</f>
        <v>458.53</v>
      </c>
      <c r="K160" s="18">
        <v>160</v>
      </c>
      <c r="L160" s="18">
        <v>0</v>
      </c>
      <c r="M160" s="18"/>
      <c r="N160" s="18">
        <f>Tabela1[[#This Row],[2ª QZ]]-Tabela1[[#This Row],[SALDO FINAL]]-Tabela1[[#This Row],[SALDO CARTAO]]-Tabela1[[#This Row],[Adiantamento ]]</f>
        <v>-298.52999999999997</v>
      </c>
      <c r="O160" s="18"/>
      <c r="P160" s="18">
        <f>IF(Tabela1[[#This Row],[CARGA PARCIAL]]&lt;0,0,Tabela1[[#This Row],[CARGA PARCIAL]])+Tabela1[[#This Row],[REEMBOLSO]]</f>
        <v>0</v>
      </c>
      <c r="Q160" s="17"/>
      <c r="R160" s="17" t="s">
        <v>23</v>
      </c>
    </row>
    <row r="161" spans="2:18">
      <c r="B161" s="17" t="s">
        <v>432</v>
      </c>
      <c r="C161" s="17" t="s">
        <v>433</v>
      </c>
      <c r="D161" s="17" t="s">
        <v>19</v>
      </c>
      <c r="E161" s="17" t="s">
        <v>135</v>
      </c>
      <c r="F161" s="17" t="s">
        <v>36</v>
      </c>
      <c r="G161" s="17" t="s">
        <v>37</v>
      </c>
      <c r="H161" s="18">
        <v>15.67000000000364</v>
      </c>
      <c r="I161" s="18">
        <v>794.94999999999891</v>
      </c>
      <c r="J161" s="18">
        <v>0</v>
      </c>
      <c r="K161" s="18">
        <v>800</v>
      </c>
      <c r="L161" s="18">
        <v>45.83</v>
      </c>
      <c r="M161" s="18"/>
      <c r="N161" s="18">
        <f>Tabela1[[#This Row],[2ª QZ]]-Tabela1[[#This Row],[SALDO FINAL]]-Tabela1[[#This Row],[SALDO CARTAO]]-Tabela1[[#This Row],[Adiantamento ]]</f>
        <v>754.17</v>
      </c>
      <c r="O161" s="18"/>
      <c r="P161" s="18">
        <f>IF(Tabela1[[#This Row],[CARGA PARCIAL]]&lt;0,0,Tabela1[[#This Row],[CARGA PARCIAL]])+Tabela1[[#This Row],[REEMBOLSO]]</f>
        <v>754.17</v>
      </c>
      <c r="Q161" s="17"/>
      <c r="R161" s="17" t="s">
        <v>23</v>
      </c>
    </row>
    <row r="162" spans="2:18">
      <c r="B162" s="17" t="s">
        <v>434</v>
      </c>
      <c r="C162" s="17" t="s">
        <v>435</v>
      </c>
      <c r="D162" s="17" t="s">
        <v>19</v>
      </c>
      <c r="E162" s="17" t="s">
        <v>135</v>
      </c>
      <c r="F162" s="17" t="s">
        <v>36</v>
      </c>
      <c r="G162" s="17" t="s">
        <v>37</v>
      </c>
      <c r="H162" s="18">
        <v>2.6929569685307797E-12</v>
      </c>
      <c r="I162" s="18">
        <v>792.12999999999738</v>
      </c>
      <c r="J162" s="18">
        <v>0</v>
      </c>
      <c r="K162" s="18">
        <v>800</v>
      </c>
      <c r="L162" s="18">
        <v>11.54</v>
      </c>
      <c r="M162" s="18"/>
      <c r="N162" s="18">
        <f>Tabela1[[#This Row],[2ª QZ]]-Tabela1[[#This Row],[SALDO FINAL]]-Tabela1[[#This Row],[SALDO CARTAO]]-Tabela1[[#This Row],[Adiantamento ]]</f>
        <v>788.46</v>
      </c>
      <c r="O162" s="18"/>
      <c r="P162" s="18">
        <f>IF(Tabela1[[#This Row],[CARGA PARCIAL]]&lt;0,0,Tabela1[[#This Row],[CARGA PARCIAL]])+Tabela1[[#This Row],[REEMBOLSO]]</f>
        <v>788.46</v>
      </c>
      <c r="Q162" s="17"/>
      <c r="R162" s="17" t="s">
        <v>23</v>
      </c>
    </row>
    <row r="163" spans="2:18">
      <c r="B163" s="17" t="s">
        <v>436</v>
      </c>
      <c r="C163" s="17" t="s">
        <v>437</v>
      </c>
      <c r="D163" s="17" t="s">
        <v>19</v>
      </c>
      <c r="E163" s="17" t="s">
        <v>225</v>
      </c>
      <c r="F163" s="17" t="s">
        <v>95</v>
      </c>
      <c r="G163" s="17" t="s">
        <v>22</v>
      </c>
      <c r="H163" s="18">
        <v>60.430000000006473</v>
      </c>
      <c r="I163" s="18">
        <v>383.69999999999709</v>
      </c>
      <c r="J163" s="18">
        <v>0</v>
      </c>
      <c r="K163" s="18">
        <v>500</v>
      </c>
      <c r="L163" s="18">
        <v>9.6999999999999993</v>
      </c>
      <c r="M163" s="18"/>
      <c r="N163" s="18">
        <f>Tabela1[[#This Row],[2ª QZ]]-Tabela1[[#This Row],[SALDO FINAL]]-Tabela1[[#This Row],[SALDO CARTAO]]-Tabela1[[#This Row],[Adiantamento ]]</f>
        <v>490.3</v>
      </c>
      <c r="O163" s="18"/>
      <c r="P163" s="18">
        <f>IF(Tabela1[[#This Row],[CARGA PARCIAL]]&lt;0,0,Tabela1[[#This Row],[CARGA PARCIAL]])+Tabela1[[#This Row],[REEMBOLSO]]</f>
        <v>490.3</v>
      </c>
      <c r="Q163" s="17"/>
      <c r="R163" s="17" t="s">
        <v>23</v>
      </c>
    </row>
    <row r="164" spans="2:18">
      <c r="B164" s="17" t="s">
        <v>438</v>
      </c>
      <c r="C164" s="17" t="s">
        <v>439</v>
      </c>
      <c r="D164" s="17" t="s">
        <v>19</v>
      </c>
      <c r="E164" s="17" t="s">
        <v>440</v>
      </c>
      <c r="F164" s="17" t="s">
        <v>69</v>
      </c>
      <c r="G164" s="17" t="s">
        <v>37</v>
      </c>
      <c r="H164" s="18">
        <v>673.02000000003432</v>
      </c>
      <c r="I164" s="18">
        <v>2899.5600000000486</v>
      </c>
      <c r="J164" s="18">
        <v>0</v>
      </c>
      <c r="K164" s="18">
        <v>2000</v>
      </c>
      <c r="L164" s="18">
        <v>3.47</v>
      </c>
      <c r="M164" s="18"/>
      <c r="N164" s="18">
        <f>Tabela1[[#This Row],[2ª QZ]]-Tabela1[[#This Row],[SALDO FINAL]]-Tabela1[[#This Row],[SALDO CARTAO]]-Tabela1[[#This Row],[Adiantamento ]]</f>
        <v>1996.53</v>
      </c>
      <c r="O164" s="18"/>
      <c r="P164" s="18">
        <f>IF(Tabela1[[#This Row],[CARGA PARCIAL]]&lt;0,0,Tabela1[[#This Row],[CARGA PARCIAL]])+Tabela1[[#This Row],[REEMBOLSO]]</f>
        <v>1996.53</v>
      </c>
      <c r="Q164" s="17"/>
      <c r="R164" s="17" t="s">
        <v>23</v>
      </c>
    </row>
    <row r="165" spans="2:18">
      <c r="B165" s="17" t="s">
        <v>441</v>
      </c>
      <c r="C165" s="17" t="s">
        <v>442</v>
      </c>
      <c r="D165" s="17" t="s">
        <v>19</v>
      </c>
      <c r="E165" s="17" t="s">
        <v>135</v>
      </c>
      <c r="F165" s="17" t="s">
        <v>36</v>
      </c>
      <c r="G165" s="17" t="s">
        <v>37</v>
      </c>
      <c r="H165" s="18">
        <v>4.8032688937382773E-12</v>
      </c>
      <c r="I165" s="18">
        <v>767.29999999999563</v>
      </c>
      <c r="J165" s="18">
        <v>0</v>
      </c>
      <c r="K165" s="18">
        <v>800</v>
      </c>
      <c r="L165" s="18">
        <v>54.72</v>
      </c>
      <c r="M165" s="18"/>
      <c r="N165" s="18">
        <f>Tabela1[[#This Row],[2ª QZ]]-Tabela1[[#This Row],[SALDO FINAL]]-Tabela1[[#This Row],[SALDO CARTAO]]-Tabela1[[#This Row],[Adiantamento ]]</f>
        <v>745.28</v>
      </c>
      <c r="O165" s="18"/>
      <c r="P165" s="18">
        <f>IF(Tabela1[[#This Row],[CARGA PARCIAL]]&lt;0,0,Tabela1[[#This Row],[CARGA PARCIAL]])+Tabela1[[#This Row],[REEMBOLSO]]</f>
        <v>745.28</v>
      </c>
      <c r="Q165" s="17"/>
      <c r="R165" s="17" t="s">
        <v>23</v>
      </c>
    </row>
    <row r="166" spans="2:18">
      <c r="B166" s="17" t="s">
        <v>443</v>
      </c>
      <c r="C166" s="17" t="s">
        <v>444</v>
      </c>
      <c r="D166" s="17" t="s">
        <v>19</v>
      </c>
      <c r="E166" s="17" t="s">
        <v>35</v>
      </c>
      <c r="F166" s="17" t="s">
        <v>36</v>
      </c>
      <c r="G166" s="17" t="s">
        <v>37</v>
      </c>
      <c r="H166" s="18">
        <v>95.010000000001583</v>
      </c>
      <c r="I166" s="18">
        <v>798.55500000000234</v>
      </c>
      <c r="J166" s="18">
        <v>0</v>
      </c>
      <c r="K166" s="18">
        <v>1000</v>
      </c>
      <c r="L166" s="18">
        <v>632.23</v>
      </c>
      <c r="M166" s="18"/>
      <c r="N166" s="18">
        <f>Tabela1[[#This Row],[2ª QZ]]-Tabela1[[#This Row],[SALDO FINAL]]-Tabela1[[#This Row],[SALDO CARTAO]]-Tabela1[[#This Row],[Adiantamento ]]</f>
        <v>367.77</v>
      </c>
      <c r="O166" s="18"/>
      <c r="P166" s="18">
        <f>IF(Tabela1[[#This Row],[CARGA PARCIAL]]&lt;0,0,Tabela1[[#This Row],[CARGA PARCIAL]])+Tabela1[[#This Row],[REEMBOLSO]]</f>
        <v>367.77</v>
      </c>
      <c r="Q166" s="17"/>
      <c r="R166" s="17" t="s">
        <v>23</v>
      </c>
    </row>
    <row r="167" spans="2:18">
      <c r="B167" s="17" t="s">
        <v>445</v>
      </c>
      <c r="C167" s="17" t="s">
        <v>446</v>
      </c>
      <c r="D167" s="17" t="s">
        <v>19</v>
      </c>
      <c r="E167" s="17" t="s">
        <v>91</v>
      </c>
      <c r="F167" s="17" t="s">
        <v>45</v>
      </c>
      <c r="G167" s="17" t="s">
        <v>37</v>
      </c>
      <c r="H167" s="18">
        <v>124.39999999999998</v>
      </c>
      <c r="I167" s="18">
        <v>0</v>
      </c>
      <c r="J167" s="18">
        <f>Tabela1[[#This Row],[SALDO PENDENTE PARCIAL]]-Tabela1[[#This Row],[CARGA 1 QZ]]</f>
        <v>124.39999999999998</v>
      </c>
      <c r="K167" s="18">
        <v>100</v>
      </c>
      <c r="L167" s="18">
        <v>0</v>
      </c>
      <c r="M167" s="18"/>
      <c r="N167" s="18">
        <f>Tabela1[[#This Row],[2ª QZ]]-Tabela1[[#This Row],[SALDO FINAL]]-Tabela1[[#This Row],[SALDO CARTAO]]-Tabela1[[#This Row],[Adiantamento ]]</f>
        <v>-24.399999999999977</v>
      </c>
      <c r="O167" s="18"/>
      <c r="P167" s="18">
        <f>IF(Tabela1[[#This Row],[CARGA PARCIAL]]&lt;0,0,Tabela1[[#This Row],[CARGA PARCIAL]])+Tabela1[[#This Row],[REEMBOLSO]]</f>
        <v>0</v>
      </c>
      <c r="Q167" s="17"/>
      <c r="R167" s="17" t="s">
        <v>23</v>
      </c>
    </row>
    <row r="168" spans="2:18">
      <c r="B168" s="17" t="s">
        <v>447</v>
      </c>
      <c r="C168" s="17" t="s">
        <v>448</v>
      </c>
      <c r="D168" s="17" t="s">
        <v>19</v>
      </c>
      <c r="E168" s="17" t="s">
        <v>449</v>
      </c>
      <c r="F168" s="17" t="s">
        <v>31</v>
      </c>
      <c r="G168" s="17" t="s">
        <v>32</v>
      </c>
      <c r="H168" s="18">
        <v>949.80999999997766</v>
      </c>
      <c r="I168" s="18">
        <v>4300.0100000000821</v>
      </c>
      <c r="J168" s="18">
        <v>0</v>
      </c>
      <c r="K168" s="18">
        <v>3000</v>
      </c>
      <c r="L168" s="18">
        <v>3460.26</v>
      </c>
      <c r="M168" s="18"/>
      <c r="N168" s="18">
        <f>Tabela1[[#This Row],[2ª QZ]]-Tabela1[[#This Row],[SALDO FINAL]]-Tabela1[[#This Row],[SALDO CARTAO]]-Tabela1[[#This Row],[Adiantamento ]]</f>
        <v>-460.26000000000022</v>
      </c>
      <c r="O168" s="18"/>
      <c r="P168" s="18">
        <f>IF(Tabela1[[#This Row],[CARGA PARCIAL]]&lt;0,0,Tabela1[[#This Row],[CARGA PARCIAL]])+Tabela1[[#This Row],[REEMBOLSO]]</f>
        <v>0</v>
      </c>
      <c r="Q168" s="17"/>
      <c r="R168" s="17" t="s">
        <v>23</v>
      </c>
    </row>
    <row r="169" spans="2:18">
      <c r="B169" s="17" t="s">
        <v>450</v>
      </c>
      <c r="C169" s="17" t="s">
        <v>451</v>
      </c>
      <c r="D169" s="17" t="s">
        <v>19</v>
      </c>
      <c r="E169" s="17" t="s">
        <v>452</v>
      </c>
      <c r="F169" s="17" t="s">
        <v>36</v>
      </c>
      <c r="G169" s="17" t="s">
        <v>37</v>
      </c>
      <c r="H169" s="18">
        <v>153.7400000000024</v>
      </c>
      <c r="I169" s="18">
        <v>0</v>
      </c>
      <c r="J169" s="18">
        <f>Tabela1[[#This Row],[SALDO PENDENTE PARCIAL]]-Tabela1[[#This Row],[CARGA 1 QZ]]</f>
        <v>153.7400000000024</v>
      </c>
      <c r="K169" s="18">
        <v>500</v>
      </c>
      <c r="L169" s="18">
        <v>9.1199999999999992</v>
      </c>
      <c r="M169" s="18"/>
      <c r="N169" s="18">
        <f>Tabela1[[#This Row],[2ª QZ]]-Tabela1[[#This Row],[SALDO FINAL]]-Tabela1[[#This Row],[SALDO CARTAO]]-Tabela1[[#This Row],[Adiantamento ]]</f>
        <v>337.1399999999976</v>
      </c>
      <c r="O169" s="18"/>
      <c r="P169" s="18">
        <f>IF(Tabela1[[#This Row],[CARGA PARCIAL]]&lt;0,0,Tabela1[[#This Row],[CARGA PARCIAL]])+Tabela1[[#This Row],[REEMBOLSO]]</f>
        <v>337.1399999999976</v>
      </c>
      <c r="Q169" s="17"/>
      <c r="R169" s="17" t="s">
        <v>23</v>
      </c>
    </row>
    <row r="170" spans="2:18">
      <c r="B170" s="17" t="s">
        <v>453</v>
      </c>
      <c r="C170" s="17" t="s">
        <v>454</v>
      </c>
      <c r="D170" s="17" t="s">
        <v>19</v>
      </c>
      <c r="E170" s="17" t="s">
        <v>455</v>
      </c>
      <c r="F170" s="17" t="s">
        <v>27</v>
      </c>
      <c r="G170" s="17" t="s">
        <v>22</v>
      </c>
      <c r="H170" s="18">
        <v>7445.1600000000062</v>
      </c>
      <c r="I170" s="18">
        <v>0</v>
      </c>
      <c r="J170" s="18">
        <f>Tabela1[[#This Row],[SALDO PENDENTE PARCIAL]]-Tabela1[[#This Row],[CARGA 1 QZ]]</f>
        <v>7445.1600000000062</v>
      </c>
      <c r="K170" s="18">
        <v>1750</v>
      </c>
      <c r="L170" s="18">
        <v>8.2100000000000009</v>
      </c>
      <c r="M170" s="18"/>
      <c r="N170" s="18">
        <f>Tabela1[[#This Row],[2ª QZ]]-Tabela1[[#This Row],[SALDO FINAL]]-Tabela1[[#This Row],[SALDO CARTAO]]-Tabela1[[#This Row],[Adiantamento ]]</f>
        <v>-5703.3700000000063</v>
      </c>
      <c r="O170" s="18"/>
      <c r="P170" s="18">
        <f>IF(Tabela1[[#This Row],[CARGA PARCIAL]]&lt;0,0,Tabela1[[#This Row],[CARGA PARCIAL]])+Tabela1[[#This Row],[REEMBOLSO]]</f>
        <v>0</v>
      </c>
      <c r="Q170" s="17"/>
      <c r="R170" s="17" t="s">
        <v>23</v>
      </c>
    </row>
    <row r="171" spans="2:18">
      <c r="B171" s="17" t="s">
        <v>456</v>
      </c>
      <c r="C171" s="17" t="s">
        <v>457</v>
      </c>
      <c r="D171" s="17" t="s">
        <v>19</v>
      </c>
      <c r="E171" s="17" t="s">
        <v>91</v>
      </c>
      <c r="F171" s="17" t="s">
        <v>45</v>
      </c>
      <c r="G171" s="17" t="s">
        <v>37</v>
      </c>
      <c r="H171" s="18">
        <v>182.6</v>
      </c>
      <c r="I171" s="18">
        <v>0</v>
      </c>
      <c r="J171" s="18">
        <f>Tabela1[[#This Row],[SALDO PENDENTE PARCIAL]]-Tabela1[[#This Row],[CARGA 1 QZ]]</f>
        <v>182.6</v>
      </c>
      <c r="K171" s="18">
        <v>100</v>
      </c>
      <c r="L171" s="18">
        <v>0</v>
      </c>
      <c r="M171" s="18"/>
      <c r="N171" s="18">
        <f>Tabela1[[#This Row],[2ª QZ]]-Tabela1[[#This Row],[SALDO FINAL]]-Tabela1[[#This Row],[SALDO CARTAO]]-Tabela1[[#This Row],[Adiantamento ]]</f>
        <v>-82.6</v>
      </c>
      <c r="O171" s="18"/>
      <c r="P171" s="18">
        <f>IF(Tabela1[[#This Row],[CARGA PARCIAL]]&lt;0,0,Tabela1[[#This Row],[CARGA PARCIAL]])+Tabela1[[#This Row],[REEMBOLSO]]</f>
        <v>0</v>
      </c>
      <c r="Q171" s="17"/>
      <c r="R171" s="17" t="s">
        <v>82</v>
      </c>
    </row>
    <row r="172" spans="2:18">
      <c r="B172" s="17" t="s">
        <v>458</v>
      </c>
      <c r="C172" s="17" t="s">
        <v>459</v>
      </c>
      <c r="D172" s="17" t="s">
        <v>19</v>
      </c>
      <c r="E172" s="17" t="s">
        <v>75</v>
      </c>
      <c r="F172" s="17" t="s">
        <v>41</v>
      </c>
      <c r="G172" s="17" t="s">
        <v>37</v>
      </c>
      <c r="H172" s="18">
        <v>268.60000000000184</v>
      </c>
      <c r="I172" s="18">
        <v>302.29999999999836</v>
      </c>
      <c r="J172" s="18">
        <v>0</v>
      </c>
      <c r="K172" s="18">
        <v>500</v>
      </c>
      <c r="L172" s="18">
        <v>231.4</v>
      </c>
      <c r="M172" s="18"/>
      <c r="N172" s="18">
        <f>Tabela1[[#This Row],[2ª QZ]]-Tabela1[[#This Row],[SALDO FINAL]]-Tabela1[[#This Row],[SALDO CARTAO]]-Tabela1[[#This Row],[Adiantamento ]]</f>
        <v>268.60000000000002</v>
      </c>
      <c r="O172" s="18"/>
      <c r="P172" s="18">
        <f>IF(Tabela1[[#This Row],[CARGA PARCIAL]]&lt;0,0,Tabela1[[#This Row],[CARGA PARCIAL]])+Tabela1[[#This Row],[REEMBOLSO]]</f>
        <v>268.60000000000002</v>
      </c>
      <c r="Q172" s="17"/>
      <c r="R172" s="17" t="s">
        <v>23</v>
      </c>
    </row>
    <row r="173" spans="2:18">
      <c r="B173" s="17" t="s">
        <v>460</v>
      </c>
      <c r="C173" s="17" t="s">
        <v>461</v>
      </c>
      <c r="D173" s="17" t="s">
        <v>19</v>
      </c>
      <c r="E173" s="17" t="s">
        <v>462</v>
      </c>
      <c r="F173" s="17" t="s">
        <v>27</v>
      </c>
      <c r="G173" s="17" t="s">
        <v>22</v>
      </c>
      <c r="H173" s="18">
        <v>135.46000000000524</v>
      </c>
      <c r="I173" s="18">
        <v>792.5299999999952</v>
      </c>
      <c r="J173" s="18">
        <v>0</v>
      </c>
      <c r="K173" s="18">
        <v>1500</v>
      </c>
      <c r="L173" s="18">
        <v>1.53</v>
      </c>
      <c r="M173" s="18"/>
      <c r="N173" s="18">
        <f>Tabela1[[#This Row],[2ª QZ]]-Tabela1[[#This Row],[SALDO FINAL]]-Tabela1[[#This Row],[SALDO CARTAO]]-Tabela1[[#This Row],[Adiantamento ]]</f>
        <v>1498.47</v>
      </c>
      <c r="O173" s="18"/>
      <c r="P173" s="18">
        <f>IF(Tabela1[[#This Row],[CARGA PARCIAL]]&lt;0,0,Tabela1[[#This Row],[CARGA PARCIAL]])+Tabela1[[#This Row],[REEMBOLSO]]</f>
        <v>1498.47</v>
      </c>
      <c r="Q173" s="17"/>
      <c r="R173" s="17" t="s">
        <v>23</v>
      </c>
    </row>
    <row r="174" spans="2:18">
      <c r="B174" s="17" t="s">
        <v>463</v>
      </c>
      <c r="C174" s="17" t="s">
        <v>464</v>
      </c>
      <c r="D174" s="17" t="s">
        <v>19</v>
      </c>
      <c r="E174" s="17" t="s">
        <v>312</v>
      </c>
      <c r="F174" s="17" t="s">
        <v>69</v>
      </c>
      <c r="G174" s="17" t="s">
        <v>37</v>
      </c>
      <c r="H174" s="18">
        <v>-4330.0800000000027</v>
      </c>
      <c r="I174" s="18">
        <v>8680.9050000000334</v>
      </c>
      <c r="J174" s="18">
        <v>0</v>
      </c>
      <c r="K174" s="18">
        <v>6000</v>
      </c>
      <c r="L174" s="18">
        <v>28.64</v>
      </c>
      <c r="M174" s="18"/>
      <c r="N174" s="18">
        <f>Tabela1[[#This Row],[2ª QZ]]-Tabela1[[#This Row],[SALDO FINAL]]-Tabela1[[#This Row],[SALDO CARTAO]]-Tabela1[[#This Row],[Adiantamento ]]</f>
        <v>5971.36</v>
      </c>
      <c r="O174" s="18"/>
      <c r="P174" s="18">
        <f>IF(Tabela1[[#This Row],[CARGA PARCIAL]]&lt;0,0,Tabela1[[#This Row],[CARGA PARCIAL]])+Tabela1[[#This Row],[REEMBOLSO]]</f>
        <v>5971.36</v>
      </c>
      <c r="Q174" s="17"/>
      <c r="R174" s="17" t="s">
        <v>23</v>
      </c>
    </row>
    <row r="175" spans="2:18">
      <c r="B175" s="17" t="s">
        <v>465</v>
      </c>
      <c r="C175" s="17" t="s">
        <v>466</v>
      </c>
      <c r="D175" s="17" t="s">
        <v>19</v>
      </c>
      <c r="E175" s="17" t="s">
        <v>149</v>
      </c>
      <c r="F175" s="17" t="s">
        <v>69</v>
      </c>
      <c r="G175" s="17" t="s">
        <v>37</v>
      </c>
      <c r="H175" s="18">
        <v>-35.460000000044822</v>
      </c>
      <c r="I175" s="18">
        <v>5584.7350000000297</v>
      </c>
      <c r="J175" s="18">
        <v>0</v>
      </c>
      <c r="K175" s="18">
        <v>4000</v>
      </c>
      <c r="L175" s="18">
        <v>4.74</v>
      </c>
      <c r="M175" s="18"/>
      <c r="N175" s="18">
        <f>Tabela1[[#This Row],[2ª QZ]]-Tabela1[[#This Row],[SALDO FINAL]]-Tabela1[[#This Row],[SALDO CARTAO]]-Tabela1[[#This Row],[Adiantamento ]]</f>
        <v>3995.26</v>
      </c>
      <c r="O175" s="18"/>
      <c r="P175" s="18">
        <f>IF(Tabela1[[#This Row],[CARGA PARCIAL]]&lt;0,0,Tabela1[[#This Row],[CARGA PARCIAL]])+Tabela1[[#This Row],[REEMBOLSO]]</f>
        <v>3995.26</v>
      </c>
      <c r="Q175" s="17"/>
      <c r="R175" s="17" t="s">
        <v>23</v>
      </c>
    </row>
    <row r="176" spans="2:18">
      <c r="B176" s="17" t="s">
        <v>467</v>
      </c>
      <c r="C176" s="17" t="s">
        <v>468</v>
      </c>
      <c r="D176" s="17" t="s">
        <v>19</v>
      </c>
      <c r="E176" s="17" t="s">
        <v>91</v>
      </c>
      <c r="F176" s="17" t="s">
        <v>45</v>
      </c>
      <c r="G176" s="17" t="s">
        <v>37</v>
      </c>
      <c r="H176" s="18">
        <v>38.090000000000003</v>
      </c>
      <c r="I176" s="18">
        <v>54.490000000000236</v>
      </c>
      <c r="J176" s="18">
        <v>0</v>
      </c>
      <c r="K176" s="18">
        <v>50</v>
      </c>
      <c r="L176" s="18">
        <v>51.91</v>
      </c>
      <c r="M176" s="18"/>
      <c r="N176" s="18">
        <f>Tabela1[[#This Row],[2ª QZ]]-Tabela1[[#This Row],[SALDO FINAL]]-Tabela1[[#This Row],[SALDO CARTAO]]-Tabela1[[#This Row],[Adiantamento ]]</f>
        <v>-1.9099999999999966</v>
      </c>
      <c r="O176" s="18"/>
      <c r="P176" s="18">
        <f>IF(Tabela1[[#This Row],[CARGA PARCIAL]]&lt;0,0,Tabela1[[#This Row],[CARGA PARCIAL]])+Tabela1[[#This Row],[REEMBOLSO]]</f>
        <v>0</v>
      </c>
      <c r="Q176" s="17"/>
      <c r="R176" s="17" t="s">
        <v>23</v>
      </c>
    </row>
    <row r="177" spans="2:18">
      <c r="B177" s="17" t="s">
        <v>469</v>
      </c>
      <c r="C177" s="17" t="s">
        <v>470</v>
      </c>
      <c r="D177" s="17" t="s">
        <v>19</v>
      </c>
      <c r="E177" s="17" t="s">
        <v>193</v>
      </c>
      <c r="F177" s="17" t="s">
        <v>21</v>
      </c>
      <c r="G177" s="17" t="s">
        <v>22</v>
      </c>
      <c r="H177" s="18">
        <v>133.0799999999939</v>
      </c>
      <c r="I177" s="18">
        <v>599.89000000000124</v>
      </c>
      <c r="J177" s="18">
        <v>0</v>
      </c>
      <c r="K177" s="18">
        <v>1500</v>
      </c>
      <c r="L177" s="18">
        <v>178.89</v>
      </c>
      <c r="M177" s="18"/>
      <c r="N177" s="18">
        <f>Tabela1[[#This Row],[2ª QZ]]-Tabela1[[#This Row],[SALDO FINAL]]-Tabela1[[#This Row],[SALDO CARTAO]]-Tabela1[[#This Row],[Adiantamento ]]</f>
        <v>1321.1100000000001</v>
      </c>
      <c r="O177" s="18"/>
      <c r="P177" s="18">
        <f>IF(Tabela1[[#This Row],[CARGA PARCIAL]]&lt;0,0,Tabela1[[#This Row],[CARGA PARCIAL]])+Tabela1[[#This Row],[REEMBOLSO]]</f>
        <v>1321.1100000000001</v>
      </c>
      <c r="Q177" s="17"/>
      <c r="R177" s="17" t="s">
        <v>23</v>
      </c>
    </row>
    <row r="178" spans="2:18">
      <c r="B178" s="17" t="s">
        <v>471</v>
      </c>
      <c r="C178" s="17" t="s">
        <v>472</v>
      </c>
      <c r="D178" s="17" t="s">
        <v>19</v>
      </c>
      <c r="E178" s="17" t="s">
        <v>109</v>
      </c>
      <c r="F178" s="17" t="s">
        <v>36</v>
      </c>
      <c r="G178" s="17" t="s">
        <v>37</v>
      </c>
      <c r="H178" s="18">
        <v>814.79999999999984</v>
      </c>
      <c r="I178" s="18">
        <v>1152.2349999999981</v>
      </c>
      <c r="J178" s="18">
        <v>0</v>
      </c>
      <c r="K178" s="18">
        <v>1000</v>
      </c>
      <c r="L178" s="18">
        <v>3.11</v>
      </c>
      <c r="M178" s="18"/>
      <c r="N178" s="18">
        <f>Tabela1[[#This Row],[2ª QZ]]-Tabela1[[#This Row],[SALDO FINAL]]-Tabela1[[#This Row],[SALDO CARTAO]]-Tabela1[[#This Row],[Adiantamento ]]</f>
        <v>996.89</v>
      </c>
      <c r="O178" s="18"/>
      <c r="P178" s="18">
        <f>IF(Tabela1[[#This Row],[CARGA PARCIAL]]&lt;0,0,Tabela1[[#This Row],[CARGA PARCIAL]])+Tabela1[[#This Row],[REEMBOLSO]]</f>
        <v>996.89</v>
      </c>
      <c r="Q178" s="17"/>
      <c r="R178" s="17" t="s">
        <v>23</v>
      </c>
    </row>
    <row r="179" spans="2:18">
      <c r="B179" s="17" t="s">
        <v>473</v>
      </c>
      <c r="C179" s="17" t="s">
        <v>474</v>
      </c>
      <c r="D179" s="17" t="s">
        <v>19</v>
      </c>
      <c r="E179" s="17" t="s">
        <v>91</v>
      </c>
      <c r="F179" s="17" t="s">
        <v>45</v>
      </c>
      <c r="G179" s="17" t="s">
        <v>37</v>
      </c>
      <c r="H179" s="18">
        <v>0</v>
      </c>
      <c r="I179" s="18">
        <v>50</v>
      </c>
      <c r="J179" s="18">
        <v>0</v>
      </c>
      <c r="K179" s="18">
        <v>50</v>
      </c>
      <c r="L179" s="18">
        <v>50</v>
      </c>
      <c r="M179" s="18"/>
      <c r="N179" s="18">
        <f>Tabela1[[#This Row],[2ª QZ]]-Tabela1[[#This Row],[SALDO FINAL]]-Tabela1[[#This Row],[SALDO CARTAO]]-Tabela1[[#This Row],[Adiantamento ]]</f>
        <v>0</v>
      </c>
      <c r="O179" s="18"/>
      <c r="P179" s="18">
        <f>IF(Tabela1[[#This Row],[CARGA PARCIAL]]&lt;0,0,Tabela1[[#This Row],[CARGA PARCIAL]])+Tabela1[[#This Row],[REEMBOLSO]]</f>
        <v>0</v>
      </c>
      <c r="Q179" s="17"/>
      <c r="R179" s="17" t="s">
        <v>23</v>
      </c>
    </row>
    <row r="180" spans="2:18">
      <c r="B180" s="17" t="s">
        <v>475</v>
      </c>
      <c r="C180" s="17" t="s">
        <v>476</v>
      </c>
      <c r="D180" s="17" t="s">
        <v>19</v>
      </c>
      <c r="E180" s="17" t="s">
        <v>91</v>
      </c>
      <c r="F180" s="17" t="s">
        <v>45</v>
      </c>
      <c r="G180" s="17" t="s">
        <v>37</v>
      </c>
      <c r="H180" s="18">
        <v>103.20000000000005</v>
      </c>
      <c r="I180" s="18">
        <v>0</v>
      </c>
      <c r="J180" s="18">
        <f>Tabela1[[#This Row],[SALDO PENDENTE PARCIAL]]-Tabela1[[#This Row],[CARGA 1 QZ]]</f>
        <v>103.20000000000005</v>
      </c>
      <c r="K180" s="18">
        <v>100</v>
      </c>
      <c r="L180" s="18">
        <v>0</v>
      </c>
      <c r="M180" s="18"/>
      <c r="N180" s="18">
        <f>Tabela1[[#This Row],[2ª QZ]]-Tabela1[[#This Row],[SALDO FINAL]]-Tabela1[[#This Row],[SALDO CARTAO]]-Tabela1[[#This Row],[Adiantamento ]]</f>
        <v>-3.2000000000000455</v>
      </c>
      <c r="O180" s="18"/>
      <c r="P180" s="18">
        <f>IF(Tabela1[[#This Row],[CARGA PARCIAL]]&lt;0,0,Tabela1[[#This Row],[CARGA PARCIAL]])+Tabela1[[#This Row],[REEMBOLSO]]</f>
        <v>0</v>
      </c>
      <c r="Q180" s="17"/>
      <c r="R180" s="17" t="s">
        <v>23</v>
      </c>
    </row>
    <row r="181" spans="2:18">
      <c r="B181" s="17" t="s">
        <v>477</v>
      </c>
      <c r="C181" s="17" t="s">
        <v>478</v>
      </c>
      <c r="D181" s="17" t="s">
        <v>19</v>
      </c>
      <c r="E181" s="17" t="s">
        <v>132</v>
      </c>
      <c r="F181" s="17" t="s">
        <v>27</v>
      </c>
      <c r="G181" s="17" t="s">
        <v>22</v>
      </c>
      <c r="H181" s="18">
        <v>1000</v>
      </c>
      <c r="I181" s="18">
        <v>4.5474735088646412E-13</v>
      </c>
      <c r="J181" s="18">
        <f>Tabela1[[#This Row],[SALDO PENDENTE PARCIAL]]-Tabela1[[#This Row],[CARGA 1 QZ]]</f>
        <v>999.99999999999955</v>
      </c>
      <c r="K181" s="18">
        <v>1000</v>
      </c>
      <c r="L181" s="18">
        <v>0</v>
      </c>
      <c r="M181" s="18"/>
      <c r="N181" s="18">
        <f>Tabela1[[#This Row],[2ª QZ]]-Tabela1[[#This Row],[SALDO FINAL]]-Tabela1[[#This Row],[SALDO CARTAO]]-Tabela1[[#This Row],[Adiantamento ]]</f>
        <v>4.5474735088646412E-13</v>
      </c>
      <c r="O181" s="18"/>
      <c r="P181" s="18">
        <f>IF(Tabela1[[#This Row],[CARGA PARCIAL]]&lt;0,0,Tabela1[[#This Row],[CARGA PARCIAL]])+Tabela1[[#This Row],[REEMBOLSO]]</f>
        <v>4.5474735088646412E-13</v>
      </c>
      <c r="Q181" s="17"/>
      <c r="R181" s="17" t="s">
        <v>23</v>
      </c>
    </row>
    <row r="182" spans="2:18">
      <c r="B182" s="17" t="s">
        <v>479</v>
      </c>
      <c r="C182" s="17" t="s">
        <v>480</v>
      </c>
      <c r="D182" s="17" t="s">
        <v>19</v>
      </c>
      <c r="E182" s="17" t="s">
        <v>481</v>
      </c>
      <c r="F182" s="17" t="s">
        <v>27</v>
      </c>
      <c r="G182" s="17" t="s">
        <v>22</v>
      </c>
      <c r="H182" s="18">
        <v>724.77999999999975</v>
      </c>
      <c r="I182" s="18">
        <v>0</v>
      </c>
      <c r="J182" s="18">
        <f>Tabela1[[#This Row],[SALDO PENDENTE PARCIAL]]-Tabela1[[#This Row],[CARGA 1 QZ]]</f>
        <v>724.77999999999975</v>
      </c>
      <c r="K182" s="18">
        <v>500</v>
      </c>
      <c r="L182" s="18">
        <v>0</v>
      </c>
      <c r="M182" s="18"/>
      <c r="N182" s="18">
        <f>Tabela1[[#This Row],[2ª QZ]]-Tabela1[[#This Row],[SALDO FINAL]]-Tabela1[[#This Row],[SALDO CARTAO]]-Tabela1[[#This Row],[Adiantamento ]]</f>
        <v>-224.77999999999975</v>
      </c>
      <c r="O182" s="18"/>
      <c r="P182" s="18">
        <f>IF(Tabela1[[#This Row],[CARGA PARCIAL]]&lt;0,0,Tabela1[[#This Row],[CARGA PARCIAL]])+Tabela1[[#This Row],[REEMBOLSO]]</f>
        <v>0</v>
      </c>
      <c r="Q182" s="17"/>
      <c r="R182" s="17" t="s">
        <v>23</v>
      </c>
    </row>
    <row r="183" spans="2:18">
      <c r="B183" s="17" t="s">
        <v>482</v>
      </c>
      <c r="C183" s="17" t="s">
        <v>483</v>
      </c>
      <c r="D183" s="17" t="s">
        <v>19</v>
      </c>
      <c r="E183" s="17" t="s">
        <v>62</v>
      </c>
      <c r="F183" s="17" t="s">
        <v>36</v>
      </c>
      <c r="G183" s="17" t="s">
        <v>37</v>
      </c>
      <c r="H183" s="18">
        <v>120.0000000000008</v>
      </c>
      <c r="I183" s="18">
        <v>0</v>
      </c>
      <c r="J183" s="18">
        <f>Tabela1[[#This Row],[SALDO PENDENTE PARCIAL]]-Tabela1[[#This Row],[CARGA 1 QZ]]</f>
        <v>120.0000000000008</v>
      </c>
      <c r="K183" s="18">
        <v>350</v>
      </c>
      <c r="L183" s="18">
        <v>128.62</v>
      </c>
      <c r="M183" s="18"/>
      <c r="N183" s="18">
        <f>Tabela1[[#This Row],[2ª QZ]]-Tabela1[[#This Row],[SALDO FINAL]]-Tabela1[[#This Row],[SALDO CARTAO]]-Tabela1[[#This Row],[Adiantamento ]]</f>
        <v>101.3799999999992</v>
      </c>
      <c r="O183" s="18"/>
      <c r="P183" s="18">
        <f>IF(Tabela1[[#This Row],[CARGA PARCIAL]]&lt;0,0,Tabela1[[#This Row],[CARGA PARCIAL]])+Tabela1[[#This Row],[REEMBOLSO]]</f>
        <v>101.3799999999992</v>
      </c>
      <c r="Q183" s="17"/>
      <c r="R183" s="17" t="s">
        <v>23</v>
      </c>
    </row>
    <row r="184" spans="2:18">
      <c r="B184" s="17" t="s">
        <v>484</v>
      </c>
      <c r="C184" s="17" t="s">
        <v>485</v>
      </c>
      <c r="D184" s="17" t="s">
        <v>19</v>
      </c>
      <c r="E184" s="17" t="s">
        <v>91</v>
      </c>
      <c r="F184" s="17" t="s">
        <v>45</v>
      </c>
      <c r="G184" s="17" t="s">
        <v>37</v>
      </c>
      <c r="H184" s="18">
        <v>100</v>
      </c>
      <c r="I184" s="18">
        <v>0</v>
      </c>
      <c r="J184" s="18">
        <f>Tabela1[[#This Row],[SALDO PENDENTE PARCIAL]]-Tabela1[[#This Row],[CARGA 1 QZ]]</f>
        <v>100</v>
      </c>
      <c r="K184" s="18">
        <v>100</v>
      </c>
      <c r="L184" s="18">
        <v>0</v>
      </c>
      <c r="M184" s="18"/>
      <c r="N184" s="18">
        <f>Tabela1[[#This Row],[2ª QZ]]-Tabela1[[#This Row],[SALDO FINAL]]-Tabela1[[#This Row],[SALDO CARTAO]]-Tabela1[[#This Row],[Adiantamento ]]</f>
        <v>0</v>
      </c>
      <c r="O184" s="18"/>
      <c r="P184" s="18">
        <f>IF(Tabela1[[#This Row],[CARGA PARCIAL]]&lt;0,0,Tabela1[[#This Row],[CARGA PARCIAL]])+Tabela1[[#This Row],[REEMBOLSO]]</f>
        <v>0</v>
      </c>
      <c r="Q184" s="17"/>
      <c r="R184" s="17" t="s">
        <v>23</v>
      </c>
    </row>
    <row r="185" spans="2:18">
      <c r="B185" s="17" t="s">
        <v>486</v>
      </c>
      <c r="C185" s="17" t="s">
        <v>487</v>
      </c>
      <c r="D185" s="17" t="s">
        <v>19</v>
      </c>
      <c r="E185" s="17" t="s">
        <v>135</v>
      </c>
      <c r="F185" s="17" t="s">
        <v>36</v>
      </c>
      <c r="G185" s="17" t="s">
        <v>37</v>
      </c>
      <c r="H185" s="18">
        <v>1250.8000000000002</v>
      </c>
      <c r="I185" s="18">
        <v>0</v>
      </c>
      <c r="J185" s="18">
        <f>Tabela1[[#This Row],[SALDO PENDENTE PARCIAL]]-Tabela1[[#This Row],[CARGA 1 QZ]]</f>
        <v>1250.8000000000002</v>
      </c>
      <c r="K185" s="18">
        <v>800</v>
      </c>
      <c r="L185" s="18">
        <v>0</v>
      </c>
      <c r="M185" s="18"/>
      <c r="N185" s="18">
        <f>Tabela1[[#This Row],[2ª QZ]]-Tabela1[[#This Row],[SALDO FINAL]]-Tabela1[[#This Row],[SALDO CARTAO]]-Tabela1[[#This Row],[Adiantamento ]]</f>
        <v>-450.80000000000018</v>
      </c>
      <c r="O185" s="18"/>
      <c r="P185" s="18">
        <f>IF(Tabela1[[#This Row],[CARGA PARCIAL]]&lt;0,0,Tabela1[[#This Row],[CARGA PARCIAL]])+Tabela1[[#This Row],[REEMBOLSO]]</f>
        <v>0</v>
      </c>
      <c r="Q185" s="17"/>
      <c r="R185" s="17" t="s">
        <v>23</v>
      </c>
    </row>
    <row r="186" spans="2:18">
      <c r="B186" s="17" t="s">
        <v>488</v>
      </c>
      <c r="C186" s="17" t="s">
        <v>489</v>
      </c>
      <c r="D186" s="17" t="s">
        <v>19</v>
      </c>
      <c r="E186" s="17" t="s">
        <v>414</v>
      </c>
      <c r="F186" s="17" t="s">
        <v>31</v>
      </c>
      <c r="G186" s="17" t="s">
        <v>32</v>
      </c>
      <c r="H186" s="18">
        <v>770.42000000000189</v>
      </c>
      <c r="I186" s="18">
        <v>0</v>
      </c>
      <c r="J186" s="18">
        <f>Tabela1[[#This Row],[SALDO PENDENTE PARCIAL]]-Tabela1[[#This Row],[CARGA 1 QZ]]</f>
        <v>770.42000000000189</v>
      </c>
      <c r="K186" s="18">
        <v>1000</v>
      </c>
      <c r="L186" s="18">
        <v>0</v>
      </c>
      <c r="M186" s="18"/>
      <c r="N186" s="18">
        <f>Tabela1[[#This Row],[2ª QZ]]-Tabela1[[#This Row],[SALDO FINAL]]-Tabela1[[#This Row],[SALDO CARTAO]]-Tabela1[[#This Row],[Adiantamento ]]</f>
        <v>229.57999999999811</v>
      </c>
      <c r="O186" s="18"/>
      <c r="P186" s="18">
        <f>IF(Tabela1[[#This Row],[CARGA PARCIAL]]&lt;0,0,Tabela1[[#This Row],[CARGA PARCIAL]])+Tabela1[[#This Row],[REEMBOLSO]]</f>
        <v>229.57999999999811</v>
      </c>
      <c r="Q186" s="17"/>
      <c r="R186" s="17" t="s">
        <v>23</v>
      </c>
    </row>
    <row r="187" spans="2:18">
      <c r="B187" s="17" t="s">
        <v>490</v>
      </c>
      <c r="C187" s="17" t="s">
        <v>491</v>
      </c>
      <c r="D187" s="17" t="s">
        <v>19</v>
      </c>
      <c r="E187" s="17" t="s">
        <v>492</v>
      </c>
      <c r="F187" s="17" t="s">
        <v>95</v>
      </c>
      <c r="G187" s="17" t="s">
        <v>22</v>
      </c>
      <c r="H187" s="18">
        <v>528.27999999999975</v>
      </c>
      <c r="I187" s="18">
        <v>1024.1500000000001</v>
      </c>
      <c r="J187" s="18">
        <v>0</v>
      </c>
      <c r="K187" s="18">
        <v>7000</v>
      </c>
      <c r="L187" s="18">
        <v>6106.01</v>
      </c>
      <c r="M187" s="18"/>
      <c r="N187" s="18">
        <f>Tabela1[[#This Row],[2ª QZ]]-Tabela1[[#This Row],[SALDO FINAL]]-Tabela1[[#This Row],[SALDO CARTAO]]-Tabela1[[#This Row],[Adiantamento ]]</f>
        <v>893.98999999999978</v>
      </c>
      <c r="O187" s="18"/>
      <c r="P187" s="18">
        <f>IF(Tabela1[[#This Row],[CARGA PARCIAL]]&lt;0,0,Tabela1[[#This Row],[CARGA PARCIAL]])+Tabela1[[#This Row],[REEMBOLSO]]</f>
        <v>893.98999999999978</v>
      </c>
      <c r="Q187" s="17"/>
      <c r="R187" s="17" t="s">
        <v>23</v>
      </c>
    </row>
    <row r="188" spans="2:18">
      <c r="B188" s="17" t="s">
        <v>493</v>
      </c>
      <c r="C188" s="17" t="s">
        <v>494</v>
      </c>
      <c r="D188" s="17" t="s">
        <v>19</v>
      </c>
      <c r="E188" s="17" t="s">
        <v>85</v>
      </c>
      <c r="F188" s="17" t="s">
        <v>69</v>
      </c>
      <c r="G188" s="17" t="s">
        <v>37</v>
      </c>
      <c r="H188" s="18">
        <v>-19.009999999999909</v>
      </c>
      <c r="I188" s="18">
        <v>1283.42</v>
      </c>
      <c r="J188" s="18">
        <v>0</v>
      </c>
      <c r="K188" s="18">
        <v>1500</v>
      </c>
      <c r="L188" s="18">
        <v>0.91</v>
      </c>
      <c r="M188" s="18"/>
      <c r="N188" s="18">
        <f>Tabela1[[#This Row],[2ª QZ]]-Tabela1[[#This Row],[SALDO FINAL]]-Tabela1[[#This Row],[SALDO CARTAO]]-Tabela1[[#This Row],[Adiantamento ]]</f>
        <v>1499.09</v>
      </c>
      <c r="O188" s="18"/>
      <c r="P188" s="18">
        <f>IF(Tabela1[[#This Row],[CARGA PARCIAL]]&lt;0,0,Tabela1[[#This Row],[CARGA PARCIAL]])+Tabela1[[#This Row],[REEMBOLSO]]</f>
        <v>1499.09</v>
      </c>
      <c r="Q188" s="17"/>
      <c r="R188" s="17" t="s">
        <v>23</v>
      </c>
    </row>
    <row r="189" spans="2:18">
      <c r="B189" s="17" t="s">
        <v>495</v>
      </c>
      <c r="C189" s="17" t="s">
        <v>496</v>
      </c>
      <c r="D189" s="17" t="s">
        <v>19</v>
      </c>
      <c r="E189" s="17" t="s">
        <v>497</v>
      </c>
      <c r="F189" s="17" t="s">
        <v>41</v>
      </c>
      <c r="G189" s="17" t="s">
        <v>37</v>
      </c>
      <c r="H189" s="18">
        <v>549.01</v>
      </c>
      <c r="I189" s="18">
        <v>851.99</v>
      </c>
      <c r="J189" s="18">
        <v>0</v>
      </c>
      <c r="K189" s="18">
        <v>1000</v>
      </c>
      <c r="L189" s="18">
        <v>802.98</v>
      </c>
      <c r="M189" s="18"/>
      <c r="N189" s="18">
        <f>Tabela1[[#This Row],[2ª QZ]]-Tabela1[[#This Row],[SALDO FINAL]]-Tabela1[[#This Row],[SALDO CARTAO]]-Tabela1[[#This Row],[Adiantamento ]]</f>
        <v>197.01999999999998</v>
      </c>
      <c r="O189" s="18"/>
      <c r="P189" s="18">
        <f>IF(Tabela1[[#This Row],[CARGA PARCIAL]]&lt;0,0,Tabela1[[#This Row],[CARGA PARCIAL]])+Tabela1[[#This Row],[REEMBOLSO]]</f>
        <v>197.01999999999998</v>
      </c>
      <c r="Q189" s="17"/>
      <c r="R189" s="17" t="s">
        <v>23</v>
      </c>
    </row>
    <row r="190" spans="2:18">
      <c r="B190" s="17" t="s">
        <v>498</v>
      </c>
      <c r="C190" s="17" t="s">
        <v>499</v>
      </c>
      <c r="D190" s="17" t="s">
        <v>19</v>
      </c>
      <c r="E190" s="17" t="s">
        <v>337</v>
      </c>
      <c r="F190" s="17" t="s">
        <v>36</v>
      </c>
      <c r="G190" s="17" t="s">
        <v>37</v>
      </c>
      <c r="H190" s="18">
        <v>1.1999999999999886</v>
      </c>
      <c r="I190" s="18">
        <v>209.94999999999982</v>
      </c>
      <c r="J190" s="18">
        <v>0</v>
      </c>
      <c r="K190" s="18">
        <v>300</v>
      </c>
      <c r="L190" s="18">
        <v>498.8</v>
      </c>
      <c r="M190" s="18"/>
      <c r="N190" s="18">
        <f>Tabela1[[#This Row],[2ª QZ]]-Tabela1[[#This Row],[SALDO FINAL]]-Tabela1[[#This Row],[SALDO CARTAO]]-Tabela1[[#This Row],[Adiantamento ]]</f>
        <v>-198.8</v>
      </c>
      <c r="O190" s="18"/>
      <c r="P190" s="18">
        <f>IF(Tabela1[[#This Row],[CARGA PARCIAL]]&lt;0,0,Tabela1[[#This Row],[CARGA PARCIAL]])+Tabela1[[#This Row],[REEMBOLSO]]</f>
        <v>0</v>
      </c>
      <c r="Q190" s="17"/>
      <c r="R190" s="17" t="s">
        <v>23</v>
      </c>
    </row>
    <row r="191" spans="2:18">
      <c r="B191" s="17" t="s">
        <v>500</v>
      </c>
      <c r="C191" s="17" t="s">
        <v>501</v>
      </c>
      <c r="D191" s="17" t="s">
        <v>19</v>
      </c>
      <c r="E191" s="17" t="s">
        <v>502</v>
      </c>
      <c r="F191" s="17" t="s">
        <v>69</v>
      </c>
      <c r="G191" s="17" t="s">
        <v>37</v>
      </c>
      <c r="H191" s="18">
        <v>1622.4200000000005</v>
      </c>
      <c r="I191" s="18">
        <v>2000</v>
      </c>
      <c r="J191" s="18">
        <v>0</v>
      </c>
      <c r="K191" s="18">
        <v>2000</v>
      </c>
      <c r="L191" s="18">
        <v>1019.13</v>
      </c>
      <c r="M191" s="18"/>
      <c r="N191" s="18">
        <f>Tabela1[[#This Row],[2ª QZ]]-Tabela1[[#This Row],[SALDO FINAL]]-Tabela1[[#This Row],[SALDO CARTAO]]-Tabela1[[#This Row],[Adiantamento ]]</f>
        <v>980.87</v>
      </c>
      <c r="O191" s="18"/>
      <c r="P191" s="18">
        <f>IF(Tabela1[[#This Row],[CARGA PARCIAL]]&lt;0,0,Tabela1[[#This Row],[CARGA PARCIAL]])+Tabela1[[#This Row],[REEMBOLSO]]</f>
        <v>980.87</v>
      </c>
      <c r="Q191" s="17"/>
      <c r="R191" s="17" t="s">
        <v>23</v>
      </c>
    </row>
    <row r="192" spans="2:18">
      <c r="B192" s="17" t="s">
        <v>503</v>
      </c>
      <c r="C192" s="17" t="s">
        <v>504</v>
      </c>
      <c r="D192" s="17" t="s">
        <v>19</v>
      </c>
      <c r="E192" s="17" t="s">
        <v>91</v>
      </c>
      <c r="F192" s="17" t="s">
        <v>45</v>
      </c>
      <c r="G192" s="17" t="s">
        <v>37</v>
      </c>
      <c r="H192" s="18">
        <v>-5.6843418860808015E-14</v>
      </c>
      <c r="I192" s="18">
        <v>0</v>
      </c>
      <c r="J192" s="18">
        <v>0</v>
      </c>
      <c r="K192" s="18">
        <v>100</v>
      </c>
      <c r="L192" s="18">
        <v>7.5</v>
      </c>
      <c r="M192" s="18"/>
      <c r="N192" s="18">
        <f>Tabela1[[#This Row],[2ª QZ]]-Tabela1[[#This Row],[SALDO FINAL]]-Tabela1[[#This Row],[SALDO CARTAO]]-Tabela1[[#This Row],[Adiantamento ]]</f>
        <v>92.5</v>
      </c>
      <c r="O192" s="18"/>
      <c r="P192" s="18">
        <f>IF(Tabela1[[#This Row],[CARGA PARCIAL]]&lt;0,0,Tabela1[[#This Row],[CARGA PARCIAL]])+Tabela1[[#This Row],[REEMBOLSO]]</f>
        <v>92.5</v>
      </c>
      <c r="Q192" s="17"/>
      <c r="R192" s="17" t="s">
        <v>23</v>
      </c>
    </row>
    <row r="193" spans="2:18">
      <c r="B193" s="17" t="s">
        <v>505</v>
      </c>
      <c r="C193" s="17" t="s">
        <v>506</v>
      </c>
      <c r="D193" s="17" t="s">
        <v>19</v>
      </c>
      <c r="E193" s="17" t="s">
        <v>293</v>
      </c>
      <c r="F193" s="17" t="s">
        <v>69</v>
      </c>
      <c r="G193" s="17" t="s">
        <v>37</v>
      </c>
      <c r="H193" s="18">
        <v>283.39999999999566</v>
      </c>
      <c r="I193" s="18">
        <v>477.05000000000473</v>
      </c>
      <c r="J193" s="18">
        <v>0</v>
      </c>
      <c r="K193" s="18">
        <v>800</v>
      </c>
      <c r="L193" s="18">
        <v>436.4</v>
      </c>
      <c r="M193" s="18"/>
      <c r="N193" s="18">
        <f>Tabela1[[#This Row],[2ª QZ]]-Tabela1[[#This Row],[SALDO FINAL]]-Tabela1[[#This Row],[SALDO CARTAO]]-Tabela1[[#This Row],[Adiantamento ]]</f>
        <v>363.6</v>
      </c>
      <c r="O193" s="18"/>
      <c r="P193" s="18">
        <f>IF(Tabela1[[#This Row],[CARGA PARCIAL]]&lt;0,0,Tabela1[[#This Row],[CARGA PARCIAL]])+Tabela1[[#This Row],[REEMBOLSO]]</f>
        <v>363.6</v>
      </c>
      <c r="Q193" s="17"/>
      <c r="R193" s="17" t="s">
        <v>23</v>
      </c>
    </row>
    <row r="194" spans="2:18">
      <c r="B194" s="17" t="s">
        <v>507</v>
      </c>
      <c r="C194" s="17" t="s">
        <v>508</v>
      </c>
      <c r="D194" s="17" t="s">
        <v>19</v>
      </c>
      <c r="E194" s="17" t="s">
        <v>51</v>
      </c>
      <c r="F194" s="17" t="s">
        <v>31</v>
      </c>
      <c r="G194" s="17" t="s">
        <v>32</v>
      </c>
      <c r="H194" s="18">
        <v>436.37999999999806</v>
      </c>
      <c r="I194" s="18">
        <v>0</v>
      </c>
      <c r="J194" s="18">
        <f>Tabela1[[#This Row],[SALDO PENDENTE PARCIAL]]-Tabela1[[#This Row],[CARGA 1 QZ]]</f>
        <v>436.37999999999806</v>
      </c>
      <c r="K194" s="18">
        <v>700</v>
      </c>
      <c r="L194" s="18">
        <v>0.03</v>
      </c>
      <c r="M194" s="18"/>
      <c r="N194" s="18">
        <f>Tabela1[[#This Row],[2ª QZ]]-Tabela1[[#This Row],[SALDO FINAL]]-Tabela1[[#This Row],[SALDO CARTAO]]-Tabela1[[#This Row],[Adiantamento ]]</f>
        <v>263.59000000000196</v>
      </c>
      <c r="O194" s="18"/>
      <c r="P194" s="18">
        <f>IF(Tabela1[[#This Row],[CARGA PARCIAL]]&lt;0,0,Tabela1[[#This Row],[CARGA PARCIAL]])+Tabela1[[#This Row],[REEMBOLSO]]</f>
        <v>263.59000000000196</v>
      </c>
      <c r="Q194" s="17"/>
      <c r="R194" s="17" t="s">
        <v>23</v>
      </c>
    </row>
    <row r="195" spans="2:18">
      <c r="B195" s="17" t="s">
        <v>509</v>
      </c>
      <c r="C195" s="17" t="s">
        <v>510</v>
      </c>
      <c r="D195" s="17" t="s">
        <v>19</v>
      </c>
      <c r="E195" s="17" t="s">
        <v>387</v>
      </c>
      <c r="F195" s="17" t="s">
        <v>36</v>
      </c>
      <c r="G195" s="17" t="s">
        <v>37</v>
      </c>
      <c r="H195" s="18">
        <v>0</v>
      </c>
      <c r="I195" s="18">
        <v>350</v>
      </c>
      <c r="J195" s="18">
        <v>0</v>
      </c>
      <c r="K195" s="18">
        <v>700</v>
      </c>
      <c r="L195" s="18">
        <v>700</v>
      </c>
      <c r="M195" s="18"/>
      <c r="N195" s="18">
        <f>Tabela1[[#This Row],[2ª QZ]]-Tabela1[[#This Row],[SALDO FINAL]]-Tabela1[[#This Row],[SALDO CARTAO]]-Tabela1[[#This Row],[Adiantamento ]]</f>
        <v>0</v>
      </c>
      <c r="O195" s="18"/>
      <c r="P195" s="18">
        <f>IF(Tabela1[[#This Row],[CARGA PARCIAL]]&lt;0,0,Tabela1[[#This Row],[CARGA PARCIAL]])+Tabela1[[#This Row],[REEMBOLSO]]</f>
        <v>0</v>
      </c>
      <c r="Q195" s="17"/>
      <c r="R195" s="17" t="s">
        <v>23</v>
      </c>
    </row>
    <row r="196" spans="2:18">
      <c r="B196" s="17" t="s">
        <v>511</v>
      </c>
      <c r="C196" s="17" t="s">
        <v>512</v>
      </c>
      <c r="D196" s="17" t="s">
        <v>19</v>
      </c>
      <c r="E196" s="17" t="s">
        <v>513</v>
      </c>
      <c r="F196" s="17" t="s">
        <v>69</v>
      </c>
      <c r="G196" s="17" t="s">
        <v>37</v>
      </c>
      <c r="H196" s="18">
        <v>4000</v>
      </c>
      <c r="I196" s="18">
        <v>0</v>
      </c>
      <c r="J196" s="18">
        <f>Tabela1[[#This Row],[SALDO PENDENTE PARCIAL]]-Tabela1[[#This Row],[CARGA 1 QZ]]</f>
        <v>4000</v>
      </c>
      <c r="K196" s="18">
        <v>4000</v>
      </c>
      <c r="L196" s="18">
        <v>0</v>
      </c>
      <c r="M196" s="18"/>
      <c r="N196" s="18">
        <f>Tabela1[[#This Row],[2ª QZ]]-Tabela1[[#This Row],[SALDO FINAL]]-Tabela1[[#This Row],[SALDO CARTAO]]-Tabela1[[#This Row],[Adiantamento ]]</f>
        <v>0</v>
      </c>
      <c r="O196" s="18"/>
      <c r="P196" s="18">
        <f>IF(Tabela1[[#This Row],[CARGA PARCIAL]]&lt;0,0,Tabela1[[#This Row],[CARGA PARCIAL]])+Tabela1[[#This Row],[REEMBOLSO]]</f>
        <v>0</v>
      </c>
      <c r="Q196" s="17"/>
      <c r="R196" s="17" t="s">
        <v>23</v>
      </c>
    </row>
    <row r="197" spans="2:18">
      <c r="B197" s="17" t="s">
        <v>514</v>
      </c>
      <c r="C197" s="17" t="s">
        <v>515</v>
      </c>
      <c r="D197" s="17" t="s">
        <v>19</v>
      </c>
      <c r="E197" s="17" t="s">
        <v>225</v>
      </c>
      <c r="F197" s="17" t="s">
        <v>95</v>
      </c>
      <c r="G197" s="17" t="s">
        <v>22</v>
      </c>
      <c r="H197" s="18">
        <v>-2384.8900000000044</v>
      </c>
      <c r="I197" s="18">
        <v>2874.5249999999996</v>
      </c>
      <c r="J197" s="18">
        <v>0</v>
      </c>
      <c r="K197" s="18">
        <v>1500</v>
      </c>
      <c r="L197" s="18">
        <v>6.53</v>
      </c>
      <c r="M197" s="18"/>
      <c r="N197" s="18">
        <f>Tabela1[[#This Row],[2ª QZ]]-Tabela1[[#This Row],[SALDO FINAL]]-Tabela1[[#This Row],[SALDO CARTAO]]-Tabela1[[#This Row],[Adiantamento ]]</f>
        <v>1493.47</v>
      </c>
      <c r="O197" s="18"/>
      <c r="P197" s="18">
        <f>IF(Tabela1[[#This Row],[CARGA PARCIAL]]&lt;0,0,Tabela1[[#This Row],[CARGA PARCIAL]])+Tabela1[[#This Row],[REEMBOLSO]]</f>
        <v>1493.47</v>
      </c>
      <c r="Q197" s="17"/>
      <c r="R197" s="17" t="s">
        <v>23</v>
      </c>
    </row>
    <row r="198" spans="2:18">
      <c r="B198" s="17" t="s">
        <v>516</v>
      </c>
      <c r="C198" s="17" t="s">
        <v>517</v>
      </c>
      <c r="D198" s="17" t="s">
        <v>19</v>
      </c>
      <c r="E198" s="17" t="s">
        <v>518</v>
      </c>
      <c r="F198" s="17" t="s">
        <v>69</v>
      </c>
      <c r="G198" s="17" t="s">
        <v>37</v>
      </c>
      <c r="H198" s="18">
        <v>2260.5700000000024</v>
      </c>
      <c r="I198" s="18">
        <v>0</v>
      </c>
      <c r="J198" s="18">
        <f>Tabela1[[#This Row],[SALDO PENDENTE PARCIAL]]-Tabela1[[#This Row],[CARGA 1 QZ]]</f>
        <v>2260.5700000000024</v>
      </c>
      <c r="K198" s="18">
        <v>500</v>
      </c>
      <c r="L198" s="18">
        <v>307.47000000000003</v>
      </c>
      <c r="M198" s="18"/>
      <c r="N198" s="18">
        <f>Tabela1[[#This Row],[2ª QZ]]-Tabela1[[#This Row],[SALDO FINAL]]-Tabela1[[#This Row],[SALDO CARTAO]]-Tabela1[[#This Row],[Adiantamento ]]</f>
        <v>-2068.0400000000027</v>
      </c>
      <c r="O198" s="18"/>
      <c r="P198" s="18">
        <f>IF(Tabela1[[#This Row],[CARGA PARCIAL]]&lt;0,0,Tabela1[[#This Row],[CARGA PARCIAL]])+Tabela1[[#This Row],[REEMBOLSO]]</f>
        <v>0</v>
      </c>
      <c r="Q198" s="17"/>
      <c r="R198" s="17" t="s">
        <v>23</v>
      </c>
    </row>
    <row r="199" spans="2:18">
      <c r="B199" s="17" t="s">
        <v>519</v>
      </c>
      <c r="C199" s="17" t="s">
        <v>520</v>
      </c>
      <c r="D199" s="17" t="s">
        <v>19</v>
      </c>
      <c r="E199" s="17" t="s">
        <v>62</v>
      </c>
      <c r="F199" s="17" t="s">
        <v>36</v>
      </c>
      <c r="G199" s="17" t="s">
        <v>37</v>
      </c>
      <c r="H199" s="18">
        <v>233.6800000000012</v>
      </c>
      <c r="I199" s="18">
        <v>1662.9200000000008</v>
      </c>
      <c r="J199" s="18">
        <v>0</v>
      </c>
      <c r="K199" s="18">
        <v>2000</v>
      </c>
      <c r="L199" s="18">
        <v>1662.92</v>
      </c>
      <c r="M199" s="18"/>
      <c r="N199" s="18">
        <f>Tabela1[[#This Row],[2ª QZ]]-Tabela1[[#This Row],[SALDO FINAL]]-Tabela1[[#This Row],[SALDO CARTAO]]-Tabela1[[#This Row],[Adiantamento ]]</f>
        <v>337.07999999999993</v>
      </c>
      <c r="O199" s="18"/>
      <c r="P199" s="18">
        <f>IF(Tabela1[[#This Row],[CARGA PARCIAL]]&lt;0,0,Tabela1[[#This Row],[CARGA PARCIAL]])+Tabela1[[#This Row],[REEMBOLSO]]</f>
        <v>337.07999999999993</v>
      </c>
      <c r="Q199" s="17"/>
      <c r="R199" s="17" t="s">
        <v>23</v>
      </c>
    </row>
    <row r="200" spans="2:18">
      <c r="B200" s="17" t="s">
        <v>521</v>
      </c>
      <c r="C200" s="17" t="s">
        <v>522</v>
      </c>
      <c r="D200" s="17" t="s">
        <v>19</v>
      </c>
      <c r="E200" s="17" t="s">
        <v>523</v>
      </c>
      <c r="F200" s="17" t="s">
        <v>27</v>
      </c>
      <c r="G200" s="17" t="s">
        <v>22</v>
      </c>
      <c r="H200" s="18">
        <v>544.00000000000603</v>
      </c>
      <c r="I200" s="18">
        <v>1413.6099999999988</v>
      </c>
      <c r="J200" s="18">
        <v>0</v>
      </c>
      <c r="K200" s="18">
        <v>1000</v>
      </c>
      <c r="L200" s="18">
        <v>5.61</v>
      </c>
      <c r="M200" s="18"/>
      <c r="N200" s="18">
        <f>Tabela1[[#This Row],[2ª QZ]]-Tabela1[[#This Row],[SALDO FINAL]]-Tabela1[[#This Row],[SALDO CARTAO]]-Tabela1[[#This Row],[Adiantamento ]]</f>
        <v>994.39</v>
      </c>
      <c r="O200" s="18"/>
      <c r="P200" s="18">
        <f>IF(Tabela1[[#This Row],[CARGA PARCIAL]]&lt;0,0,Tabela1[[#This Row],[CARGA PARCIAL]])+Tabela1[[#This Row],[REEMBOLSO]]</f>
        <v>994.39</v>
      </c>
      <c r="Q200" s="17"/>
      <c r="R200" s="17" t="s">
        <v>23</v>
      </c>
    </row>
    <row r="201" spans="2:18">
      <c r="B201" s="17" t="s">
        <v>524</v>
      </c>
      <c r="C201" s="17" t="s">
        <v>525</v>
      </c>
      <c r="D201" s="17" t="s">
        <v>19</v>
      </c>
      <c r="E201" s="17" t="s">
        <v>54</v>
      </c>
      <c r="F201" s="17" t="s">
        <v>55</v>
      </c>
      <c r="G201" s="17" t="s">
        <v>22</v>
      </c>
      <c r="H201" s="18">
        <v>-94.309999999996307</v>
      </c>
      <c r="I201" s="18">
        <v>639.59000000000015</v>
      </c>
      <c r="J201" s="18">
        <v>0</v>
      </c>
      <c r="K201" s="18">
        <v>200</v>
      </c>
      <c r="L201" s="18">
        <v>652.30999999999995</v>
      </c>
      <c r="M201" s="18"/>
      <c r="N201" s="18">
        <f>Tabela1[[#This Row],[2ª QZ]]-Tabela1[[#This Row],[SALDO FINAL]]-Tabela1[[#This Row],[SALDO CARTAO]]-Tabela1[[#This Row],[Adiantamento ]]</f>
        <v>-452.30999999999995</v>
      </c>
      <c r="O201" s="18"/>
      <c r="P201" s="18">
        <f>IF(Tabela1[[#This Row],[CARGA PARCIAL]]&lt;0,0,Tabela1[[#This Row],[CARGA PARCIAL]])+Tabela1[[#This Row],[REEMBOLSO]]</f>
        <v>0</v>
      </c>
      <c r="Q201" s="17"/>
      <c r="R201" s="17" t="s">
        <v>23</v>
      </c>
    </row>
    <row r="202" spans="2:18">
      <c r="B202" s="17" t="s">
        <v>526</v>
      </c>
      <c r="C202" s="17" t="s">
        <v>527</v>
      </c>
      <c r="D202" s="17" t="s">
        <v>19</v>
      </c>
      <c r="E202" s="17" t="s">
        <v>54</v>
      </c>
      <c r="F202" s="17" t="s">
        <v>55</v>
      </c>
      <c r="G202" s="17" t="s">
        <v>22</v>
      </c>
      <c r="H202" s="18">
        <v>1.1368683772161603E-12</v>
      </c>
      <c r="I202" s="18">
        <v>842.90999999999804</v>
      </c>
      <c r="J202" s="18">
        <v>0</v>
      </c>
      <c r="K202" s="18">
        <v>1000</v>
      </c>
      <c r="L202" s="18">
        <v>279.22000000000003</v>
      </c>
      <c r="M202" s="18"/>
      <c r="N202" s="18">
        <f>Tabela1[[#This Row],[2ª QZ]]-Tabela1[[#This Row],[SALDO FINAL]]-Tabela1[[#This Row],[SALDO CARTAO]]-Tabela1[[#This Row],[Adiantamento ]]</f>
        <v>720.78</v>
      </c>
      <c r="O202" s="18"/>
      <c r="P202" s="18">
        <f>IF(Tabela1[[#This Row],[CARGA PARCIAL]]&lt;0,0,Tabela1[[#This Row],[CARGA PARCIAL]])+Tabela1[[#This Row],[REEMBOLSO]]</f>
        <v>720.78</v>
      </c>
      <c r="Q202" s="17"/>
      <c r="R202" s="17" t="s">
        <v>23</v>
      </c>
    </row>
    <row r="203" spans="2:18">
      <c r="B203" s="17" t="s">
        <v>528</v>
      </c>
      <c r="C203" s="17" t="s">
        <v>529</v>
      </c>
      <c r="D203" s="17" t="s">
        <v>19</v>
      </c>
      <c r="E203" s="17" t="s">
        <v>135</v>
      </c>
      <c r="F203" s="17" t="s">
        <v>36</v>
      </c>
      <c r="G203" s="17" t="s">
        <v>37</v>
      </c>
      <c r="H203" s="18">
        <v>-124.89999999999964</v>
      </c>
      <c r="I203" s="18">
        <v>681.0699999999988</v>
      </c>
      <c r="J203" s="18">
        <v>0</v>
      </c>
      <c r="K203" s="18">
        <v>800</v>
      </c>
      <c r="L203" s="18">
        <v>2.5</v>
      </c>
      <c r="M203" s="18"/>
      <c r="N203" s="18">
        <f>Tabela1[[#This Row],[2ª QZ]]-Tabela1[[#This Row],[SALDO FINAL]]-Tabela1[[#This Row],[SALDO CARTAO]]-Tabela1[[#This Row],[Adiantamento ]]</f>
        <v>797.5</v>
      </c>
      <c r="O203" s="18"/>
      <c r="P203" s="18">
        <f>IF(Tabela1[[#This Row],[CARGA PARCIAL]]&lt;0,0,Tabela1[[#This Row],[CARGA PARCIAL]])+Tabela1[[#This Row],[REEMBOLSO]]</f>
        <v>797.5</v>
      </c>
      <c r="Q203" s="17"/>
      <c r="R203" s="17" t="s">
        <v>23</v>
      </c>
    </row>
    <row r="204" spans="2:18">
      <c r="B204" s="17" t="s">
        <v>530</v>
      </c>
      <c r="C204" s="17" t="s">
        <v>531</v>
      </c>
      <c r="D204" s="17" t="s">
        <v>19</v>
      </c>
      <c r="E204" s="17" t="s">
        <v>135</v>
      </c>
      <c r="F204" s="17" t="s">
        <v>36</v>
      </c>
      <c r="G204" s="17" t="s">
        <v>37</v>
      </c>
      <c r="H204" s="18">
        <v>792.41000000000361</v>
      </c>
      <c r="I204" s="18">
        <v>507.29999999999382</v>
      </c>
      <c r="J204" s="18">
        <f>Tabela1[[#This Row],[SALDO PENDENTE PARCIAL]]-Tabela1[[#This Row],[CARGA 1 QZ]]</f>
        <v>285.11000000000979</v>
      </c>
      <c r="K204" s="18">
        <v>800</v>
      </c>
      <c r="L204" s="18">
        <v>7.59</v>
      </c>
      <c r="M204" s="18"/>
      <c r="N204" s="18">
        <f>Tabela1[[#This Row],[2ª QZ]]-Tabela1[[#This Row],[SALDO FINAL]]-Tabela1[[#This Row],[SALDO CARTAO]]-Tabela1[[#This Row],[Adiantamento ]]</f>
        <v>507.29999999999023</v>
      </c>
      <c r="O204" s="18"/>
      <c r="P204" s="18">
        <f>IF(Tabela1[[#This Row],[CARGA PARCIAL]]&lt;0,0,Tabela1[[#This Row],[CARGA PARCIAL]])+Tabela1[[#This Row],[REEMBOLSO]]</f>
        <v>507.29999999999023</v>
      </c>
      <c r="Q204" s="17"/>
      <c r="R204" s="17" t="s">
        <v>23</v>
      </c>
    </row>
    <row r="205" spans="2:18">
      <c r="B205" s="17" t="s">
        <v>532</v>
      </c>
      <c r="C205" s="17" t="s">
        <v>533</v>
      </c>
      <c r="D205" s="17" t="s">
        <v>19</v>
      </c>
      <c r="E205" s="17" t="s">
        <v>196</v>
      </c>
      <c r="F205" s="17" t="s">
        <v>31</v>
      </c>
      <c r="G205" s="17" t="s">
        <v>32</v>
      </c>
      <c r="H205" s="18">
        <v>733.25000000000205</v>
      </c>
      <c r="I205" s="18">
        <v>0</v>
      </c>
      <c r="J205" s="18">
        <f>Tabela1[[#This Row],[SALDO PENDENTE PARCIAL]]-Tabela1[[#This Row],[CARGA 1 QZ]]</f>
        <v>733.25000000000205</v>
      </c>
      <c r="K205" s="18">
        <v>1000</v>
      </c>
      <c r="L205" s="18">
        <v>274.76</v>
      </c>
      <c r="M205" s="18"/>
      <c r="N205" s="18">
        <f>Tabela1[[#This Row],[2ª QZ]]-Tabela1[[#This Row],[SALDO FINAL]]-Tabela1[[#This Row],[SALDO CARTAO]]-Tabela1[[#This Row],[Adiantamento ]]</f>
        <v>-8.0100000000020373</v>
      </c>
      <c r="O205" s="18"/>
      <c r="P205" s="18">
        <f>IF(Tabela1[[#This Row],[CARGA PARCIAL]]&lt;0,0,Tabela1[[#This Row],[CARGA PARCIAL]])+Tabela1[[#This Row],[REEMBOLSO]]</f>
        <v>0</v>
      </c>
      <c r="Q205" s="17"/>
      <c r="R205" s="17" t="s">
        <v>23</v>
      </c>
    </row>
    <row r="206" spans="2:18">
      <c r="B206" s="17" t="s">
        <v>534</v>
      </c>
      <c r="C206" s="17" t="s">
        <v>535</v>
      </c>
      <c r="D206" s="17" t="s">
        <v>19</v>
      </c>
      <c r="E206" s="17" t="s">
        <v>44</v>
      </c>
      <c r="F206" s="17" t="s">
        <v>45</v>
      </c>
      <c r="G206" s="17" t="s">
        <v>37</v>
      </c>
      <c r="H206" s="18">
        <v>-36.650000000000091</v>
      </c>
      <c r="I206" s="18">
        <v>138.32500000000005</v>
      </c>
      <c r="J206" s="18">
        <v>0</v>
      </c>
      <c r="K206" s="18">
        <v>120</v>
      </c>
      <c r="L206" s="18">
        <v>100</v>
      </c>
      <c r="M206" s="18"/>
      <c r="N206" s="18">
        <f>Tabela1[[#This Row],[2ª QZ]]-Tabela1[[#This Row],[SALDO FINAL]]-Tabela1[[#This Row],[SALDO CARTAO]]-Tabela1[[#This Row],[Adiantamento ]]</f>
        <v>20</v>
      </c>
      <c r="O206" s="18"/>
      <c r="P206" s="18">
        <f>IF(Tabela1[[#This Row],[CARGA PARCIAL]]&lt;0,0,Tabela1[[#This Row],[CARGA PARCIAL]])+Tabela1[[#This Row],[REEMBOLSO]]</f>
        <v>20</v>
      </c>
      <c r="Q206" s="17"/>
      <c r="R206" s="17" t="s">
        <v>23</v>
      </c>
    </row>
    <row r="207" spans="2:18">
      <c r="B207" s="17" t="s">
        <v>536</v>
      </c>
      <c r="C207" s="17" t="s">
        <v>537</v>
      </c>
      <c r="D207" s="17" t="s">
        <v>19</v>
      </c>
      <c r="E207" s="17" t="s">
        <v>91</v>
      </c>
      <c r="F207" s="17" t="s">
        <v>45</v>
      </c>
      <c r="G207" s="17" t="s">
        <v>37</v>
      </c>
      <c r="H207" s="18">
        <v>-28.399999999999864</v>
      </c>
      <c r="I207" s="18">
        <v>14.200000000000045</v>
      </c>
      <c r="J207" s="18">
        <v>0</v>
      </c>
      <c r="K207" s="18">
        <v>100</v>
      </c>
      <c r="L207" s="18">
        <v>4</v>
      </c>
      <c r="M207" s="18"/>
      <c r="N207" s="18">
        <f>Tabela1[[#This Row],[2ª QZ]]-Tabela1[[#This Row],[SALDO FINAL]]-Tabela1[[#This Row],[SALDO CARTAO]]-Tabela1[[#This Row],[Adiantamento ]]</f>
        <v>96</v>
      </c>
      <c r="O207" s="18"/>
      <c r="P207" s="18">
        <f>IF(Tabela1[[#This Row],[CARGA PARCIAL]]&lt;0,0,Tabela1[[#This Row],[CARGA PARCIAL]])+Tabela1[[#This Row],[REEMBOLSO]]</f>
        <v>96</v>
      </c>
      <c r="Q207" s="17"/>
      <c r="R207" s="17" t="s">
        <v>23</v>
      </c>
    </row>
    <row r="208" spans="2:18">
      <c r="B208" s="17" t="s">
        <v>538</v>
      </c>
      <c r="C208" s="17" t="s">
        <v>539</v>
      </c>
      <c r="D208" s="17" t="s">
        <v>19</v>
      </c>
      <c r="E208" s="17" t="s">
        <v>540</v>
      </c>
      <c r="F208" s="17" t="s">
        <v>27</v>
      </c>
      <c r="G208" s="17" t="s">
        <v>22</v>
      </c>
      <c r="H208" s="18">
        <v>1400.7399999999723</v>
      </c>
      <c r="I208" s="18">
        <v>2525.8500000000276</v>
      </c>
      <c r="J208" s="18">
        <v>0</v>
      </c>
      <c r="K208" s="18">
        <v>6000</v>
      </c>
      <c r="L208" s="18">
        <v>14.91</v>
      </c>
      <c r="M208" s="18"/>
      <c r="N208" s="18">
        <f>Tabela1[[#This Row],[2ª QZ]]-Tabela1[[#This Row],[SALDO FINAL]]-Tabela1[[#This Row],[SALDO CARTAO]]-Tabela1[[#This Row],[Adiantamento ]]</f>
        <v>5985.09</v>
      </c>
      <c r="O208" s="18"/>
      <c r="P208" s="18">
        <f>IF(Tabela1[[#This Row],[CARGA PARCIAL]]&lt;0,0,Tabela1[[#This Row],[CARGA PARCIAL]])+Tabela1[[#This Row],[REEMBOLSO]]</f>
        <v>5985.09</v>
      </c>
      <c r="Q208" s="17"/>
      <c r="R208" s="17" t="s">
        <v>23</v>
      </c>
    </row>
    <row r="209" spans="2:18">
      <c r="B209" s="17" t="s">
        <v>541</v>
      </c>
      <c r="C209" s="17" t="s">
        <v>542</v>
      </c>
      <c r="D209" s="17" t="s">
        <v>19</v>
      </c>
      <c r="E209" s="17" t="s">
        <v>196</v>
      </c>
      <c r="F209" s="17" t="s">
        <v>31</v>
      </c>
      <c r="G209" s="17" t="s">
        <v>32</v>
      </c>
      <c r="H209" s="18">
        <v>1705.37</v>
      </c>
      <c r="I209" s="18">
        <v>0</v>
      </c>
      <c r="J209" s="18">
        <f>Tabela1[[#This Row],[SALDO PENDENTE PARCIAL]]-Tabela1[[#This Row],[CARGA 1 QZ]]</f>
        <v>1705.37</v>
      </c>
      <c r="K209" s="18">
        <v>1500</v>
      </c>
      <c r="L209" s="18">
        <v>0</v>
      </c>
      <c r="M209" s="18"/>
      <c r="N209" s="18">
        <f>Tabela1[[#This Row],[2ª QZ]]-Tabela1[[#This Row],[SALDO FINAL]]-Tabela1[[#This Row],[SALDO CARTAO]]-Tabela1[[#This Row],[Adiantamento ]]</f>
        <v>-205.36999999999989</v>
      </c>
      <c r="O209" s="18"/>
      <c r="P209" s="18">
        <f>IF(Tabela1[[#This Row],[CARGA PARCIAL]]&lt;0,0,Tabela1[[#This Row],[CARGA PARCIAL]])+Tabela1[[#This Row],[REEMBOLSO]]</f>
        <v>0</v>
      </c>
      <c r="Q209" s="17"/>
      <c r="R209" s="17" t="s">
        <v>23</v>
      </c>
    </row>
    <row r="210" spans="2:18">
      <c r="B210" s="17" t="s">
        <v>543</v>
      </c>
      <c r="C210" s="17" t="s">
        <v>544</v>
      </c>
      <c r="D210" s="17" t="s">
        <v>19</v>
      </c>
      <c r="E210" s="17" t="s">
        <v>138</v>
      </c>
      <c r="F210" s="17" t="s">
        <v>21</v>
      </c>
      <c r="G210" s="17" t="s">
        <v>22</v>
      </c>
      <c r="H210" s="18">
        <v>1999.8200000000004</v>
      </c>
      <c r="I210" s="18">
        <v>1959.0699999999961</v>
      </c>
      <c r="J210" s="18">
        <f>Tabela1[[#This Row],[SALDO PENDENTE PARCIAL]]-Tabela1[[#This Row],[CARGA 1 QZ]]</f>
        <v>40.75000000000432</v>
      </c>
      <c r="K210" s="18">
        <v>3000</v>
      </c>
      <c r="L210" s="18">
        <v>9.61</v>
      </c>
      <c r="M210" s="18"/>
      <c r="N210" s="18">
        <f>Tabela1[[#This Row],[2ª QZ]]-Tabela1[[#This Row],[SALDO FINAL]]-Tabela1[[#This Row],[SALDO CARTAO]]-Tabela1[[#This Row],[Adiantamento ]]</f>
        <v>2949.6399999999953</v>
      </c>
      <c r="O210" s="18"/>
      <c r="P210" s="18">
        <f>IF(Tabela1[[#This Row],[CARGA PARCIAL]]&lt;0,0,Tabela1[[#This Row],[CARGA PARCIAL]])+Tabela1[[#This Row],[REEMBOLSO]]</f>
        <v>2949.6399999999953</v>
      </c>
      <c r="Q210" s="17"/>
      <c r="R210" s="17" t="s">
        <v>23</v>
      </c>
    </row>
    <row r="211" spans="2:18">
      <c r="B211" s="17" t="s">
        <v>545</v>
      </c>
      <c r="C211" s="17" t="s">
        <v>546</v>
      </c>
      <c r="D211" s="17" t="s">
        <v>19</v>
      </c>
      <c r="E211" s="17" t="s">
        <v>91</v>
      </c>
      <c r="F211" s="17" t="s">
        <v>45</v>
      </c>
      <c r="G211" s="17" t="s">
        <v>37</v>
      </c>
      <c r="H211" s="18">
        <v>-33.400000000000091</v>
      </c>
      <c r="I211" s="18">
        <v>38.300000000000054</v>
      </c>
      <c r="J211" s="18">
        <v>0</v>
      </c>
      <c r="K211" s="18">
        <v>100</v>
      </c>
      <c r="L211" s="18">
        <v>100</v>
      </c>
      <c r="M211" s="18"/>
      <c r="N211" s="18">
        <f>Tabela1[[#This Row],[2ª QZ]]-Tabela1[[#This Row],[SALDO FINAL]]-Tabela1[[#This Row],[SALDO CARTAO]]-Tabela1[[#This Row],[Adiantamento ]]</f>
        <v>0</v>
      </c>
      <c r="O211" s="18"/>
      <c r="P211" s="18">
        <f>IF(Tabela1[[#This Row],[CARGA PARCIAL]]&lt;0,0,Tabela1[[#This Row],[CARGA PARCIAL]])+Tabela1[[#This Row],[REEMBOLSO]]</f>
        <v>0</v>
      </c>
      <c r="Q211" s="17"/>
      <c r="R211" s="17" t="s">
        <v>23</v>
      </c>
    </row>
    <row r="212" spans="2:18">
      <c r="B212" s="17" t="s">
        <v>547</v>
      </c>
      <c r="C212" s="17" t="s">
        <v>548</v>
      </c>
      <c r="D212" s="17" t="s">
        <v>19</v>
      </c>
      <c r="E212" s="17" t="s">
        <v>91</v>
      </c>
      <c r="F212" s="17" t="s">
        <v>45</v>
      </c>
      <c r="G212" s="17" t="s">
        <v>37</v>
      </c>
      <c r="H212" s="18">
        <v>-25.500000000000043</v>
      </c>
      <c r="I212" s="18">
        <v>25.499999999999943</v>
      </c>
      <c r="J212" s="18">
        <v>0</v>
      </c>
      <c r="K212" s="18">
        <v>150</v>
      </c>
      <c r="L212" s="18">
        <v>59.3</v>
      </c>
      <c r="M212" s="18"/>
      <c r="N212" s="18">
        <f>Tabela1[[#This Row],[2ª QZ]]-Tabela1[[#This Row],[SALDO FINAL]]-Tabela1[[#This Row],[SALDO CARTAO]]-Tabela1[[#This Row],[Adiantamento ]]</f>
        <v>90.7</v>
      </c>
      <c r="O212" s="18"/>
      <c r="P212" s="18">
        <f>IF(Tabela1[[#This Row],[CARGA PARCIAL]]&lt;0,0,Tabela1[[#This Row],[CARGA PARCIAL]])+Tabela1[[#This Row],[REEMBOLSO]]</f>
        <v>90.7</v>
      </c>
      <c r="Q212" s="17"/>
      <c r="R212" s="17" t="s">
        <v>23</v>
      </c>
    </row>
    <row r="213" spans="2:18">
      <c r="B213" s="17" t="s">
        <v>549</v>
      </c>
      <c r="C213" s="17" t="s">
        <v>550</v>
      </c>
      <c r="D213" s="17" t="s">
        <v>19</v>
      </c>
      <c r="E213" s="17" t="s">
        <v>551</v>
      </c>
      <c r="F213" s="17" t="s">
        <v>95</v>
      </c>
      <c r="G213" s="17" t="s">
        <v>22</v>
      </c>
      <c r="H213" s="18">
        <v>1028.6399999999082</v>
      </c>
      <c r="I213" s="18">
        <v>320.82000000009447</v>
      </c>
      <c r="J213" s="18">
        <f>Tabela1[[#This Row],[SALDO PENDENTE PARCIAL]]-Tabela1[[#This Row],[CARGA 1 QZ]]</f>
        <v>707.81999999981372</v>
      </c>
      <c r="K213" s="18">
        <v>4000</v>
      </c>
      <c r="L213" s="18">
        <v>6.91</v>
      </c>
      <c r="M213" s="18"/>
      <c r="N213" s="18">
        <f>Tabela1[[#This Row],[2ª QZ]]-Tabela1[[#This Row],[SALDO FINAL]]-Tabela1[[#This Row],[SALDO CARTAO]]-Tabela1[[#This Row],[Adiantamento ]]</f>
        <v>3285.2700000001864</v>
      </c>
      <c r="O213" s="18"/>
      <c r="P213" s="18">
        <f>IF(Tabela1[[#This Row],[CARGA PARCIAL]]&lt;0,0,Tabela1[[#This Row],[CARGA PARCIAL]])+Tabela1[[#This Row],[REEMBOLSO]]</f>
        <v>3285.2700000001864</v>
      </c>
      <c r="Q213" s="17"/>
      <c r="R213" s="17" t="s">
        <v>23</v>
      </c>
    </row>
    <row r="214" spans="2:18">
      <c r="B214" s="17" t="s">
        <v>552</v>
      </c>
      <c r="C214" s="17" t="s">
        <v>553</v>
      </c>
      <c r="D214" s="17" t="s">
        <v>19</v>
      </c>
      <c r="E214" s="17" t="s">
        <v>242</v>
      </c>
      <c r="F214" s="17" t="s">
        <v>36</v>
      </c>
      <c r="G214" s="17" t="s">
        <v>37</v>
      </c>
      <c r="H214" s="18">
        <v>3317.6199999999217</v>
      </c>
      <c r="I214" s="18">
        <v>275.43000000003667</v>
      </c>
      <c r="J214" s="18">
        <f>Tabela1[[#This Row],[SALDO PENDENTE PARCIAL]]-Tabela1[[#This Row],[CARGA 1 QZ]]</f>
        <v>3042.189999999885</v>
      </c>
      <c r="K214" s="18">
        <v>6500</v>
      </c>
      <c r="L214" s="18">
        <v>1507.28</v>
      </c>
      <c r="M214" s="18"/>
      <c r="N214" s="18">
        <f>Tabela1[[#This Row],[2ª QZ]]-Tabela1[[#This Row],[SALDO FINAL]]-Tabela1[[#This Row],[SALDO CARTAO]]-Tabela1[[#This Row],[Adiantamento ]]</f>
        <v>1950.530000000115</v>
      </c>
      <c r="O214" s="18"/>
      <c r="P214" s="18">
        <f>IF(Tabela1[[#This Row],[CARGA PARCIAL]]&lt;0,0,Tabela1[[#This Row],[CARGA PARCIAL]])+Tabela1[[#This Row],[REEMBOLSO]]</f>
        <v>1950.530000000115</v>
      </c>
      <c r="Q214" s="17"/>
      <c r="R214" s="17" t="s">
        <v>23</v>
      </c>
    </row>
    <row r="215" spans="2:18">
      <c r="B215" s="17" t="s">
        <v>554</v>
      </c>
      <c r="C215" s="17" t="s">
        <v>555</v>
      </c>
      <c r="D215" s="17" t="s">
        <v>19</v>
      </c>
      <c r="E215" s="17" t="s">
        <v>91</v>
      </c>
      <c r="F215" s="17" t="s">
        <v>45</v>
      </c>
      <c r="G215" s="17" t="s">
        <v>37</v>
      </c>
      <c r="H215" s="18">
        <v>93.549999999999386</v>
      </c>
      <c r="I215" s="18">
        <v>0</v>
      </c>
      <c r="J215" s="18">
        <f>Tabela1[[#This Row],[SALDO PENDENTE PARCIAL]]-Tabela1[[#This Row],[CARGA 1 QZ]]</f>
        <v>93.549999999999386</v>
      </c>
      <c r="K215" s="18">
        <v>150</v>
      </c>
      <c r="L215" s="18">
        <v>79.87</v>
      </c>
      <c r="M215" s="18"/>
      <c r="N215" s="18">
        <f>Tabela1[[#This Row],[2ª QZ]]-Tabela1[[#This Row],[SALDO FINAL]]-Tabela1[[#This Row],[SALDO CARTAO]]-Tabela1[[#This Row],[Adiantamento ]]</f>
        <v>-23.419999999999391</v>
      </c>
      <c r="O215" s="18"/>
      <c r="P215" s="18">
        <f>IF(Tabela1[[#This Row],[CARGA PARCIAL]]&lt;0,0,Tabela1[[#This Row],[CARGA PARCIAL]])+Tabela1[[#This Row],[REEMBOLSO]]</f>
        <v>0</v>
      </c>
      <c r="Q215" s="17"/>
      <c r="R215" s="17" t="s">
        <v>23</v>
      </c>
    </row>
    <row r="216" spans="2:18">
      <c r="B216" s="17" t="s">
        <v>556</v>
      </c>
      <c r="C216" s="17" t="s">
        <v>557</v>
      </c>
      <c r="D216" s="17" t="s">
        <v>19</v>
      </c>
      <c r="E216" s="17" t="s">
        <v>135</v>
      </c>
      <c r="F216" s="17" t="s">
        <v>36</v>
      </c>
      <c r="G216" s="17" t="s">
        <v>37</v>
      </c>
      <c r="H216" s="18">
        <v>-174.19999999999197</v>
      </c>
      <c r="I216" s="18">
        <v>897.61000000000445</v>
      </c>
      <c r="J216" s="18">
        <v>0</v>
      </c>
      <c r="K216" s="18">
        <v>800</v>
      </c>
      <c r="L216" s="18">
        <v>456.15</v>
      </c>
      <c r="M216" s="18"/>
      <c r="N216" s="18">
        <f>Tabela1[[#This Row],[2ª QZ]]-Tabela1[[#This Row],[SALDO FINAL]]-Tabela1[[#This Row],[SALDO CARTAO]]-Tabela1[[#This Row],[Adiantamento ]]</f>
        <v>343.85</v>
      </c>
      <c r="O216" s="18"/>
      <c r="P216" s="18">
        <f>IF(Tabela1[[#This Row],[CARGA PARCIAL]]&lt;0,0,Tabela1[[#This Row],[CARGA PARCIAL]])+Tabela1[[#This Row],[REEMBOLSO]]</f>
        <v>343.85</v>
      </c>
      <c r="Q216" s="17"/>
      <c r="R216" s="17" t="s">
        <v>23</v>
      </c>
    </row>
    <row r="217" spans="2:18">
      <c r="B217" s="17" t="s">
        <v>558</v>
      </c>
      <c r="C217" s="17" t="s">
        <v>559</v>
      </c>
      <c r="D217" s="17" t="s">
        <v>19</v>
      </c>
      <c r="E217" s="17" t="s">
        <v>183</v>
      </c>
      <c r="F217" s="17" t="s">
        <v>69</v>
      </c>
      <c r="G217" s="17" t="s">
        <v>37</v>
      </c>
      <c r="H217" s="18">
        <v>2205.8599999999997</v>
      </c>
      <c r="I217" s="18">
        <v>0</v>
      </c>
      <c r="J217" s="18">
        <f>Tabela1[[#This Row],[SALDO PENDENTE PARCIAL]]-Tabela1[[#This Row],[CARGA 1 QZ]]</f>
        <v>2205.8599999999997</v>
      </c>
      <c r="K217" s="18">
        <v>1000</v>
      </c>
      <c r="L217" s="18">
        <v>3</v>
      </c>
      <c r="M217" s="18"/>
      <c r="N217" s="18">
        <f>Tabela1[[#This Row],[2ª QZ]]-Tabela1[[#This Row],[SALDO FINAL]]-Tabela1[[#This Row],[SALDO CARTAO]]-Tabela1[[#This Row],[Adiantamento ]]</f>
        <v>-1208.8599999999997</v>
      </c>
      <c r="O217" s="18"/>
      <c r="P217" s="18">
        <f>IF(Tabela1[[#This Row],[CARGA PARCIAL]]&lt;0,0,Tabela1[[#This Row],[CARGA PARCIAL]])+Tabela1[[#This Row],[REEMBOLSO]]</f>
        <v>0</v>
      </c>
      <c r="Q217" s="17"/>
      <c r="R217" s="17" t="s">
        <v>23</v>
      </c>
    </row>
    <row r="218" spans="2:18">
      <c r="B218" s="17" t="s">
        <v>560</v>
      </c>
      <c r="C218" s="17" t="s">
        <v>561</v>
      </c>
      <c r="D218" s="17" t="s">
        <v>19</v>
      </c>
      <c r="E218" s="17" t="s">
        <v>350</v>
      </c>
      <c r="F218" s="17" t="s">
        <v>21</v>
      </c>
      <c r="G218" s="17" t="s">
        <v>22</v>
      </c>
      <c r="H218" s="18">
        <v>649.04000000000383</v>
      </c>
      <c r="I218" s="18">
        <v>0</v>
      </c>
      <c r="J218" s="18">
        <f>Tabela1[[#This Row],[SALDO PENDENTE PARCIAL]]-Tabela1[[#This Row],[CARGA 1 QZ]]</f>
        <v>649.04000000000383</v>
      </c>
      <c r="K218" s="18">
        <v>800</v>
      </c>
      <c r="L218" s="18">
        <v>157.30000000000001</v>
      </c>
      <c r="M218" s="18"/>
      <c r="N218" s="18">
        <f>Tabela1[[#This Row],[2ª QZ]]-Tabela1[[#This Row],[SALDO FINAL]]-Tabela1[[#This Row],[SALDO CARTAO]]-Tabela1[[#This Row],[Adiantamento ]]</f>
        <v>-6.3400000000038403</v>
      </c>
      <c r="O218" s="18"/>
      <c r="P218" s="18">
        <f>IF(Tabela1[[#This Row],[CARGA PARCIAL]]&lt;0,0,Tabela1[[#This Row],[CARGA PARCIAL]])+Tabela1[[#This Row],[REEMBOLSO]]</f>
        <v>0</v>
      </c>
      <c r="Q218" s="17"/>
      <c r="R218" s="17" t="s">
        <v>23</v>
      </c>
    </row>
    <row r="219" spans="2:18">
      <c r="B219" s="17" t="s">
        <v>562</v>
      </c>
      <c r="C219" s="17" t="s">
        <v>563</v>
      </c>
      <c r="D219" s="17" t="s">
        <v>19</v>
      </c>
      <c r="E219" s="17" t="s">
        <v>564</v>
      </c>
      <c r="F219" s="17" t="s">
        <v>27</v>
      </c>
      <c r="G219" s="17" t="s">
        <v>22</v>
      </c>
      <c r="H219" s="18">
        <v>26.309999999992726</v>
      </c>
      <c r="I219" s="18">
        <v>1037.6900000000169</v>
      </c>
      <c r="J219" s="18">
        <v>0</v>
      </c>
      <c r="K219" s="18">
        <v>1500</v>
      </c>
      <c r="L219" s="18">
        <v>59.69</v>
      </c>
      <c r="M219" s="18"/>
      <c r="N219" s="18">
        <f>Tabela1[[#This Row],[2ª QZ]]-Tabela1[[#This Row],[SALDO FINAL]]-Tabela1[[#This Row],[SALDO CARTAO]]-Tabela1[[#This Row],[Adiantamento ]]</f>
        <v>1440.31</v>
      </c>
      <c r="O219" s="18"/>
      <c r="P219" s="18">
        <f>IF(Tabela1[[#This Row],[CARGA PARCIAL]]&lt;0,0,Tabela1[[#This Row],[CARGA PARCIAL]])+Tabela1[[#This Row],[REEMBOLSO]]</f>
        <v>1440.31</v>
      </c>
      <c r="Q219" s="17"/>
      <c r="R219" s="17" t="s">
        <v>23</v>
      </c>
    </row>
    <row r="220" spans="2:18">
      <c r="B220" s="17" t="s">
        <v>565</v>
      </c>
      <c r="C220" s="17" t="s">
        <v>566</v>
      </c>
      <c r="D220" s="17" t="s">
        <v>19</v>
      </c>
      <c r="E220" s="17" t="s">
        <v>183</v>
      </c>
      <c r="F220" s="17" t="s">
        <v>69</v>
      </c>
      <c r="G220" s="17" t="s">
        <v>37</v>
      </c>
      <c r="H220" s="18">
        <v>663.13000000000955</v>
      </c>
      <c r="I220" s="18">
        <v>637.63999999999578</v>
      </c>
      <c r="J220" s="18">
        <f>Tabela1[[#This Row],[SALDO PENDENTE PARCIAL]]-Tabela1[[#This Row],[CARGA 1 QZ]]</f>
        <v>25.490000000013765</v>
      </c>
      <c r="K220" s="18">
        <v>800</v>
      </c>
      <c r="L220" s="18">
        <v>3.64</v>
      </c>
      <c r="M220" s="18"/>
      <c r="N220" s="18">
        <f>Tabela1[[#This Row],[2ª QZ]]-Tabela1[[#This Row],[SALDO FINAL]]-Tabela1[[#This Row],[SALDO CARTAO]]-Tabela1[[#This Row],[Adiantamento ]]</f>
        <v>770.86999999998625</v>
      </c>
      <c r="O220" s="18"/>
      <c r="P220" s="18">
        <f>IF(Tabela1[[#This Row],[CARGA PARCIAL]]&lt;0,0,Tabela1[[#This Row],[CARGA PARCIAL]])+Tabela1[[#This Row],[REEMBOLSO]]</f>
        <v>770.86999999998625</v>
      </c>
      <c r="Q220" s="17"/>
      <c r="R220" s="17" t="s">
        <v>23</v>
      </c>
    </row>
    <row r="221" spans="2:18">
      <c r="B221" s="17" t="s">
        <v>567</v>
      </c>
      <c r="C221" s="17" t="s">
        <v>568</v>
      </c>
      <c r="D221" s="17" t="s">
        <v>19</v>
      </c>
      <c r="E221" s="17" t="s">
        <v>569</v>
      </c>
      <c r="F221" s="17" t="s">
        <v>41</v>
      </c>
      <c r="G221" s="17" t="s">
        <v>37</v>
      </c>
      <c r="H221" s="18">
        <v>500</v>
      </c>
      <c r="I221" s="18">
        <v>0</v>
      </c>
      <c r="J221" s="18">
        <f>Tabela1[[#This Row],[SALDO PENDENTE PARCIAL]]-Tabela1[[#This Row],[CARGA 1 QZ]]</f>
        <v>500</v>
      </c>
      <c r="K221" s="18">
        <v>500</v>
      </c>
      <c r="L221" s="18">
        <v>0</v>
      </c>
      <c r="M221" s="18"/>
      <c r="N221" s="18">
        <f>Tabela1[[#This Row],[2ª QZ]]-Tabela1[[#This Row],[SALDO FINAL]]-Tabela1[[#This Row],[SALDO CARTAO]]-Tabela1[[#This Row],[Adiantamento ]]</f>
        <v>0</v>
      </c>
      <c r="O221" s="18"/>
      <c r="P221" s="18">
        <f>IF(Tabela1[[#This Row],[CARGA PARCIAL]]&lt;0,0,Tabela1[[#This Row],[CARGA PARCIAL]])+Tabela1[[#This Row],[REEMBOLSO]]</f>
        <v>0</v>
      </c>
      <c r="Q221" s="17"/>
      <c r="R221" s="17" t="s">
        <v>23</v>
      </c>
    </row>
    <row r="222" spans="2:18">
      <c r="B222" s="17" t="s">
        <v>570</v>
      </c>
      <c r="C222" s="17" t="s">
        <v>571</v>
      </c>
      <c r="D222" s="17" t="s">
        <v>19</v>
      </c>
      <c r="E222" s="17" t="s">
        <v>106</v>
      </c>
      <c r="F222" s="17" t="s">
        <v>41</v>
      </c>
      <c r="G222" s="17" t="s">
        <v>37</v>
      </c>
      <c r="H222" s="18">
        <v>-692.98999999999808</v>
      </c>
      <c r="I222" s="18">
        <v>797.16499999999814</v>
      </c>
      <c r="J222" s="18">
        <v>0</v>
      </c>
      <c r="K222" s="18">
        <v>500</v>
      </c>
      <c r="L222" s="18">
        <v>9.16</v>
      </c>
      <c r="M222" s="18"/>
      <c r="N222" s="18">
        <f>Tabela1[[#This Row],[2ª QZ]]-Tabela1[[#This Row],[SALDO FINAL]]-Tabela1[[#This Row],[SALDO CARTAO]]-Tabela1[[#This Row],[Adiantamento ]]</f>
        <v>490.84</v>
      </c>
      <c r="O222" s="18"/>
      <c r="P222" s="18">
        <f>IF(Tabela1[[#This Row],[CARGA PARCIAL]]&lt;0,0,Tabela1[[#This Row],[CARGA PARCIAL]])+Tabela1[[#This Row],[REEMBOLSO]]</f>
        <v>490.84</v>
      </c>
      <c r="Q222" s="17"/>
      <c r="R222" s="17" t="s">
        <v>23</v>
      </c>
    </row>
    <row r="223" spans="2:18">
      <c r="B223" s="17" t="s">
        <v>572</v>
      </c>
      <c r="C223" s="17" t="s">
        <v>573</v>
      </c>
      <c r="D223" s="17" t="s">
        <v>19</v>
      </c>
      <c r="E223" s="17" t="s">
        <v>30</v>
      </c>
      <c r="F223" s="17" t="s">
        <v>31</v>
      </c>
      <c r="G223" s="17" t="s">
        <v>32</v>
      </c>
      <c r="H223" s="18">
        <v>979.87000000000262</v>
      </c>
      <c r="I223" s="18">
        <v>0</v>
      </c>
      <c r="J223" s="18">
        <f>Tabela1[[#This Row],[SALDO PENDENTE PARCIAL]]-Tabela1[[#This Row],[CARGA 1 QZ]]</f>
        <v>979.87000000000262</v>
      </c>
      <c r="K223" s="18">
        <v>1000</v>
      </c>
      <c r="L223" s="18">
        <v>0</v>
      </c>
      <c r="M223" s="18"/>
      <c r="N223" s="18">
        <f>Tabela1[[#This Row],[2ª QZ]]-Tabela1[[#This Row],[SALDO FINAL]]-Tabela1[[#This Row],[SALDO CARTAO]]-Tabela1[[#This Row],[Adiantamento ]]</f>
        <v>20.129999999997381</v>
      </c>
      <c r="O223" s="18"/>
      <c r="P223" s="18">
        <f>IF(Tabela1[[#This Row],[CARGA PARCIAL]]&lt;0,0,Tabela1[[#This Row],[CARGA PARCIAL]])+Tabela1[[#This Row],[REEMBOLSO]]</f>
        <v>20.129999999997381</v>
      </c>
      <c r="Q223" s="17"/>
      <c r="R223" s="17" t="s">
        <v>23</v>
      </c>
    </row>
    <row r="224" spans="2:18">
      <c r="B224" s="17" t="s">
        <v>574</v>
      </c>
      <c r="C224" s="17" t="s">
        <v>575</v>
      </c>
      <c r="D224" s="17" t="s">
        <v>19</v>
      </c>
      <c r="E224" s="17" t="s">
        <v>576</v>
      </c>
      <c r="F224" s="17" t="s">
        <v>69</v>
      </c>
      <c r="G224" s="17" t="s">
        <v>37</v>
      </c>
      <c r="H224" s="18">
        <v>-1759.5399999999979</v>
      </c>
      <c r="I224" s="18">
        <v>2346.804999999993</v>
      </c>
      <c r="J224" s="18">
        <v>0</v>
      </c>
      <c r="K224" s="18">
        <v>2000</v>
      </c>
      <c r="L224" s="18">
        <v>1.8</v>
      </c>
      <c r="M224" s="18"/>
      <c r="N224" s="18">
        <f>Tabela1[[#This Row],[2ª QZ]]-Tabela1[[#This Row],[SALDO FINAL]]-Tabela1[[#This Row],[SALDO CARTAO]]-Tabela1[[#This Row],[Adiantamento ]]</f>
        <v>1998.2</v>
      </c>
      <c r="O224" s="18"/>
      <c r="P224" s="18">
        <f>IF(Tabela1[[#This Row],[CARGA PARCIAL]]&lt;0,0,Tabela1[[#This Row],[CARGA PARCIAL]])+Tabela1[[#This Row],[REEMBOLSO]]</f>
        <v>1998.2</v>
      </c>
      <c r="Q224" s="17"/>
      <c r="R224" s="17" t="s">
        <v>23</v>
      </c>
    </row>
    <row r="225" spans="2:18">
      <c r="B225" s="17" t="s">
        <v>577</v>
      </c>
      <c r="C225" s="17" t="s">
        <v>578</v>
      </c>
      <c r="D225" s="17" t="s">
        <v>19</v>
      </c>
      <c r="E225" s="17" t="s">
        <v>579</v>
      </c>
      <c r="F225" s="17" t="s">
        <v>69</v>
      </c>
      <c r="G225" s="17" t="s">
        <v>37</v>
      </c>
      <c r="H225" s="18">
        <v>420.41000000000037</v>
      </c>
      <c r="I225" s="18">
        <v>371.76499999999982</v>
      </c>
      <c r="J225" s="18">
        <f>Tabela1[[#This Row],[SALDO PENDENTE PARCIAL]]-Tabela1[[#This Row],[CARGA 1 QZ]]</f>
        <v>48.64500000000055</v>
      </c>
      <c r="K225" s="18">
        <v>500</v>
      </c>
      <c r="L225" s="18">
        <v>69.709999999999994</v>
      </c>
      <c r="M225" s="18"/>
      <c r="N225" s="18">
        <f>Tabela1[[#This Row],[2ª QZ]]-Tabela1[[#This Row],[SALDO FINAL]]-Tabela1[[#This Row],[SALDO CARTAO]]-Tabela1[[#This Row],[Adiantamento ]]</f>
        <v>381.64499999999947</v>
      </c>
      <c r="O225" s="18"/>
      <c r="P225" s="18">
        <f>IF(Tabela1[[#This Row],[CARGA PARCIAL]]&lt;0,0,Tabela1[[#This Row],[CARGA PARCIAL]])+Tabela1[[#This Row],[REEMBOLSO]]</f>
        <v>381.64499999999947</v>
      </c>
      <c r="Q225" s="17"/>
      <c r="R225" s="17" t="s">
        <v>23</v>
      </c>
    </row>
    <row r="226" spans="2:18">
      <c r="B226" s="17" t="s">
        <v>580</v>
      </c>
      <c r="C226" s="17" t="s">
        <v>581</v>
      </c>
      <c r="D226" s="17" t="s">
        <v>19</v>
      </c>
      <c r="E226" s="17" t="s">
        <v>582</v>
      </c>
      <c r="F226" s="17" t="s">
        <v>95</v>
      </c>
      <c r="G226" s="17" t="s">
        <v>22</v>
      </c>
      <c r="H226" s="18">
        <v>132.44000000000219</v>
      </c>
      <c r="I226" s="18">
        <v>342.15999999999804</v>
      </c>
      <c r="J226" s="18">
        <v>0</v>
      </c>
      <c r="K226" s="18">
        <v>700</v>
      </c>
      <c r="L226" s="18">
        <v>18.16</v>
      </c>
      <c r="M226" s="18"/>
      <c r="N226" s="18">
        <f>Tabela1[[#This Row],[2ª QZ]]-Tabela1[[#This Row],[SALDO FINAL]]-Tabela1[[#This Row],[SALDO CARTAO]]-Tabela1[[#This Row],[Adiantamento ]]</f>
        <v>681.84</v>
      </c>
      <c r="O226" s="18"/>
      <c r="P226" s="18">
        <f>IF(Tabela1[[#This Row],[CARGA PARCIAL]]&lt;0,0,Tabela1[[#This Row],[CARGA PARCIAL]])+Tabela1[[#This Row],[REEMBOLSO]]</f>
        <v>681.84</v>
      </c>
      <c r="Q226" s="17"/>
      <c r="R226" s="17" t="s">
        <v>23</v>
      </c>
    </row>
    <row r="227" spans="2:18">
      <c r="B227" s="17" t="s">
        <v>583</v>
      </c>
      <c r="C227" s="17" t="s">
        <v>584</v>
      </c>
      <c r="D227" s="17" t="s">
        <v>19</v>
      </c>
      <c r="E227" s="17" t="s">
        <v>85</v>
      </c>
      <c r="F227" s="17" t="s">
        <v>69</v>
      </c>
      <c r="G227" s="17" t="s">
        <v>37</v>
      </c>
      <c r="H227" s="18">
        <v>-1710.899999999999</v>
      </c>
      <c r="I227" s="18">
        <v>0</v>
      </c>
      <c r="J227" s="18">
        <v>0</v>
      </c>
      <c r="K227" s="18">
        <v>0</v>
      </c>
      <c r="L227" s="18">
        <v>34.36</v>
      </c>
      <c r="M227" s="18"/>
      <c r="N227" s="18">
        <f>Tabela1[[#This Row],[2ª QZ]]-Tabela1[[#This Row],[SALDO FINAL]]-Tabela1[[#This Row],[SALDO CARTAO]]-Tabela1[[#This Row],[Adiantamento ]]</f>
        <v>-34.36</v>
      </c>
      <c r="O227" s="18">
        <v>1400</v>
      </c>
      <c r="P227" s="18">
        <f>IF(Tabela1[[#This Row],[CARGA PARCIAL]]&lt;0,0,Tabela1[[#This Row],[CARGA PARCIAL]])+Tabela1[[#This Row],[REEMBOLSO]]</f>
        <v>1400</v>
      </c>
      <c r="Q227" s="17"/>
      <c r="R227" s="17" t="s">
        <v>23</v>
      </c>
    </row>
    <row r="228" spans="2:18">
      <c r="B228" s="17" t="s">
        <v>585</v>
      </c>
      <c r="C228" s="17" t="s">
        <v>586</v>
      </c>
      <c r="D228" s="17" t="s">
        <v>19</v>
      </c>
      <c r="E228" s="17" t="s">
        <v>218</v>
      </c>
      <c r="F228" s="17" t="s">
        <v>36</v>
      </c>
      <c r="G228" s="17" t="s">
        <v>37</v>
      </c>
      <c r="H228" s="18">
        <v>62.2899999999984</v>
      </c>
      <c r="I228" s="18">
        <v>89.460000000001855</v>
      </c>
      <c r="J228" s="18">
        <v>0</v>
      </c>
      <c r="K228" s="18">
        <v>250</v>
      </c>
      <c r="L228" s="18">
        <v>187.71</v>
      </c>
      <c r="M228" s="18"/>
      <c r="N228" s="18">
        <f>Tabela1[[#This Row],[2ª QZ]]-Tabela1[[#This Row],[SALDO FINAL]]-Tabela1[[#This Row],[SALDO CARTAO]]-Tabela1[[#This Row],[Adiantamento ]]</f>
        <v>62.289999999999992</v>
      </c>
      <c r="O228" s="18"/>
      <c r="P228" s="18">
        <f>IF(Tabela1[[#This Row],[CARGA PARCIAL]]&lt;0,0,Tabela1[[#This Row],[CARGA PARCIAL]])+Tabela1[[#This Row],[REEMBOLSO]]</f>
        <v>62.289999999999992</v>
      </c>
      <c r="Q228" s="17"/>
      <c r="R228" s="17" t="s">
        <v>23</v>
      </c>
    </row>
    <row r="229" spans="2:18">
      <c r="B229" s="17" t="s">
        <v>587</v>
      </c>
      <c r="C229" s="17" t="s">
        <v>588</v>
      </c>
      <c r="D229" s="17" t="s">
        <v>19</v>
      </c>
      <c r="E229" s="17" t="s">
        <v>589</v>
      </c>
      <c r="F229" s="17" t="s">
        <v>36</v>
      </c>
      <c r="G229" s="17" t="s">
        <v>37</v>
      </c>
      <c r="H229" s="18">
        <v>15.000000000000227</v>
      </c>
      <c r="I229" s="18">
        <v>352.54000000000019</v>
      </c>
      <c r="J229" s="18">
        <v>0</v>
      </c>
      <c r="K229" s="18">
        <v>500</v>
      </c>
      <c r="L229" s="18">
        <v>399.5</v>
      </c>
      <c r="M229" s="18"/>
      <c r="N229" s="18">
        <f>Tabela1[[#This Row],[2ª QZ]]-Tabela1[[#This Row],[SALDO FINAL]]-Tabela1[[#This Row],[SALDO CARTAO]]-Tabela1[[#This Row],[Adiantamento ]]</f>
        <v>100.5</v>
      </c>
      <c r="O229" s="18"/>
      <c r="P229" s="18">
        <f>IF(Tabela1[[#This Row],[CARGA PARCIAL]]&lt;0,0,Tabela1[[#This Row],[CARGA PARCIAL]])+Tabela1[[#This Row],[REEMBOLSO]]</f>
        <v>100.5</v>
      </c>
      <c r="Q229" s="17"/>
      <c r="R229" s="17" t="s">
        <v>23</v>
      </c>
    </row>
    <row r="230" spans="2:18">
      <c r="B230" s="17" t="s">
        <v>590</v>
      </c>
      <c r="C230" s="17" t="s">
        <v>591</v>
      </c>
      <c r="D230" s="17" t="s">
        <v>19</v>
      </c>
      <c r="E230" s="17" t="s">
        <v>20</v>
      </c>
      <c r="F230" s="17" t="s">
        <v>21</v>
      </c>
      <c r="G230" s="17" t="s">
        <v>22</v>
      </c>
      <c r="H230" s="18">
        <v>2214.7899999999931</v>
      </c>
      <c r="I230" s="18">
        <v>0</v>
      </c>
      <c r="J230" s="18">
        <f>Tabela1[[#This Row],[SALDO PENDENTE PARCIAL]]-Tabela1[[#This Row],[CARGA 1 QZ]]</f>
        <v>2214.7899999999931</v>
      </c>
      <c r="K230" s="18">
        <v>5000</v>
      </c>
      <c r="L230" s="18">
        <v>5.32</v>
      </c>
      <c r="M230" s="18"/>
      <c r="N230" s="18">
        <f>Tabela1[[#This Row],[2ª QZ]]-Tabela1[[#This Row],[SALDO FINAL]]-Tabela1[[#This Row],[SALDO CARTAO]]-Tabela1[[#This Row],[Adiantamento ]]</f>
        <v>2779.8900000000067</v>
      </c>
      <c r="O230" s="18"/>
      <c r="P230" s="18">
        <f>IF(Tabela1[[#This Row],[CARGA PARCIAL]]&lt;0,0,Tabela1[[#This Row],[CARGA PARCIAL]])+Tabela1[[#This Row],[REEMBOLSO]]</f>
        <v>2779.8900000000067</v>
      </c>
      <c r="Q230" s="17"/>
      <c r="R230" s="17" t="s">
        <v>23</v>
      </c>
    </row>
    <row r="231" spans="2:18">
      <c r="B231" s="17" t="s">
        <v>592</v>
      </c>
      <c r="C231" s="17" t="s">
        <v>593</v>
      </c>
      <c r="D231" s="17" t="s">
        <v>19</v>
      </c>
      <c r="E231" s="17" t="s">
        <v>594</v>
      </c>
      <c r="F231" s="17" t="s">
        <v>31</v>
      </c>
      <c r="G231" s="17" t="s">
        <v>32</v>
      </c>
      <c r="H231" s="18">
        <v>1983.5600000000504</v>
      </c>
      <c r="I231" s="18">
        <v>1703.6799999999639</v>
      </c>
      <c r="J231" s="18">
        <f>Tabela1[[#This Row],[SALDO PENDENTE PARCIAL]]-Tabela1[[#This Row],[CARGA 1 QZ]]</f>
        <v>279.88000000008651</v>
      </c>
      <c r="K231" s="18">
        <v>2000</v>
      </c>
      <c r="L231" s="18">
        <v>0</v>
      </c>
      <c r="M231" s="18"/>
      <c r="N231" s="18">
        <f>Tabela1[[#This Row],[2ª QZ]]-Tabela1[[#This Row],[SALDO FINAL]]-Tabela1[[#This Row],[SALDO CARTAO]]-Tabela1[[#This Row],[Adiantamento ]]</f>
        <v>1720.1199999999135</v>
      </c>
      <c r="O231" s="18"/>
      <c r="P231" s="18">
        <f>IF(Tabela1[[#This Row],[CARGA PARCIAL]]&lt;0,0,Tabela1[[#This Row],[CARGA PARCIAL]])+Tabela1[[#This Row],[REEMBOLSO]]</f>
        <v>1720.1199999999135</v>
      </c>
      <c r="Q231" s="17"/>
      <c r="R231" s="17" t="s">
        <v>23</v>
      </c>
    </row>
    <row r="232" spans="2:18">
      <c r="B232" s="17" t="s">
        <v>595</v>
      </c>
      <c r="C232" s="17" t="s">
        <v>596</v>
      </c>
      <c r="D232" s="17" t="s">
        <v>19</v>
      </c>
      <c r="E232" s="17" t="s">
        <v>452</v>
      </c>
      <c r="F232" s="17" t="s">
        <v>36</v>
      </c>
      <c r="G232" s="17" t="s">
        <v>37</v>
      </c>
      <c r="H232" s="18">
        <v>-36.719999999999345</v>
      </c>
      <c r="I232" s="18">
        <v>0</v>
      </c>
      <c r="J232" s="18">
        <v>0</v>
      </c>
      <c r="K232" s="18">
        <v>1000</v>
      </c>
      <c r="L232" s="18">
        <v>31.75</v>
      </c>
      <c r="M232" s="18"/>
      <c r="N232" s="18">
        <f>Tabela1[[#This Row],[2ª QZ]]-Tabela1[[#This Row],[SALDO FINAL]]-Tabela1[[#This Row],[SALDO CARTAO]]-Tabela1[[#This Row],[Adiantamento ]]</f>
        <v>968.25</v>
      </c>
      <c r="O232" s="18"/>
      <c r="P232" s="18">
        <f>IF(Tabela1[[#This Row],[CARGA PARCIAL]]&lt;0,0,Tabela1[[#This Row],[CARGA PARCIAL]])+Tabela1[[#This Row],[REEMBOLSO]]</f>
        <v>968.25</v>
      </c>
      <c r="Q232" s="17"/>
      <c r="R232" s="17" t="s">
        <v>23</v>
      </c>
    </row>
    <row r="233" spans="2:18">
      <c r="B233" s="17" t="s">
        <v>597</v>
      </c>
      <c r="C233" s="17" t="s">
        <v>598</v>
      </c>
      <c r="D233" s="17" t="s">
        <v>19</v>
      </c>
      <c r="E233" s="17" t="s">
        <v>599</v>
      </c>
      <c r="F233" s="17" t="s">
        <v>31</v>
      </c>
      <c r="G233" s="17" t="s">
        <v>32</v>
      </c>
      <c r="H233" s="18">
        <v>168.90999999999991</v>
      </c>
      <c r="I233" s="18">
        <v>103.29999999999998</v>
      </c>
      <c r="J233" s="18">
        <f>Tabela1[[#This Row],[SALDO PENDENTE PARCIAL]]-Tabela1[[#This Row],[CARGA 1 QZ]]</f>
        <v>65.609999999999928</v>
      </c>
      <c r="K233" s="18">
        <v>750</v>
      </c>
      <c r="L233" s="18">
        <v>69.69</v>
      </c>
      <c r="M233" s="18"/>
      <c r="N233" s="18">
        <f>Tabela1[[#This Row],[2ª QZ]]-Tabela1[[#This Row],[SALDO FINAL]]-Tabela1[[#This Row],[SALDO CARTAO]]-Tabela1[[#This Row],[Adiantamento ]]</f>
        <v>614.70000000000005</v>
      </c>
      <c r="O233" s="18"/>
      <c r="P233" s="18">
        <f>IF(Tabela1[[#This Row],[CARGA PARCIAL]]&lt;0,0,Tabela1[[#This Row],[CARGA PARCIAL]])+Tabela1[[#This Row],[REEMBOLSO]]</f>
        <v>614.70000000000005</v>
      </c>
      <c r="Q233" s="17"/>
      <c r="R233" s="17" t="s">
        <v>23</v>
      </c>
    </row>
    <row r="234" spans="2:18">
      <c r="B234" s="17" t="s">
        <v>600</v>
      </c>
      <c r="C234" s="17" t="s">
        <v>601</v>
      </c>
      <c r="D234" s="17" t="s">
        <v>19</v>
      </c>
      <c r="E234" s="17" t="s">
        <v>602</v>
      </c>
      <c r="F234" s="17" t="s">
        <v>36</v>
      </c>
      <c r="G234" s="17" t="s">
        <v>37</v>
      </c>
      <c r="H234" s="18">
        <v>-952.12000000001763</v>
      </c>
      <c r="I234" s="18">
        <v>2849.0200000000018</v>
      </c>
      <c r="J234" s="18">
        <v>0</v>
      </c>
      <c r="K234" s="18">
        <v>1840</v>
      </c>
      <c r="L234" s="18">
        <v>0</v>
      </c>
      <c r="M234" s="18"/>
      <c r="N234" s="18">
        <f>Tabela1[[#This Row],[2ª QZ]]-Tabela1[[#This Row],[SALDO FINAL]]-Tabela1[[#This Row],[SALDO CARTAO]]-Tabela1[[#This Row],[Adiantamento ]]</f>
        <v>1840</v>
      </c>
      <c r="O234" s="18"/>
      <c r="P234" s="18">
        <f>IF(Tabela1[[#This Row],[CARGA PARCIAL]]&lt;0,0,Tabela1[[#This Row],[CARGA PARCIAL]])+Tabela1[[#This Row],[REEMBOLSO]]</f>
        <v>1840</v>
      </c>
      <c r="Q234" s="17"/>
      <c r="R234" s="17" t="s">
        <v>23</v>
      </c>
    </row>
    <row r="235" spans="2:18">
      <c r="B235" s="17" t="s">
        <v>603</v>
      </c>
      <c r="C235" s="17" t="s">
        <v>604</v>
      </c>
      <c r="D235" s="17" t="s">
        <v>19</v>
      </c>
      <c r="E235" s="17" t="s">
        <v>135</v>
      </c>
      <c r="F235" s="17" t="s">
        <v>36</v>
      </c>
      <c r="G235" s="17" t="s">
        <v>37</v>
      </c>
      <c r="H235" s="18">
        <v>0</v>
      </c>
      <c r="I235" s="18">
        <v>390.57000000000045</v>
      </c>
      <c r="J235" s="18">
        <v>0</v>
      </c>
      <c r="K235" s="18">
        <v>800</v>
      </c>
      <c r="L235" s="18">
        <v>348.66</v>
      </c>
      <c r="M235" s="18"/>
      <c r="N235" s="18">
        <f>Tabela1[[#This Row],[2ª QZ]]-Tabela1[[#This Row],[SALDO FINAL]]-Tabela1[[#This Row],[SALDO CARTAO]]-Tabela1[[#This Row],[Adiantamento ]]</f>
        <v>451.34</v>
      </c>
      <c r="O235" s="18"/>
      <c r="P235" s="18">
        <f>IF(Tabela1[[#This Row],[CARGA PARCIAL]]&lt;0,0,Tabela1[[#This Row],[CARGA PARCIAL]])+Tabela1[[#This Row],[REEMBOLSO]]</f>
        <v>451.34</v>
      </c>
      <c r="Q235" s="17"/>
      <c r="R235" s="17" t="s">
        <v>23</v>
      </c>
    </row>
    <row r="236" spans="2:18">
      <c r="B236" s="17" t="s">
        <v>605</v>
      </c>
      <c r="C236" s="17" t="s">
        <v>606</v>
      </c>
      <c r="D236" s="17" t="s">
        <v>19</v>
      </c>
      <c r="E236" s="17" t="s">
        <v>51</v>
      </c>
      <c r="F236" s="17" t="s">
        <v>31</v>
      </c>
      <c r="G236" s="17" t="s">
        <v>32</v>
      </c>
      <c r="H236" s="18">
        <v>1238.67</v>
      </c>
      <c r="I236" s="18">
        <v>0</v>
      </c>
      <c r="J236" s="18">
        <f>Tabela1[[#This Row],[SALDO PENDENTE PARCIAL]]-Tabela1[[#This Row],[CARGA 1 QZ]]</f>
        <v>1238.67</v>
      </c>
      <c r="K236" s="18">
        <v>1000</v>
      </c>
      <c r="L236" s="18">
        <v>0</v>
      </c>
      <c r="M236" s="18"/>
      <c r="N236" s="18">
        <f>Tabela1[[#This Row],[2ª QZ]]-Tabela1[[#This Row],[SALDO FINAL]]-Tabela1[[#This Row],[SALDO CARTAO]]-Tabela1[[#This Row],[Adiantamento ]]</f>
        <v>-238.67000000000007</v>
      </c>
      <c r="O236" s="18"/>
      <c r="P236" s="18">
        <f>IF(Tabela1[[#This Row],[CARGA PARCIAL]]&lt;0,0,Tabela1[[#This Row],[CARGA PARCIAL]])+Tabela1[[#This Row],[REEMBOLSO]]</f>
        <v>0</v>
      </c>
      <c r="Q236" s="17"/>
      <c r="R236" s="17" t="s">
        <v>23</v>
      </c>
    </row>
    <row r="237" spans="2:18">
      <c r="B237" s="17" t="s">
        <v>607</v>
      </c>
      <c r="C237" s="17" t="s">
        <v>608</v>
      </c>
      <c r="D237" s="17" t="s">
        <v>19</v>
      </c>
      <c r="E237" s="17" t="s">
        <v>242</v>
      </c>
      <c r="F237" s="17" t="s">
        <v>36</v>
      </c>
      <c r="G237" s="17" t="s">
        <v>37</v>
      </c>
      <c r="H237" s="18">
        <v>581.99999999998511</v>
      </c>
      <c r="I237" s="18">
        <v>1057.3199999999997</v>
      </c>
      <c r="J237" s="18">
        <v>0</v>
      </c>
      <c r="K237" s="18">
        <v>2000</v>
      </c>
      <c r="L237" s="18">
        <v>56.32</v>
      </c>
      <c r="M237" s="18"/>
      <c r="N237" s="18">
        <f>Tabela1[[#This Row],[2ª QZ]]-Tabela1[[#This Row],[SALDO FINAL]]-Tabela1[[#This Row],[SALDO CARTAO]]-Tabela1[[#This Row],[Adiantamento ]]</f>
        <v>1943.68</v>
      </c>
      <c r="O237" s="18"/>
      <c r="P237" s="18">
        <f>IF(Tabela1[[#This Row],[CARGA PARCIAL]]&lt;0,0,Tabela1[[#This Row],[CARGA PARCIAL]])+Tabela1[[#This Row],[REEMBOLSO]]</f>
        <v>1943.68</v>
      </c>
      <c r="Q237" s="17"/>
      <c r="R237" s="17" t="s">
        <v>23</v>
      </c>
    </row>
    <row r="238" spans="2:18">
      <c r="B238" s="17" t="s">
        <v>609</v>
      </c>
      <c r="C238" s="17" t="s">
        <v>610</v>
      </c>
      <c r="D238" s="17" t="s">
        <v>19</v>
      </c>
      <c r="E238" s="17" t="s">
        <v>611</v>
      </c>
      <c r="F238" s="17" t="s">
        <v>41</v>
      </c>
      <c r="G238" s="17" t="s">
        <v>37</v>
      </c>
      <c r="H238" s="18">
        <v>197.84</v>
      </c>
      <c r="I238" s="18">
        <v>0</v>
      </c>
      <c r="J238" s="18">
        <f>Tabela1[[#This Row],[SALDO PENDENTE PARCIAL]]-Tabela1[[#This Row],[CARGA 1 QZ]]</f>
        <v>197.84</v>
      </c>
      <c r="K238" s="18">
        <v>200</v>
      </c>
      <c r="L238" s="18">
        <v>2.16</v>
      </c>
      <c r="M238" s="18"/>
      <c r="N238" s="18">
        <f>Tabela1[[#This Row],[2ª QZ]]-Tabela1[[#This Row],[SALDO FINAL]]-Tabela1[[#This Row],[SALDO CARTAO]]-Tabela1[[#This Row],[Adiantamento ]]</f>
        <v>-3.5527136788005009E-15</v>
      </c>
      <c r="O238" s="18"/>
      <c r="P238" s="18">
        <f>IF(Tabela1[[#This Row],[CARGA PARCIAL]]&lt;0,0,Tabela1[[#This Row],[CARGA PARCIAL]])+Tabela1[[#This Row],[REEMBOLSO]]</f>
        <v>0</v>
      </c>
      <c r="Q238" s="17"/>
      <c r="R238" s="17" t="s">
        <v>23</v>
      </c>
    </row>
    <row r="239" spans="2:18">
      <c r="B239" s="17" t="s">
        <v>612</v>
      </c>
      <c r="C239" s="17" t="s">
        <v>613</v>
      </c>
      <c r="D239" s="17" t="s">
        <v>19</v>
      </c>
      <c r="E239" s="17" t="s">
        <v>75</v>
      </c>
      <c r="F239" s="17" t="s">
        <v>41</v>
      </c>
      <c r="G239" s="17" t="s">
        <v>37</v>
      </c>
      <c r="H239" s="18">
        <v>282.12000000000035</v>
      </c>
      <c r="I239" s="18">
        <v>12.099999999999454</v>
      </c>
      <c r="J239" s="18">
        <f>Tabela1[[#This Row],[SALDO PENDENTE PARCIAL]]-Tabela1[[#This Row],[CARGA 1 QZ]]</f>
        <v>270.02000000000089</v>
      </c>
      <c r="K239" s="18">
        <v>200</v>
      </c>
      <c r="L239" s="18">
        <v>7.88</v>
      </c>
      <c r="M239" s="18"/>
      <c r="N239" s="18">
        <f>Tabela1[[#This Row],[2ª QZ]]-Tabela1[[#This Row],[SALDO FINAL]]-Tabela1[[#This Row],[SALDO CARTAO]]-Tabela1[[#This Row],[Adiantamento ]]</f>
        <v>-77.900000000000887</v>
      </c>
      <c r="O239" s="18"/>
      <c r="P239" s="18">
        <f>IF(Tabela1[[#This Row],[CARGA PARCIAL]]&lt;0,0,Tabela1[[#This Row],[CARGA PARCIAL]])+Tabela1[[#This Row],[REEMBOLSO]]</f>
        <v>0</v>
      </c>
      <c r="Q239" s="17"/>
      <c r="R239" s="17" t="s">
        <v>23</v>
      </c>
    </row>
    <row r="240" spans="2:18">
      <c r="B240" s="17" t="s">
        <v>614</v>
      </c>
      <c r="C240" s="17" t="s">
        <v>615</v>
      </c>
      <c r="D240" s="17" t="s">
        <v>19</v>
      </c>
      <c r="E240" s="17" t="s">
        <v>91</v>
      </c>
      <c r="F240" s="17" t="s">
        <v>45</v>
      </c>
      <c r="G240" s="17" t="s">
        <v>37</v>
      </c>
      <c r="H240" s="18">
        <v>0</v>
      </c>
      <c r="I240" s="18">
        <v>0</v>
      </c>
      <c r="J240" s="18">
        <f>Tabela1[[#This Row],[SALDO PENDENTE PARCIAL]]-Tabela1[[#This Row],[CARGA 1 QZ]]</f>
        <v>0</v>
      </c>
      <c r="K240" s="18">
        <v>100</v>
      </c>
      <c r="L240" s="18">
        <v>65</v>
      </c>
      <c r="M240" s="18"/>
      <c r="N240" s="18">
        <f>Tabela1[[#This Row],[2ª QZ]]-Tabela1[[#This Row],[SALDO FINAL]]-Tabela1[[#This Row],[SALDO CARTAO]]-Tabela1[[#This Row],[Adiantamento ]]</f>
        <v>35</v>
      </c>
      <c r="O240" s="18"/>
      <c r="P240" s="18">
        <f>IF(Tabela1[[#This Row],[CARGA PARCIAL]]&lt;0,0,Tabela1[[#This Row],[CARGA PARCIAL]])+Tabela1[[#This Row],[REEMBOLSO]]</f>
        <v>35</v>
      </c>
      <c r="Q240" s="17"/>
      <c r="R240" s="17" t="s">
        <v>23</v>
      </c>
    </row>
    <row r="241" spans="2:18">
      <c r="B241" s="17" t="s">
        <v>616</v>
      </c>
      <c r="C241" s="17" t="s">
        <v>617</v>
      </c>
      <c r="D241" s="17" t="s">
        <v>19</v>
      </c>
      <c r="E241" s="17" t="s">
        <v>149</v>
      </c>
      <c r="F241" s="17" t="s">
        <v>69</v>
      </c>
      <c r="G241" s="17" t="s">
        <v>37</v>
      </c>
      <c r="H241" s="18">
        <v>2095.0000000000814</v>
      </c>
      <c r="I241" s="18">
        <v>1647.6500000000888</v>
      </c>
      <c r="J241" s="18">
        <f>Tabela1[[#This Row],[SALDO PENDENTE PARCIAL]]-Tabela1[[#This Row],[CARGA 1 QZ]]</f>
        <v>447.34999999999263</v>
      </c>
      <c r="K241" s="18">
        <v>3350</v>
      </c>
      <c r="L241" s="18">
        <v>8.65</v>
      </c>
      <c r="M241" s="18"/>
      <c r="N241" s="18">
        <f>Tabela1[[#This Row],[2ª QZ]]-Tabela1[[#This Row],[SALDO FINAL]]-Tabela1[[#This Row],[SALDO CARTAO]]-Tabela1[[#This Row],[Adiantamento ]]</f>
        <v>2894.0000000000073</v>
      </c>
      <c r="O241" s="18"/>
      <c r="P241" s="18">
        <f>IF(Tabela1[[#This Row],[CARGA PARCIAL]]&lt;0,0,Tabela1[[#This Row],[CARGA PARCIAL]])+Tabela1[[#This Row],[REEMBOLSO]]</f>
        <v>2894.0000000000073</v>
      </c>
      <c r="Q241" s="17"/>
      <c r="R241" s="17" t="s">
        <v>23</v>
      </c>
    </row>
    <row r="242" spans="2:18">
      <c r="B242" s="17" t="s">
        <v>618</v>
      </c>
      <c r="C242" s="17" t="s">
        <v>619</v>
      </c>
      <c r="D242" s="17" t="s">
        <v>19</v>
      </c>
      <c r="E242" s="17" t="s">
        <v>44</v>
      </c>
      <c r="F242" s="17" t="s">
        <v>45</v>
      </c>
      <c r="G242" s="17" t="s">
        <v>37</v>
      </c>
      <c r="H242" s="18">
        <v>61.8</v>
      </c>
      <c r="I242" s="18">
        <v>50.000000000000227</v>
      </c>
      <c r="J242" s="18">
        <f>Tabela1[[#This Row],[SALDO PENDENTE PARCIAL]]-Tabela1[[#This Row],[CARGA 1 QZ]]</f>
        <v>11.79999999999977</v>
      </c>
      <c r="K242" s="18">
        <v>120</v>
      </c>
      <c r="L242" s="18">
        <v>58.2</v>
      </c>
      <c r="M242" s="18"/>
      <c r="N242" s="18">
        <f>Tabela1[[#This Row],[2ª QZ]]-Tabela1[[#This Row],[SALDO FINAL]]-Tabela1[[#This Row],[SALDO CARTAO]]-Tabela1[[#This Row],[Adiantamento ]]</f>
        <v>50.000000000000227</v>
      </c>
      <c r="O242" s="18"/>
      <c r="P242" s="18">
        <f>IF(Tabela1[[#This Row],[CARGA PARCIAL]]&lt;0,0,Tabela1[[#This Row],[CARGA PARCIAL]])+Tabela1[[#This Row],[REEMBOLSO]]</f>
        <v>50.000000000000227</v>
      </c>
      <c r="Q242" s="17"/>
      <c r="R242" s="17" t="s">
        <v>23</v>
      </c>
    </row>
    <row r="243" spans="2:18">
      <c r="B243" s="17" t="s">
        <v>620</v>
      </c>
      <c r="C243" s="17" t="s">
        <v>621</v>
      </c>
      <c r="D243" s="17" t="s">
        <v>19</v>
      </c>
      <c r="E243" s="17" t="s">
        <v>622</v>
      </c>
      <c r="F243" s="17" t="s">
        <v>27</v>
      </c>
      <c r="G243" s="17" t="s">
        <v>22</v>
      </c>
      <c r="H243" s="18">
        <v>-169.80999999999781</v>
      </c>
      <c r="I243" s="18">
        <v>0</v>
      </c>
      <c r="J243" s="18">
        <v>0</v>
      </c>
      <c r="K243" s="18">
        <v>1500</v>
      </c>
      <c r="L243" s="18">
        <v>18.41</v>
      </c>
      <c r="M243" s="18"/>
      <c r="N243" s="18">
        <f>Tabela1[[#This Row],[2ª QZ]]-Tabela1[[#This Row],[SALDO FINAL]]-Tabela1[[#This Row],[SALDO CARTAO]]-Tabela1[[#This Row],[Adiantamento ]]</f>
        <v>1481.59</v>
      </c>
      <c r="O243" s="18"/>
      <c r="P243" s="18">
        <f>IF(Tabela1[[#This Row],[CARGA PARCIAL]]&lt;0,0,Tabela1[[#This Row],[CARGA PARCIAL]])+Tabela1[[#This Row],[REEMBOLSO]]</f>
        <v>1481.59</v>
      </c>
      <c r="Q243" s="17"/>
      <c r="R243" s="17" t="s">
        <v>23</v>
      </c>
    </row>
    <row r="244" spans="2:18">
      <c r="B244" s="17" t="s">
        <v>623</v>
      </c>
      <c r="C244" s="17" t="s">
        <v>624</v>
      </c>
      <c r="D244" s="17" t="s">
        <v>19</v>
      </c>
      <c r="E244" s="17" t="s">
        <v>625</v>
      </c>
      <c r="F244" s="17" t="s">
        <v>21</v>
      </c>
      <c r="G244" s="17" t="s">
        <v>22</v>
      </c>
      <c r="H244" s="18">
        <v>-699.88000000000272</v>
      </c>
      <c r="I244" s="18">
        <v>724.83999999999776</v>
      </c>
      <c r="J244" s="18">
        <v>0</v>
      </c>
      <c r="K244" s="18">
        <v>1000</v>
      </c>
      <c r="L244" s="18">
        <v>125.42</v>
      </c>
      <c r="M244" s="18"/>
      <c r="N244" s="18">
        <f>Tabela1[[#This Row],[2ª QZ]]-Tabela1[[#This Row],[SALDO FINAL]]-Tabela1[[#This Row],[SALDO CARTAO]]-Tabela1[[#This Row],[Adiantamento ]]</f>
        <v>874.58</v>
      </c>
      <c r="O244" s="18"/>
      <c r="P244" s="18">
        <f>IF(Tabela1[[#This Row],[CARGA PARCIAL]]&lt;0,0,Tabela1[[#This Row],[CARGA PARCIAL]])+Tabela1[[#This Row],[REEMBOLSO]]</f>
        <v>874.58</v>
      </c>
      <c r="Q244" s="17"/>
      <c r="R244" s="17" t="s">
        <v>23</v>
      </c>
    </row>
    <row r="245" spans="2:18">
      <c r="B245" s="17" t="s">
        <v>626</v>
      </c>
      <c r="C245" s="17" t="s">
        <v>627</v>
      </c>
      <c r="D245" s="17" t="s">
        <v>19</v>
      </c>
      <c r="E245" s="17" t="s">
        <v>628</v>
      </c>
      <c r="F245" s="17" t="s">
        <v>36</v>
      </c>
      <c r="G245" s="17" t="s">
        <v>37</v>
      </c>
      <c r="H245" s="18">
        <v>875.74999999999909</v>
      </c>
      <c r="I245" s="18">
        <v>9.0949470177292824E-13</v>
      </c>
      <c r="J245" s="18">
        <f>Tabela1[[#This Row],[SALDO PENDENTE PARCIAL]]-Tabela1[[#This Row],[CARGA 1 QZ]]</f>
        <v>875.74999999999818</v>
      </c>
      <c r="K245" s="18">
        <v>1000</v>
      </c>
      <c r="L245" s="18">
        <v>124.25</v>
      </c>
      <c r="M245" s="18"/>
      <c r="N245" s="18">
        <f>Tabela1[[#This Row],[2ª QZ]]-Tabela1[[#This Row],[SALDO FINAL]]-Tabela1[[#This Row],[SALDO CARTAO]]-Tabela1[[#This Row],[Adiantamento ]]</f>
        <v>1.8189894035458565E-12</v>
      </c>
      <c r="O245" s="18"/>
      <c r="P245" s="18">
        <f>IF(Tabela1[[#This Row],[CARGA PARCIAL]]&lt;0,0,Tabela1[[#This Row],[CARGA PARCIAL]])+Tabela1[[#This Row],[REEMBOLSO]]</f>
        <v>1.8189894035458565E-12</v>
      </c>
      <c r="Q245" s="17"/>
      <c r="R245" s="17" t="s">
        <v>23</v>
      </c>
    </row>
    <row r="246" spans="2:18">
      <c r="B246" s="17" t="s">
        <v>629</v>
      </c>
      <c r="C246" s="17" t="s">
        <v>630</v>
      </c>
      <c r="D246" s="17" t="s">
        <v>19</v>
      </c>
      <c r="E246" s="17" t="s">
        <v>44</v>
      </c>
      <c r="F246" s="17" t="s">
        <v>45</v>
      </c>
      <c r="G246" s="17" t="s">
        <v>37</v>
      </c>
      <c r="H246" s="18">
        <v>2608.7499999999995</v>
      </c>
      <c r="I246" s="18">
        <v>0</v>
      </c>
      <c r="J246" s="18">
        <f>Tabela1[[#This Row],[SALDO PENDENTE PARCIAL]]-Tabela1[[#This Row],[CARGA 1 QZ]]</f>
        <v>2608.7499999999995</v>
      </c>
      <c r="K246" s="18">
        <v>120</v>
      </c>
      <c r="L246" s="18">
        <v>0.28000000000000003</v>
      </c>
      <c r="M246" s="18"/>
      <c r="N246" s="18">
        <f>Tabela1[[#This Row],[2ª QZ]]-Tabela1[[#This Row],[SALDO FINAL]]-Tabela1[[#This Row],[SALDO CARTAO]]-Tabela1[[#This Row],[Adiantamento ]]</f>
        <v>-2489.0299999999997</v>
      </c>
      <c r="O246" s="18"/>
      <c r="P246" s="18">
        <f>IF(Tabela1[[#This Row],[CARGA PARCIAL]]&lt;0,0,Tabela1[[#This Row],[CARGA PARCIAL]])+Tabela1[[#This Row],[REEMBOLSO]]</f>
        <v>0</v>
      </c>
      <c r="Q246" s="17"/>
      <c r="R246" s="17" t="s">
        <v>23</v>
      </c>
    </row>
    <row r="247" spans="2:18">
      <c r="B247" s="17" t="s">
        <v>631</v>
      </c>
      <c r="C247" s="17" t="s">
        <v>632</v>
      </c>
      <c r="D247" s="17" t="s">
        <v>19</v>
      </c>
      <c r="E247" s="17" t="s">
        <v>112</v>
      </c>
      <c r="F247" s="17" t="s">
        <v>21</v>
      </c>
      <c r="G247" s="17" t="s">
        <v>22</v>
      </c>
      <c r="H247" s="18">
        <v>5114.99</v>
      </c>
      <c r="I247" s="18">
        <v>3594.7999999999997</v>
      </c>
      <c r="J247" s="18">
        <f>Tabela1[[#This Row],[SALDO PENDENTE PARCIAL]]-Tabela1[[#This Row],[CARGA 1 QZ]]</f>
        <v>1520.19</v>
      </c>
      <c r="K247" s="18">
        <v>6000</v>
      </c>
      <c r="L247" s="18">
        <v>1.66</v>
      </c>
      <c r="M247" s="18"/>
      <c r="N247" s="18">
        <f>Tabela1[[#This Row],[2ª QZ]]-Tabela1[[#This Row],[SALDO FINAL]]-Tabela1[[#This Row],[SALDO CARTAO]]-Tabela1[[#This Row],[Adiantamento ]]</f>
        <v>4478.1499999999996</v>
      </c>
      <c r="O247" s="18"/>
      <c r="P247" s="18">
        <f>IF(Tabela1[[#This Row],[CARGA PARCIAL]]&lt;0,0,Tabela1[[#This Row],[CARGA PARCIAL]])+Tabela1[[#This Row],[REEMBOLSO]]</f>
        <v>4478.1499999999996</v>
      </c>
      <c r="Q247" s="17"/>
      <c r="R247" s="17" t="s">
        <v>23</v>
      </c>
    </row>
    <row r="248" spans="2:18">
      <c r="B248" s="17" t="s">
        <v>633</v>
      </c>
      <c r="C248" s="17" t="s">
        <v>634</v>
      </c>
      <c r="D248" s="17" t="s">
        <v>19</v>
      </c>
      <c r="E248" s="17" t="s">
        <v>91</v>
      </c>
      <c r="F248" s="17" t="s">
        <v>45</v>
      </c>
      <c r="G248" s="17" t="s">
        <v>37</v>
      </c>
      <c r="H248" s="18">
        <v>46.689999999999884</v>
      </c>
      <c r="I248" s="18">
        <v>0.31000000000005912</v>
      </c>
      <c r="J248" s="18">
        <f>Tabela1[[#This Row],[SALDO PENDENTE PARCIAL]]-Tabela1[[#This Row],[CARGA 1 QZ]]</f>
        <v>46.379999999999825</v>
      </c>
      <c r="K248" s="18">
        <v>50</v>
      </c>
      <c r="L248" s="18">
        <v>3.31</v>
      </c>
      <c r="M248" s="18"/>
      <c r="N248" s="18">
        <f>Tabela1[[#This Row],[2ª QZ]]-Tabela1[[#This Row],[SALDO FINAL]]-Tabela1[[#This Row],[SALDO CARTAO]]-Tabela1[[#This Row],[Adiantamento ]]</f>
        <v>0.31000000000017502</v>
      </c>
      <c r="O248" s="18"/>
      <c r="P248" s="18">
        <f>IF(Tabela1[[#This Row],[CARGA PARCIAL]]&lt;0,0,Tabela1[[#This Row],[CARGA PARCIAL]])+Tabela1[[#This Row],[REEMBOLSO]]</f>
        <v>0.31000000000017502</v>
      </c>
      <c r="Q248" s="17"/>
      <c r="R248" s="17" t="s">
        <v>23</v>
      </c>
    </row>
    <row r="249" spans="2:18">
      <c r="B249" s="17" t="s">
        <v>635</v>
      </c>
      <c r="C249" s="17" t="s">
        <v>636</v>
      </c>
      <c r="D249" s="17" t="s">
        <v>19</v>
      </c>
      <c r="E249" s="17" t="s">
        <v>135</v>
      </c>
      <c r="F249" s="17" t="s">
        <v>36</v>
      </c>
      <c r="G249" s="17" t="s">
        <v>37</v>
      </c>
      <c r="H249" s="18">
        <v>-341.149999999996</v>
      </c>
      <c r="I249" s="18">
        <v>770.57500000000073</v>
      </c>
      <c r="J249" s="18">
        <v>0</v>
      </c>
      <c r="K249" s="18">
        <v>600</v>
      </c>
      <c r="L249" s="18">
        <v>0</v>
      </c>
      <c r="M249" s="18"/>
      <c r="N249" s="18">
        <f>Tabela1[[#This Row],[2ª QZ]]-Tabela1[[#This Row],[SALDO FINAL]]-Tabela1[[#This Row],[SALDO CARTAO]]-Tabela1[[#This Row],[Adiantamento ]]</f>
        <v>600</v>
      </c>
      <c r="O249" s="18"/>
      <c r="P249" s="18">
        <f>IF(Tabela1[[#This Row],[CARGA PARCIAL]]&lt;0,0,Tabela1[[#This Row],[CARGA PARCIAL]])+Tabela1[[#This Row],[REEMBOLSO]]</f>
        <v>600</v>
      </c>
      <c r="Q249" s="17"/>
      <c r="R249" s="17" t="s">
        <v>23</v>
      </c>
    </row>
    <row r="250" spans="2:18">
      <c r="B250" s="17" t="s">
        <v>637</v>
      </c>
      <c r="C250" s="17" t="s">
        <v>638</v>
      </c>
      <c r="D250" s="17" t="s">
        <v>19</v>
      </c>
      <c r="E250" s="17" t="s">
        <v>135</v>
      </c>
      <c r="F250" s="17" t="s">
        <v>36</v>
      </c>
      <c r="G250" s="17" t="s">
        <v>37</v>
      </c>
      <c r="H250" s="18">
        <v>-578.40999999999258</v>
      </c>
      <c r="I250" s="18">
        <v>0</v>
      </c>
      <c r="J250" s="18">
        <v>0</v>
      </c>
      <c r="K250" s="18">
        <v>800</v>
      </c>
      <c r="L250" s="18">
        <v>0</v>
      </c>
      <c r="M250" s="18"/>
      <c r="N250" s="18">
        <f>Tabela1[[#This Row],[2ª QZ]]-Tabela1[[#This Row],[SALDO FINAL]]-Tabela1[[#This Row],[SALDO CARTAO]]-Tabela1[[#This Row],[Adiantamento ]]</f>
        <v>800</v>
      </c>
      <c r="O250" s="18"/>
      <c r="P250" s="18">
        <f>IF(Tabela1[[#This Row],[CARGA PARCIAL]]&lt;0,0,Tabela1[[#This Row],[CARGA PARCIAL]])+Tabela1[[#This Row],[REEMBOLSO]]</f>
        <v>800</v>
      </c>
      <c r="Q250" s="17"/>
      <c r="R250" s="17" t="s">
        <v>23</v>
      </c>
    </row>
    <row r="251" spans="2:18">
      <c r="B251" s="17" t="s">
        <v>639</v>
      </c>
      <c r="C251" s="17" t="s">
        <v>640</v>
      </c>
      <c r="D251" s="17" t="s">
        <v>19</v>
      </c>
      <c r="E251" s="17" t="s">
        <v>440</v>
      </c>
      <c r="F251" s="17" t="s">
        <v>69</v>
      </c>
      <c r="G251" s="17" t="s">
        <v>37</v>
      </c>
      <c r="H251" s="18">
        <v>-921.61000000005583</v>
      </c>
      <c r="I251" s="18">
        <v>4575.8649999999689</v>
      </c>
      <c r="J251" s="18">
        <v>0</v>
      </c>
      <c r="K251" s="18">
        <v>3000</v>
      </c>
      <c r="L251" s="18">
        <v>129.30000000000001</v>
      </c>
      <c r="M251" s="18"/>
      <c r="N251" s="18">
        <f>Tabela1[[#This Row],[2ª QZ]]-Tabela1[[#This Row],[SALDO FINAL]]-Tabela1[[#This Row],[SALDO CARTAO]]-Tabela1[[#This Row],[Adiantamento ]]</f>
        <v>2870.7</v>
      </c>
      <c r="O251" s="18"/>
      <c r="P251" s="18">
        <f>IF(Tabela1[[#This Row],[CARGA PARCIAL]]&lt;0,0,Tabela1[[#This Row],[CARGA PARCIAL]])+Tabela1[[#This Row],[REEMBOLSO]]</f>
        <v>2870.7</v>
      </c>
      <c r="Q251" s="17"/>
      <c r="R251" s="17" t="s">
        <v>23</v>
      </c>
    </row>
    <row r="252" spans="2:18">
      <c r="B252" s="17" t="s">
        <v>641</v>
      </c>
      <c r="C252" s="17" t="s">
        <v>642</v>
      </c>
      <c r="D252" s="17" t="s">
        <v>19</v>
      </c>
      <c r="E252" s="17" t="s">
        <v>135</v>
      </c>
      <c r="F252" s="17" t="s">
        <v>36</v>
      </c>
      <c r="G252" s="17" t="s">
        <v>37</v>
      </c>
      <c r="H252" s="18">
        <v>2.4740209880746988E-12</v>
      </c>
      <c r="I252" s="18">
        <v>799.4300000000037</v>
      </c>
      <c r="J252" s="18">
        <v>0</v>
      </c>
      <c r="K252" s="18">
        <v>800</v>
      </c>
      <c r="L252" s="18">
        <v>2.0299999999999998</v>
      </c>
      <c r="M252" s="18"/>
      <c r="N252" s="18">
        <f>Tabela1[[#This Row],[2ª QZ]]-Tabela1[[#This Row],[SALDO FINAL]]-Tabela1[[#This Row],[SALDO CARTAO]]-Tabela1[[#This Row],[Adiantamento ]]</f>
        <v>797.97</v>
      </c>
      <c r="O252" s="18"/>
      <c r="P252" s="18">
        <f>IF(Tabela1[[#This Row],[CARGA PARCIAL]]&lt;0,0,Tabela1[[#This Row],[CARGA PARCIAL]])+Tabela1[[#This Row],[REEMBOLSO]]</f>
        <v>797.97</v>
      </c>
      <c r="Q252" s="17"/>
      <c r="R252" s="17" t="s">
        <v>23</v>
      </c>
    </row>
    <row r="253" spans="2:18">
      <c r="B253" s="17" t="s">
        <v>643</v>
      </c>
      <c r="C253" s="17" t="s">
        <v>644</v>
      </c>
      <c r="D253" s="17" t="s">
        <v>19</v>
      </c>
      <c r="E253" s="17" t="s">
        <v>94</v>
      </c>
      <c r="F253" s="17" t="s">
        <v>95</v>
      </c>
      <c r="G253" s="17" t="s">
        <v>22</v>
      </c>
      <c r="H253" s="18">
        <v>0</v>
      </c>
      <c r="I253" s="18">
        <v>257.92000000000007</v>
      </c>
      <c r="J253" s="18">
        <v>0</v>
      </c>
      <c r="K253" s="18">
        <v>300</v>
      </c>
      <c r="L253" s="18">
        <v>300</v>
      </c>
      <c r="M253" s="18"/>
      <c r="N253" s="18">
        <f>Tabela1[[#This Row],[2ª QZ]]-Tabela1[[#This Row],[SALDO FINAL]]-Tabela1[[#This Row],[SALDO CARTAO]]-Tabela1[[#This Row],[Adiantamento ]]</f>
        <v>0</v>
      </c>
      <c r="O253" s="18"/>
      <c r="P253" s="18">
        <f>IF(Tabela1[[#This Row],[CARGA PARCIAL]]&lt;0,0,Tabela1[[#This Row],[CARGA PARCIAL]])+Tabela1[[#This Row],[REEMBOLSO]]</f>
        <v>0</v>
      </c>
      <c r="Q253" s="17"/>
      <c r="R253" s="17" t="s">
        <v>23</v>
      </c>
    </row>
    <row r="254" spans="2:18">
      <c r="B254" s="17" t="s">
        <v>645</v>
      </c>
      <c r="C254" s="17" t="s">
        <v>646</v>
      </c>
      <c r="D254" s="17" t="s">
        <v>19</v>
      </c>
      <c r="E254" s="17" t="s">
        <v>647</v>
      </c>
      <c r="F254" s="17" t="s">
        <v>36</v>
      </c>
      <c r="G254" s="17" t="s">
        <v>37</v>
      </c>
      <c r="H254" s="18">
        <v>1801.9099999999994</v>
      </c>
      <c r="I254" s="18">
        <v>0</v>
      </c>
      <c r="J254" s="18">
        <f>Tabela1[[#This Row],[SALDO PENDENTE PARCIAL]]-Tabela1[[#This Row],[CARGA 1 QZ]]</f>
        <v>1801.9099999999994</v>
      </c>
      <c r="K254" s="18">
        <v>1200</v>
      </c>
      <c r="L254" s="18">
        <v>0</v>
      </c>
      <c r="M254" s="18"/>
      <c r="N254" s="18">
        <f>Tabela1[[#This Row],[2ª QZ]]-Tabela1[[#This Row],[SALDO FINAL]]-Tabela1[[#This Row],[SALDO CARTAO]]-Tabela1[[#This Row],[Adiantamento ]]</f>
        <v>-601.9099999999994</v>
      </c>
      <c r="O254" s="18"/>
      <c r="P254" s="18">
        <f>IF(Tabela1[[#This Row],[CARGA PARCIAL]]&lt;0,0,Tabela1[[#This Row],[CARGA PARCIAL]])+Tabela1[[#This Row],[REEMBOLSO]]</f>
        <v>0</v>
      </c>
      <c r="Q254" s="17"/>
      <c r="R254" s="17" t="s">
        <v>23</v>
      </c>
    </row>
    <row r="255" spans="2:18">
      <c r="B255" s="17" t="s">
        <v>648</v>
      </c>
      <c r="C255" s="17" t="s">
        <v>649</v>
      </c>
      <c r="D255" s="17" t="s">
        <v>19</v>
      </c>
      <c r="E255" s="17" t="s">
        <v>135</v>
      </c>
      <c r="F255" s="17" t="s">
        <v>36</v>
      </c>
      <c r="G255" s="17" t="s">
        <v>37</v>
      </c>
      <c r="H255" s="18">
        <v>-20.999999999991704</v>
      </c>
      <c r="I255" s="18">
        <v>1248.7699999999984</v>
      </c>
      <c r="J255" s="18">
        <v>0</v>
      </c>
      <c r="K255" s="18">
        <v>1400</v>
      </c>
      <c r="L255" s="18">
        <v>25.13</v>
      </c>
      <c r="M255" s="18"/>
      <c r="N255" s="18">
        <f>Tabela1[[#This Row],[2ª QZ]]-Tabela1[[#This Row],[SALDO FINAL]]-Tabela1[[#This Row],[SALDO CARTAO]]-Tabela1[[#This Row],[Adiantamento ]]</f>
        <v>1374.87</v>
      </c>
      <c r="O255" s="18"/>
      <c r="P255" s="18">
        <f>IF(Tabela1[[#This Row],[CARGA PARCIAL]]&lt;0,0,Tabela1[[#This Row],[CARGA PARCIAL]])+Tabela1[[#This Row],[REEMBOLSO]]</f>
        <v>1374.87</v>
      </c>
      <c r="Q255" s="17"/>
      <c r="R255" s="17" t="s">
        <v>23</v>
      </c>
    </row>
    <row r="256" spans="2:18">
      <c r="B256" s="17" t="s">
        <v>650</v>
      </c>
      <c r="C256" s="17" t="s">
        <v>651</v>
      </c>
      <c r="D256" s="17" t="s">
        <v>19</v>
      </c>
      <c r="E256" s="17" t="s">
        <v>602</v>
      </c>
      <c r="F256" s="17" t="s">
        <v>36</v>
      </c>
      <c r="G256" s="17" t="s">
        <v>37</v>
      </c>
      <c r="H256" s="18">
        <v>1765.6500000000015</v>
      </c>
      <c r="I256" s="18">
        <v>1186.0399999999991</v>
      </c>
      <c r="J256" s="18">
        <f>Tabela1[[#This Row],[SALDO PENDENTE PARCIAL]]-Tabela1[[#This Row],[CARGA 1 QZ]]</f>
        <v>579.6100000000024</v>
      </c>
      <c r="K256" s="18">
        <v>1200</v>
      </c>
      <c r="L256" s="18">
        <v>651.46</v>
      </c>
      <c r="M256" s="18"/>
      <c r="N256" s="18">
        <f>Tabela1[[#This Row],[2ª QZ]]-Tabela1[[#This Row],[SALDO FINAL]]-Tabela1[[#This Row],[SALDO CARTAO]]-Tabela1[[#This Row],[Adiantamento ]]</f>
        <v>-31.070000000002437</v>
      </c>
      <c r="O256" s="18"/>
      <c r="P256" s="18">
        <f>IF(Tabela1[[#This Row],[CARGA PARCIAL]]&lt;0,0,Tabela1[[#This Row],[CARGA PARCIAL]])+Tabela1[[#This Row],[REEMBOLSO]]</f>
        <v>0</v>
      </c>
      <c r="Q256" s="17"/>
      <c r="R256" s="17" t="s">
        <v>23</v>
      </c>
    </row>
    <row r="257" spans="2:18">
      <c r="B257" s="17" t="s">
        <v>652</v>
      </c>
      <c r="C257" s="17" t="s">
        <v>653</v>
      </c>
      <c r="D257" s="17" t="s">
        <v>19</v>
      </c>
      <c r="E257" s="17" t="s">
        <v>51</v>
      </c>
      <c r="F257" s="17" t="s">
        <v>31</v>
      </c>
      <c r="G257" s="17" t="s">
        <v>32</v>
      </c>
      <c r="H257" s="18">
        <v>233.96999999999844</v>
      </c>
      <c r="I257" s="18">
        <v>0</v>
      </c>
      <c r="J257" s="18">
        <f>Tabela1[[#This Row],[SALDO PENDENTE PARCIAL]]-Tabela1[[#This Row],[CARGA 1 QZ]]</f>
        <v>233.96999999999844</v>
      </c>
      <c r="K257" s="18">
        <v>750</v>
      </c>
      <c r="L257" s="18">
        <v>43</v>
      </c>
      <c r="M257" s="18"/>
      <c r="N257" s="18">
        <f>Tabela1[[#This Row],[2ª QZ]]-Tabela1[[#This Row],[SALDO FINAL]]-Tabela1[[#This Row],[SALDO CARTAO]]-Tabela1[[#This Row],[Adiantamento ]]</f>
        <v>473.03000000000156</v>
      </c>
      <c r="O257" s="18"/>
      <c r="P257" s="18">
        <f>IF(Tabela1[[#This Row],[CARGA PARCIAL]]&lt;0,0,Tabela1[[#This Row],[CARGA PARCIAL]])+Tabela1[[#This Row],[REEMBOLSO]]</f>
        <v>473.03000000000156</v>
      </c>
      <c r="Q257" s="17"/>
      <c r="R257" s="17" t="s">
        <v>23</v>
      </c>
    </row>
    <row r="258" spans="2:18">
      <c r="B258" s="17" t="s">
        <v>654</v>
      </c>
      <c r="C258" s="17" t="s">
        <v>655</v>
      </c>
      <c r="D258" s="17" t="s">
        <v>19</v>
      </c>
      <c r="E258" s="17" t="s">
        <v>656</v>
      </c>
      <c r="F258" s="17" t="s">
        <v>41</v>
      </c>
      <c r="G258" s="17" t="s">
        <v>37</v>
      </c>
      <c r="H258" s="18">
        <v>409.70999999997383</v>
      </c>
      <c r="I258" s="18">
        <v>1951.1400000000212</v>
      </c>
      <c r="J258" s="18">
        <v>0</v>
      </c>
      <c r="K258" s="18">
        <v>3000</v>
      </c>
      <c r="L258" s="18">
        <v>12.59</v>
      </c>
      <c r="M258" s="18"/>
      <c r="N258" s="18">
        <f>Tabela1[[#This Row],[2ª QZ]]-Tabela1[[#This Row],[SALDO FINAL]]-Tabela1[[#This Row],[SALDO CARTAO]]-Tabela1[[#This Row],[Adiantamento ]]</f>
        <v>2987.41</v>
      </c>
      <c r="O258" s="18"/>
      <c r="P258" s="18">
        <f>IF(Tabela1[[#This Row],[CARGA PARCIAL]]&lt;0,0,Tabela1[[#This Row],[CARGA PARCIAL]])+Tabela1[[#This Row],[REEMBOLSO]]</f>
        <v>2987.41</v>
      </c>
      <c r="Q258" s="17"/>
      <c r="R258" s="17" t="s">
        <v>23</v>
      </c>
    </row>
    <row r="259" spans="2:18">
      <c r="B259" s="17" t="s">
        <v>657</v>
      </c>
      <c r="C259" s="17" t="s">
        <v>658</v>
      </c>
      <c r="D259" s="17" t="s">
        <v>19</v>
      </c>
      <c r="E259" s="17" t="s">
        <v>659</v>
      </c>
      <c r="F259" s="17" t="s">
        <v>21</v>
      </c>
      <c r="G259" s="17" t="s">
        <v>22</v>
      </c>
      <c r="H259" s="18">
        <v>-61.94</v>
      </c>
      <c r="I259" s="18">
        <v>50</v>
      </c>
      <c r="J259" s="18">
        <v>0</v>
      </c>
      <c r="K259" s="18">
        <v>250</v>
      </c>
      <c r="L259" s="18">
        <v>311.94</v>
      </c>
      <c r="M259" s="18"/>
      <c r="N259" s="18">
        <f>Tabela1[[#This Row],[2ª QZ]]-Tabela1[[#This Row],[SALDO FINAL]]-Tabela1[[#This Row],[SALDO CARTAO]]-Tabela1[[#This Row],[Adiantamento ]]</f>
        <v>-61.94</v>
      </c>
      <c r="O259" s="18"/>
      <c r="P259" s="18">
        <f>IF(Tabela1[[#This Row],[CARGA PARCIAL]]&lt;0,0,Tabela1[[#This Row],[CARGA PARCIAL]])+Tabela1[[#This Row],[REEMBOLSO]]</f>
        <v>0</v>
      </c>
      <c r="Q259" s="17"/>
      <c r="R259" s="17" t="s">
        <v>23</v>
      </c>
    </row>
    <row r="260" spans="2:18">
      <c r="B260" s="17" t="s">
        <v>660</v>
      </c>
      <c r="C260" s="17" t="s">
        <v>661</v>
      </c>
      <c r="D260" s="17" t="s">
        <v>19</v>
      </c>
      <c r="E260" s="17" t="s">
        <v>91</v>
      </c>
      <c r="F260" s="17" t="s">
        <v>45</v>
      </c>
      <c r="G260" s="17" t="s">
        <v>37</v>
      </c>
      <c r="H260" s="18">
        <v>0</v>
      </c>
      <c r="I260" s="18">
        <v>0</v>
      </c>
      <c r="J260" s="18">
        <f>Tabela1[[#This Row],[SALDO PENDENTE PARCIAL]]-Tabela1[[#This Row],[CARGA 1 QZ]]</f>
        <v>0</v>
      </c>
      <c r="K260" s="18">
        <v>100</v>
      </c>
      <c r="L260" s="18">
        <v>5</v>
      </c>
      <c r="M260" s="18"/>
      <c r="N260" s="18">
        <f>Tabela1[[#This Row],[2ª QZ]]-Tabela1[[#This Row],[SALDO FINAL]]-Tabela1[[#This Row],[SALDO CARTAO]]-Tabela1[[#This Row],[Adiantamento ]]</f>
        <v>95</v>
      </c>
      <c r="O260" s="18"/>
      <c r="P260" s="18">
        <f>IF(Tabela1[[#This Row],[CARGA PARCIAL]]&lt;0,0,Tabela1[[#This Row],[CARGA PARCIAL]])+Tabela1[[#This Row],[REEMBOLSO]]</f>
        <v>95</v>
      </c>
      <c r="Q260" s="17"/>
      <c r="R260" s="17" t="s">
        <v>23</v>
      </c>
    </row>
    <row r="261" spans="2:18">
      <c r="B261" s="17" t="s">
        <v>662</v>
      </c>
      <c r="C261" s="17" t="s">
        <v>663</v>
      </c>
      <c r="D261" s="17" t="s">
        <v>19</v>
      </c>
      <c r="E261" s="17" t="s">
        <v>162</v>
      </c>
      <c r="F261" s="17" t="s">
        <v>36</v>
      </c>
      <c r="G261" s="17" t="s">
        <v>37</v>
      </c>
      <c r="H261" s="18">
        <v>21.61999999999955</v>
      </c>
      <c r="I261" s="18">
        <v>66.24000000000018</v>
      </c>
      <c r="J261" s="18">
        <v>0</v>
      </c>
      <c r="K261" s="18">
        <v>500</v>
      </c>
      <c r="L261" s="18">
        <v>355.36</v>
      </c>
      <c r="M261" s="18"/>
      <c r="N261" s="18">
        <f>Tabela1[[#This Row],[2ª QZ]]-Tabela1[[#This Row],[SALDO FINAL]]-Tabela1[[#This Row],[SALDO CARTAO]]-Tabela1[[#This Row],[Adiantamento ]]</f>
        <v>144.63999999999999</v>
      </c>
      <c r="O261" s="18"/>
      <c r="P261" s="18">
        <f>IF(Tabela1[[#This Row],[CARGA PARCIAL]]&lt;0,0,Tabela1[[#This Row],[CARGA PARCIAL]])+Tabela1[[#This Row],[REEMBOLSO]]</f>
        <v>144.63999999999999</v>
      </c>
      <c r="Q261" s="17"/>
      <c r="R261" s="17" t="s">
        <v>23</v>
      </c>
    </row>
    <row r="262" spans="2:18">
      <c r="B262" s="17" t="s">
        <v>664</v>
      </c>
      <c r="C262" s="17" t="s">
        <v>665</v>
      </c>
      <c r="D262" s="17" t="s">
        <v>19</v>
      </c>
      <c r="E262" s="17" t="s">
        <v>85</v>
      </c>
      <c r="F262" s="17" t="s">
        <v>69</v>
      </c>
      <c r="G262" s="17" t="s">
        <v>37</v>
      </c>
      <c r="H262" s="18">
        <v>36.700000000000102</v>
      </c>
      <c r="I262" s="18">
        <v>7.5799999999999272</v>
      </c>
      <c r="J262" s="18">
        <f>Tabela1[[#This Row],[SALDO PENDENTE PARCIAL]]-Tabela1[[#This Row],[CARGA 1 QZ]]</f>
        <v>29.120000000000175</v>
      </c>
      <c r="K262" s="18">
        <v>1500</v>
      </c>
      <c r="L262" s="18">
        <v>76.94</v>
      </c>
      <c r="M262" s="18"/>
      <c r="N262" s="18">
        <f>Tabela1[[#This Row],[2ª QZ]]-Tabela1[[#This Row],[SALDO FINAL]]-Tabela1[[#This Row],[SALDO CARTAO]]-Tabela1[[#This Row],[Adiantamento ]]</f>
        <v>1393.9399999999998</v>
      </c>
      <c r="O262" s="18"/>
      <c r="P262" s="18">
        <f>IF(Tabela1[[#This Row],[CARGA PARCIAL]]&lt;0,0,Tabela1[[#This Row],[CARGA PARCIAL]])+Tabela1[[#This Row],[REEMBOLSO]]</f>
        <v>1393.9399999999998</v>
      </c>
      <c r="Q262" s="17"/>
      <c r="R262" s="17" t="s">
        <v>23</v>
      </c>
    </row>
    <row r="263" spans="2:18">
      <c r="B263" s="17" t="s">
        <v>666</v>
      </c>
      <c r="C263" s="17" t="s">
        <v>667</v>
      </c>
      <c r="D263" s="17" t="s">
        <v>19</v>
      </c>
      <c r="E263" s="17" t="s">
        <v>668</v>
      </c>
      <c r="F263" s="17" t="s">
        <v>27</v>
      </c>
      <c r="G263" s="17" t="s">
        <v>22</v>
      </c>
      <c r="H263" s="18">
        <v>5100.5199999999522</v>
      </c>
      <c r="I263" s="18">
        <v>13984.459999999821</v>
      </c>
      <c r="J263" s="18">
        <v>0</v>
      </c>
      <c r="K263" s="18">
        <v>10000</v>
      </c>
      <c r="L263" s="18">
        <v>19.46</v>
      </c>
      <c r="M263" s="18"/>
      <c r="N263" s="18">
        <f>Tabela1[[#This Row],[2ª QZ]]-Tabela1[[#This Row],[SALDO FINAL]]-Tabela1[[#This Row],[SALDO CARTAO]]-Tabela1[[#This Row],[Adiantamento ]]</f>
        <v>9980.5400000000009</v>
      </c>
      <c r="O263" s="18"/>
      <c r="P263" s="18">
        <f>IF(Tabela1[[#This Row],[CARGA PARCIAL]]&lt;0,0,Tabela1[[#This Row],[CARGA PARCIAL]])+Tabela1[[#This Row],[REEMBOLSO]]</f>
        <v>9980.5400000000009</v>
      </c>
      <c r="Q263" s="17"/>
      <c r="R263" s="17" t="s">
        <v>23</v>
      </c>
    </row>
    <row r="264" spans="2:18">
      <c r="B264" s="17" t="s">
        <v>669</v>
      </c>
      <c r="C264" s="17" t="s">
        <v>670</v>
      </c>
      <c r="D264" s="17" t="s">
        <v>19</v>
      </c>
      <c r="E264" s="17" t="s">
        <v>135</v>
      </c>
      <c r="F264" s="17" t="s">
        <v>36</v>
      </c>
      <c r="G264" s="17" t="s">
        <v>37</v>
      </c>
      <c r="H264" s="18">
        <v>99.999999999999133</v>
      </c>
      <c r="I264" s="18">
        <v>152.29999999999927</v>
      </c>
      <c r="J264" s="18">
        <v>0</v>
      </c>
      <c r="K264" s="18">
        <v>600</v>
      </c>
      <c r="L264" s="18">
        <v>83.46</v>
      </c>
      <c r="M264" s="18"/>
      <c r="N264" s="18">
        <f>Tabela1[[#This Row],[2ª QZ]]-Tabela1[[#This Row],[SALDO FINAL]]-Tabela1[[#This Row],[SALDO CARTAO]]-Tabela1[[#This Row],[Adiantamento ]]</f>
        <v>516.54</v>
      </c>
      <c r="O264" s="18"/>
      <c r="P264" s="18">
        <f>IF(Tabela1[[#This Row],[CARGA PARCIAL]]&lt;0,0,Tabela1[[#This Row],[CARGA PARCIAL]])+Tabela1[[#This Row],[REEMBOLSO]]</f>
        <v>516.54</v>
      </c>
      <c r="Q264" s="17"/>
      <c r="R264" s="17" t="s">
        <v>23</v>
      </c>
    </row>
    <row r="265" spans="2:18">
      <c r="B265" s="17" t="s">
        <v>671</v>
      </c>
      <c r="C265" s="17" t="s">
        <v>672</v>
      </c>
      <c r="D265" s="17" t="s">
        <v>19</v>
      </c>
      <c r="E265" s="17" t="s">
        <v>135</v>
      </c>
      <c r="F265" s="17" t="s">
        <v>36</v>
      </c>
      <c r="G265" s="17" t="s">
        <v>37</v>
      </c>
      <c r="H265" s="18">
        <v>185.51000000000431</v>
      </c>
      <c r="I265" s="18">
        <v>164.98999999999796</v>
      </c>
      <c r="J265" s="18">
        <f>Tabela1[[#This Row],[SALDO PENDENTE PARCIAL]]-Tabela1[[#This Row],[CARGA 1 QZ]]</f>
        <v>20.520000000006348</v>
      </c>
      <c r="K265" s="18">
        <v>800</v>
      </c>
      <c r="L265" s="18">
        <v>68.77</v>
      </c>
      <c r="M265" s="18"/>
      <c r="N265" s="18">
        <f>Tabela1[[#This Row],[2ª QZ]]-Tabela1[[#This Row],[SALDO FINAL]]-Tabela1[[#This Row],[SALDO CARTAO]]-Tabela1[[#This Row],[Adiantamento ]]</f>
        <v>710.70999999999367</v>
      </c>
      <c r="O265" s="18"/>
      <c r="P265" s="18">
        <f>IF(Tabela1[[#This Row],[CARGA PARCIAL]]&lt;0,0,Tabela1[[#This Row],[CARGA PARCIAL]])+Tabela1[[#This Row],[REEMBOLSO]]</f>
        <v>710.70999999999367</v>
      </c>
      <c r="Q265" s="17"/>
      <c r="R265" s="17" t="s">
        <v>23</v>
      </c>
    </row>
    <row r="266" spans="2:18">
      <c r="B266" s="17" t="s">
        <v>673</v>
      </c>
      <c r="C266" s="17" t="s">
        <v>674</v>
      </c>
      <c r="D266" s="17" t="s">
        <v>19</v>
      </c>
      <c r="E266" s="17" t="s">
        <v>51</v>
      </c>
      <c r="F266" s="17" t="s">
        <v>31</v>
      </c>
      <c r="G266" s="17" t="s">
        <v>32</v>
      </c>
      <c r="H266" s="18">
        <v>251.68000000000211</v>
      </c>
      <c r="I266" s="18">
        <v>24.159999999998945</v>
      </c>
      <c r="J266" s="18">
        <f>Tabela1[[#This Row],[SALDO PENDENTE PARCIAL]]-Tabela1[[#This Row],[CARGA 1 QZ]]</f>
        <v>227.52000000000317</v>
      </c>
      <c r="K266" s="18">
        <v>800</v>
      </c>
      <c r="L266" s="18">
        <v>486</v>
      </c>
      <c r="M266" s="18"/>
      <c r="N266" s="18">
        <f>Tabela1[[#This Row],[2ª QZ]]-Tabela1[[#This Row],[SALDO FINAL]]-Tabela1[[#This Row],[SALDO CARTAO]]-Tabela1[[#This Row],[Adiantamento ]]</f>
        <v>86.479999999996835</v>
      </c>
      <c r="O266" s="18"/>
      <c r="P266" s="18">
        <f>IF(Tabela1[[#This Row],[CARGA PARCIAL]]&lt;0,0,Tabela1[[#This Row],[CARGA PARCIAL]])+Tabela1[[#This Row],[REEMBOLSO]]</f>
        <v>86.479999999996835</v>
      </c>
      <c r="Q266" s="17"/>
      <c r="R266" s="17" t="s">
        <v>23</v>
      </c>
    </row>
    <row r="267" spans="2:18">
      <c r="B267" s="17" t="s">
        <v>675</v>
      </c>
      <c r="C267" s="17" t="s">
        <v>676</v>
      </c>
      <c r="D267" s="17" t="s">
        <v>19</v>
      </c>
      <c r="E267" s="17" t="s">
        <v>54</v>
      </c>
      <c r="F267" s="17" t="s">
        <v>27</v>
      </c>
      <c r="G267" s="17" t="s">
        <v>22</v>
      </c>
      <c r="H267" s="18">
        <v>-119</v>
      </c>
      <c r="I267" s="18">
        <v>178.5</v>
      </c>
      <c r="J267" s="18">
        <v>0</v>
      </c>
      <c r="K267" s="18">
        <v>1000</v>
      </c>
      <c r="L267" s="18">
        <v>1059.5</v>
      </c>
      <c r="M267" s="18"/>
      <c r="N267" s="18">
        <f>Tabela1[[#This Row],[2ª QZ]]-Tabela1[[#This Row],[SALDO FINAL]]-Tabela1[[#This Row],[SALDO CARTAO]]-Tabela1[[#This Row],[Adiantamento ]]</f>
        <v>-59.5</v>
      </c>
      <c r="O267" s="18"/>
      <c r="P267" s="18">
        <f>IF(Tabela1[[#This Row],[CARGA PARCIAL]]&lt;0,0,Tabela1[[#This Row],[CARGA PARCIAL]])+Tabela1[[#This Row],[REEMBOLSO]]</f>
        <v>0</v>
      </c>
      <c r="Q267" s="17"/>
      <c r="R267" s="17" t="s">
        <v>23</v>
      </c>
    </row>
    <row r="268" spans="2:18">
      <c r="B268" s="17" t="s">
        <v>677</v>
      </c>
      <c r="C268" s="17" t="s">
        <v>678</v>
      </c>
      <c r="D268" s="17" t="s">
        <v>19</v>
      </c>
      <c r="E268" s="17" t="s">
        <v>370</v>
      </c>
      <c r="F268" s="17" t="s">
        <v>69</v>
      </c>
      <c r="G268" s="17" t="s">
        <v>37</v>
      </c>
      <c r="H268" s="18">
        <v>1317.5300000000022</v>
      </c>
      <c r="I268" s="18">
        <v>1652.5149999999999</v>
      </c>
      <c r="J268" s="18">
        <v>0</v>
      </c>
      <c r="K268" s="18">
        <v>1500</v>
      </c>
      <c r="L268" s="18">
        <v>7.24</v>
      </c>
      <c r="M268" s="18"/>
      <c r="N268" s="18">
        <f>Tabela1[[#This Row],[2ª QZ]]-Tabela1[[#This Row],[SALDO FINAL]]-Tabela1[[#This Row],[SALDO CARTAO]]-Tabela1[[#This Row],[Adiantamento ]]</f>
        <v>1492.76</v>
      </c>
      <c r="O268" s="18"/>
      <c r="P268" s="18">
        <f>IF(Tabela1[[#This Row],[CARGA PARCIAL]]&lt;0,0,Tabela1[[#This Row],[CARGA PARCIAL]])+Tabela1[[#This Row],[REEMBOLSO]]</f>
        <v>1492.76</v>
      </c>
      <c r="Q268" s="17"/>
      <c r="R268" s="17" t="s">
        <v>23</v>
      </c>
    </row>
    <row r="269" spans="2:18">
      <c r="B269" s="17" t="s">
        <v>679</v>
      </c>
      <c r="C269" s="17" t="s">
        <v>680</v>
      </c>
      <c r="D269" s="17" t="s">
        <v>19</v>
      </c>
      <c r="E269" s="17" t="s">
        <v>681</v>
      </c>
      <c r="F269" s="17" t="s">
        <v>21</v>
      </c>
      <c r="G269" s="17" t="s">
        <v>22</v>
      </c>
      <c r="H269" s="18">
        <v>258.70999999999958</v>
      </c>
      <c r="I269" s="18">
        <v>911.06000000000085</v>
      </c>
      <c r="J269" s="18">
        <v>0</v>
      </c>
      <c r="K269" s="18">
        <v>700</v>
      </c>
      <c r="L269" s="18">
        <v>86.02</v>
      </c>
      <c r="M269" s="18"/>
      <c r="N269" s="18">
        <f>Tabela1[[#This Row],[2ª QZ]]-Tabela1[[#This Row],[SALDO FINAL]]-Tabela1[[#This Row],[SALDO CARTAO]]-Tabela1[[#This Row],[Adiantamento ]]</f>
        <v>613.98</v>
      </c>
      <c r="O269" s="18"/>
      <c r="P269" s="18">
        <f>IF(Tabela1[[#This Row],[CARGA PARCIAL]]&lt;0,0,Tabela1[[#This Row],[CARGA PARCIAL]])+Tabela1[[#This Row],[REEMBOLSO]]</f>
        <v>613.98</v>
      </c>
      <c r="Q269" s="17"/>
      <c r="R269" s="17" t="s">
        <v>23</v>
      </c>
    </row>
    <row r="270" spans="2:18">
      <c r="B270" s="17" t="s">
        <v>682</v>
      </c>
      <c r="C270" s="17" t="s">
        <v>683</v>
      </c>
      <c r="D270" s="17" t="s">
        <v>19</v>
      </c>
      <c r="E270" s="17" t="s">
        <v>135</v>
      </c>
      <c r="F270" s="17" t="s">
        <v>36</v>
      </c>
      <c r="G270" s="17" t="s">
        <v>37</v>
      </c>
      <c r="H270" s="18">
        <v>791.9000000000018</v>
      </c>
      <c r="I270" s="18">
        <v>637.44999999999891</v>
      </c>
      <c r="J270" s="18">
        <f>Tabela1[[#This Row],[SALDO PENDENTE PARCIAL]]-Tabela1[[#This Row],[CARGA 1 QZ]]</f>
        <v>154.45000000000289</v>
      </c>
      <c r="K270" s="18">
        <v>800</v>
      </c>
      <c r="L270" s="18">
        <v>1.1000000000000001</v>
      </c>
      <c r="M270" s="18"/>
      <c r="N270" s="18">
        <f>Tabela1[[#This Row],[2ª QZ]]-Tabela1[[#This Row],[SALDO FINAL]]-Tabela1[[#This Row],[SALDO CARTAO]]-Tabela1[[#This Row],[Adiantamento ]]</f>
        <v>644.44999999999709</v>
      </c>
      <c r="O270" s="18"/>
      <c r="P270" s="18">
        <f>IF(Tabela1[[#This Row],[CARGA PARCIAL]]&lt;0,0,Tabela1[[#This Row],[CARGA PARCIAL]])+Tabela1[[#This Row],[REEMBOLSO]]</f>
        <v>644.44999999999709</v>
      </c>
      <c r="Q270" s="17"/>
      <c r="R270" s="17" t="s">
        <v>23</v>
      </c>
    </row>
    <row r="271" spans="2:18">
      <c r="B271" s="17" t="s">
        <v>684</v>
      </c>
      <c r="C271" s="17" t="s">
        <v>685</v>
      </c>
      <c r="D271" s="17" t="s">
        <v>19</v>
      </c>
      <c r="E271" s="17" t="s">
        <v>51</v>
      </c>
      <c r="F271" s="17" t="s">
        <v>31</v>
      </c>
      <c r="G271" s="17" t="s">
        <v>32</v>
      </c>
      <c r="H271" s="18">
        <v>-29.8799999999992</v>
      </c>
      <c r="I271" s="18">
        <v>0</v>
      </c>
      <c r="J271" s="18">
        <v>0</v>
      </c>
      <c r="K271" s="18">
        <v>800</v>
      </c>
      <c r="L271" s="18">
        <v>0</v>
      </c>
      <c r="M271" s="18"/>
      <c r="N271" s="18">
        <f>Tabela1[[#This Row],[2ª QZ]]-Tabela1[[#This Row],[SALDO FINAL]]-Tabela1[[#This Row],[SALDO CARTAO]]-Tabela1[[#This Row],[Adiantamento ]]</f>
        <v>800</v>
      </c>
      <c r="O271" s="18"/>
      <c r="P271" s="18">
        <f>IF(Tabela1[[#This Row],[CARGA PARCIAL]]&lt;0,0,Tabela1[[#This Row],[CARGA PARCIAL]])+Tabela1[[#This Row],[REEMBOLSO]]</f>
        <v>800</v>
      </c>
      <c r="Q271" s="17"/>
      <c r="R271" s="17" t="s">
        <v>23</v>
      </c>
    </row>
    <row r="272" spans="2:18">
      <c r="B272" s="17" t="s">
        <v>686</v>
      </c>
      <c r="C272" s="17" t="s">
        <v>687</v>
      </c>
      <c r="D272" s="17" t="s">
        <v>19</v>
      </c>
      <c r="E272" s="17" t="s">
        <v>44</v>
      </c>
      <c r="F272" s="17" t="s">
        <v>45</v>
      </c>
      <c r="G272" s="17" t="s">
        <v>37</v>
      </c>
      <c r="H272" s="18">
        <v>235</v>
      </c>
      <c r="I272" s="18">
        <v>0</v>
      </c>
      <c r="J272" s="18">
        <f>Tabela1[[#This Row],[SALDO PENDENTE PARCIAL]]-Tabela1[[#This Row],[CARGA 1 QZ]]</f>
        <v>235</v>
      </c>
      <c r="K272" s="18">
        <v>120</v>
      </c>
      <c r="L272" s="18">
        <v>0</v>
      </c>
      <c r="M272" s="18"/>
      <c r="N272" s="18">
        <f>Tabela1[[#This Row],[2ª QZ]]-Tabela1[[#This Row],[SALDO FINAL]]-Tabela1[[#This Row],[SALDO CARTAO]]-Tabela1[[#This Row],[Adiantamento ]]</f>
        <v>-115</v>
      </c>
      <c r="O272" s="18"/>
      <c r="P272" s="18">
        <f>IF(Tabela1[[#This Row],[CARGA PARCIAL]]&lt;0,0,Tabela1[[#This Row],[CARGA PARCIAL]])+Tabela1[[#This Row],[REEMBOLSO]]</f>
        <v>0</v>
      </c>
      <c r="Q272" s="17"/>
      <c r="R272" s="17" t="s">
        <v>23</v>
      </c>
    </row>
    <row r="273" spans="2:18">
      <c r="B273" s="17" t="s">
        <v>688</v>
      </c>
      <c r="C273" s="17" t="s">
        <v>689</v>
      </c>
      <c r="D273" s="17" t="s">
        <v>19</v>
      </c>
      <c r="E273" s="17" t="s">
        <v>68</v>
      </c>
      <c r="F273" s="17" t="s">
        <v>69</v>
      </c>
      <c r="G273" s="17" t="s">
        <v>37</v>
      </c>
      <c r="H273" s="18">
        <v>-859.05000000000757</v>
      </c>
      <c r="I273" s="18">
        <v>2074.5600000000027</v>
      </c>
      <c r="J273" s="18">
        <v>0</v>
      </c>
      <c r="K273" s="18">
        <v>1800</v>
      </c>
      <c r="L273" s="18">
        <v>101.12</v>
      </c>
      <c r="M273" s="18"/>
      <c r="N273" s="18">
        <f>Tabela1[[#This Row],[2ª QZ]]-Tabela1[[#This Row],[SALDO FINAL]]-Tabela1[[#This Row],[SALDO CARTAO]]-Tabela1[[#This Row],[Adiantamento ]]</f>
        <v>1698.88</v>
      </c>
      <c r="O273" s="18"/>
      <c r="P273" s="18">
        <f>IF(Tabela1[[#This Row],[CARGA PARCIAL]]&lt;0,0,Tabela1[[#This Row],[CARGA PARCIAL]])+Tabela1[[#This Row],[REEMBOLSO]]</f>
        <v>1698.88</v>
      </c>
      <c r="Q273" s="17"/>
      <c r="R273" s="17" t="s">
        <v>23</v>
      </c>
    </row>
    <row r="274" spans="2:18">
      <c r="B274" s="17" t="s">
        <v>690</v>
      </c>
      <c r="C274" s="17" t="s">
        <v>691</v>
      </c>
      <c r="D274" s="17" t="s">
        <v>19</v>
      </c>
      <c r="E274" s="17" t="s">
        <v>692</v>
      </c>
      <c r="F274" s="17" t="s">
        <v>41</v>
      </c>
      <c r="G274" s="17" t="s">
        <v>37</v>
      </c>
      <c r="H274" s="18">
        <v>-336.39999999999668</v>
      </c>
      <c r="I274" s="18">
        <v>1155.4950000000022</v>
      </c>
      <c r="J274" s="18">
        <v>0</v>
      </c>
      <c r="K274" s="18">
        <v>1000</v>
      </c>
      <c r="L274" s="18">
        <v>17.97</v>
      </c>
      <c r="M274" s="18"/>
      <c r="N274" s="18">
        <f>Tabela1[[#This Row],[2ª QZ]]-Tabela1[[#This Row],[SALDO FINAL]]-Tabela1[[#This Row],[SALDO CARTAO]]-Tabela1[[#This Row],[Adiantamento ]]</f>
        <v>982.03</v>
      </c>
      <c r="O274" s="18"/>
      <c r="P274" s="18">
        <f>IF(Tabela1[[#This Row],[CARGA PARCIAL]]&lt;0,0,Tabela1[[#This Row],[CARGA PARCIAL]])+Tabela1[[#This Row],[REEMBOLSO]]</f>
        <v>982.03</v>
      </c>
      <c r="Q274" s="17"/>
      <c r="R274" s="17" t="s">
        <v>23</v>
      </c>
    </row>
    <row r="275" spans="2:18">
      <c r="B275" s="17" t="s">
        <v>693</v>
      </c>
      <c r="C275" s="17" t="s">
        <v>694</v>
      </c>
      <c r="D275" s="17" t="s">
        <v>19</v>
      </c>
      <c r="E275" s="17" t="s">
        <v>387</v>
      </c>
      <c r="F275" s="17" t="s">
        <v>36</v>
      </c>
      <c r="G275" s="17" t="s">
        <v>37</v>
      </c>
      <c r="H275" s="18">
        <v>-192.03000000003885</v>
      </c>
      <c r="I275" s="18">
        <v>0</v>
      </c>
      <c r="J275" s="18">
        <v>0</v>
      </c>
      <c r="K275" s="18">
        <v>700</v>
      </c>
      <c r="L275" s="18">
        <v>0</v>
      </c>
      <c r="M275" s="18"/>
      <c r="N275" s="18">
        <f>Tabela1[[#This Row],[2ª QZ]]-Tabela1[[#This Row],[SALDO FINAL]]-Tabela1[[#This Row],[SALDO CARTAO]]-Tabela1[[#This Row],[Adiantamento ]]</f>
        <v>700</v>
      </c>
      <c r="O275" s="18"/>
      <c r="P275" s="18">
        <f>IF(Tabela1[[#This Row],[CARGA PARCIAL]]&lt;0,0,Tabela1[[#This Row],[CARGA PARCIAL]])+Tabela1[[#This Row],[REEMBOLSO]]</f>
        <v>700</v>
      </c>
      <c r="Q275" s="17"/>
      <c r="R275" s="17" t="s">
        <v>23</v>
      </c>
    </row>
    <row r="276" spans="2:18">
      <c r="B276" s="17" t="s">
        <v>695</v>
      </c>
      <c r="C276" s="17" t="s">
        <v>696</v>
      </c>
      <c r="D276" s="17" t="s">
        <v>19</v>
      </c>
      <c r="E276" s="17" t="s">
        <v>44</v>
      </c>
      <c r="F276" s="17" t="s">
        <v>45</v>
      </c>
      <c r="G276" s="17" t="s">
        <v>37</v>
      </c>
      <c r="H276" s="18">
        <v>57</v>
      </c>
      <c r="I276" s="18">
        <v>79.600000000000819</v>
      </c>
      <c r="J276" s="18">
        <v>0</v>
      </c>
      <c r="K276" s="18">
        <v>160</v>
      </c>
      <c r="L276" s="18">
        <v>53</v>
      </c>
      <c r="M276" s="18"/>
      <c r="N276" s="18">
        <f>Tabela1[[#This Row],[2ª QZ]]-Tabela1[[#This Row],[SALDO FINAL]]-Tabela1[[#This Row],[SALDO CARTAO]]-Tabela1[[#This Row],[Adiantamento ]]</f>
        <v>107</v>
      </c>
      <c r="O276" s="18"/>
      <c r="P276" s="18">
        <f>IF(Tabela1[[#This Row],[CARGA PARCIAL]]&lt;0,0,Tabela1[[#This Row],[CARGA PARCIAL]])+Tabela1[[#This Row],[REEMBOLSO]]</f>
        <v>107</v>
      </c>
      <c r="Q276" s="17"/>
      <c r="R276" s="17" t="s">
        <v>23</v>
      </c>
    </row>
    <row r="277" spans="2:18">
      <c r="B277" s="17" t="s">
        <v>697</v>
      </c>
      <c r="C277" s="17" t="s">
        <v>698</v>
      </c>
      <c r="D277" s="17" t="s">
        <v>19</v>
      </c>
      <c r="E277" s="17" t="s">
        <v>44</v>
      </c>
      <c r="F277" s="17" t="s">
        <v>45</v>
      </c>
      <c r="G277" s="17" t="s">
        <v>37</v>
      </c>
      <c r="H277" s="18">
        <v>280.58</v>
      </c>
      <c r="I277" s="18">
        <v>0</v>
      </c>
      <c r="J277" s="18">
        <f>Tabela1[[#This Row],[SALDO PENDENTE PARCIAL]]-Tabela1[[#This Row],[CARGA 1 QZ]]</f>
        <v>280.58</v>
      </c>
      <c r="K277" s="18">
        <v>120</v>
      </c>
      <c r="L277" s="18">
        <v>7.57</v>
      </c>
      <c r="M277" s="18"/>
      <c r="N277" s="18">
        <f>Tabela1[[#This Row],[2ª QZ]]-Tabela1[[#This Row],[SALDO FINAL]]-Tabela1[[#This Row],[SALDO CARTAO]]-Tabela1[[#This Row],[Adiantamento ]]</f>
        <v>-168.14999999999998</v>
      </c>
      <c r="O277" s="18"/>
      <c r="P277" s="18">
        <f>IF(Tabela1[[#This Row],[CARGA PARCIAL]]&lt;0,0,Tabela1[[#This Row],[CARGA PARCIAL]])+Tabela1[[#This Row],[REEMBOLSO]]</f>
        <v>0</v>
      </c>
      <c r="Q277" s="17"/>
      <c r="R277" s="17" t="s">
        <v>23</v>
      </c>
    </row>
    <row r="278" spans="2:18">
      <c r="B278" s="17" t="s">
        <v>699</v>
      </c>
      <c r="C278" s="17" t="s">
        <v>700</v>
      </c>
      <c r="D278" s="17" t="s">
        <v>19</v>
      </c>
      <c r="E278" s="17" t="s">
        <v>193</v>
      </c>
      <c r="F278" s="17" t="s">
        <v>21</v>
      </c>
      <c r="G278" s="17" t="s">
        <v>22</v>
      </c>
      <c r="H278" s="18">
        <v>1235.9800000000091</v>
      </c>
      <c r="I278" s="18">
        <v>422.63999999999936</v>
      </c>
      <c r="J278" s="18">
        <f>Tabela1[[#This Row],[SALDO PENDENTE PARCIAL]]-Tabela1[[#This Row],[CARGA 1 QZ]]</f>
        <v>813.3400000000097</v>
      </c>
      <c r="K278" s="18">
        <v>1100</v>
      </c>
      <c r="L278" s="18">
        <v>33.19</v>
      </c>
      <c r="M278" s="18"/>
      <c r="N278" s="18">
        <f>Tabela1[[#This Row],[2ª QZ]]-Tabela1[[#This Row],[SALDO FINAL]]-Tabela1[[#This Row],[SALDO CARTAO]]-Tabela1[[#This Row],[Adiantamento ]]</f>
        <v>253.46999999999031</v>
      </c>
      <c r="O278" s="18"/>
      <c r="P278" s="18">
        <f>IF(Tabela1[[#This Row],[CARGA PARCIAL]]&lt;0,0,Tabela1[[#This Row],[CARGA PARCIAL]])+Tabela1[[#This Row],[REEMBOLSO]]</f>
        <v>253.46999999999031</v>
      </c>
      <c r="Q278" s="17"/>
      <c r="R278" s="17" t="s">
        <v>23</v>
      </c>
    </row>
    <row r="279" spans="2:18">
      <c r="B279" s="17" t="s">
        <v>701</v>
      </c>
      <c r="C279" s="17" t="s">
        <v>702</v>
      </c>
      <c r="D279" s="17" t="s">
        <v>19</v>
      </c>
      <c r="E279" s="17" t="s">
        <v>668</v>
      </c>
      <c r="F279" s="17" t="s">
        <v>27</v>
      </c>
      <c r="G279" s="17" t="s">
        <v>22</v>
      </c>
      <c r="H279" s="18">
        <v>-337.40000000000146</v>
      </c>
      <c r="I279" s="18">
        <v>0</v>
      </c>
      <c r="J279" s="18">
        <v>0</v>
      </c>
      <c r="K279" s="18">
        <v>700</v>
      </c>
      <c r="L279" s="18">
        <v>0</v>
      </c>
      <c r="M279" s="18"/>
      <c r="N279" s="18">
        <f>Tabela1[[#This Row],[2ª QZ]]-Tabela1[[#This Row],[SALDO FINAL]]-Tabela1[[#This Row],[SALDO CARTAO]]-Tabela1[[#This Row],[Adiantamento ]]</f>
        <v>700</v>
      </c>
      <c r="O279" s="18"/>
      <c r="P279" s="18">
        <f>IF(Tabela1[[#This Row],[CARGA PARCIAL]]&lt;0,0,Tabela1[[#This Row],[CARGA PARCIAL]])+Tabela1[[#This Row],[REEMBOLSO]]</f>
        <v>700</v>
      </c>
      <c r="Q279" s="17"/>
      <c r="R279" s="17" t="s">
        <v>23</v>
      </c>
    </row>
    <row r="280" spans="2:18">
      <c r="B280" s="17" t="s">
        <v>703</v>
      </c>
      <c r="C280" s="17" t="s">
        <v>704</v>
      </c>
      <c r="D280" s="17" t="s">
        <v>19</v>
      </c>
      <c r="E280" s="17" t="s">
        <v>135</v>
      </c>
      <c r="F280" s="17" t="s">
        <v>36</v>
      </c>
      <c r="G280" s="17" t="s">
        <v>37</v>
      </c>
      <c r="H280" s="18">
        <v>449.76999999999634</v>
      </c>
      <c r="I280" s="18">
        <v>448.50000000000642</v>
      </c>
      <c r="J280" s="18">
        <f>Tabela1[[#This Row],[SALDO PENDENTE PARCIAL]]-Tabela1[[#This Row],[CARGA 1 QZ]]</f>
        <v>1.2699999999899205</v>
      </c>
      <c r="K280" s="18">
        <v>800</v>
      </c>
      <c r="L280" s="18">
        <v>350.23</v>
      </c>
      <c r="M280" s="18"/>
      <c r="N280" s="18">
        <f>Tabela1[[#This Row],[2ª QZ]]-Tabela1[[#This Row],[SALDO FINAL]]-Tabela1[[#This Row],[SALDO CARTAO]]-Tabela1[[#This Row],[Adiantamento ]]</f>
        <v>448.50000000001</v>
      </c>
      <c r="O280" s="18"/>
      <c r="P280" s="18">
        <f>IF(Tabela1[[#This Row],[CARGA PARCIAL]]&lt;0,0,Tabela1[[#This Row],[CARGA PARCIAL]])+Tabela1[[#This Row],[REEMBOLSO]]</f>
        <v>448.50000000001</v>
      </c>
      <c r="Q280" s="17"/>
      <c r="R280" s="17" t="s">
        <v>23</v>
      </c>
    </row>
    <row r="281" spans="2:18">
      <c r="B281" s="17" t="s">
        <v>705</v>
      </c>
      <c r="C281" s="17" t="s">
        <v>706</v>
      </c>
      <c r="D281" s="17" t="s">
        <v>19</v>
      </c>
      <c r="E281" s="17" t="s">
        <v>85</v>
      </c>
      <c r="F281" s="17" t="s">
        <v>69</v>
      </c>
      <c r="G281" s="17" t="s">
        <v>37</v>
      </c>
      <c r="H281" s="18">
        <v>1015.6799999999998</v>
      </c>
      <c r="I281" s="18">
        <v>768.47</v>
      </c>
      <c r="J281" s="18">
        <f>Tabela1[[#This Row],[SALDO PENDENTE PARCIAL]]-Tabela1[[#This Row],[CARGA 1 QZ]]</f>
        <v>247.20999999999981</v>
      </c>
      <c r="K281" s="18">
        <v>1500</v>
      </c>
      <c r="L281" s="18">
        <v>150.69</v>
      </c>
      <c r="M281" s="18"/>
      <c r="N281" s="18">
        <f>Tabela1[[#This Row],[2ª QZ]]-Tabela1[[#This Row],[SALDO FINAL]]-Tabela1[[#This Row],[SALDO CARTAO]]-Tabela1[[#This Row],[Adiantamento ]]</f>
        <v>1102.1000000000001</v>
      </c>
      <c r="O281" s="18"/>
      <c r="P281" s="18">
        <f>IF(Tabela1[[#This Row],[CARGA PARCIAL]]&lt;0,0,Tabela1[[#This Row],[CARGA PARCIAL]])+Tabela1[[#This Row],[REEMBOLSO]]</f>
        <v>1102.1000000000001</v>
      </c>
      <c r="Q281" s="17"/>
      <c r="R281" s="17" t="s">
        <v>23</v>
      </c>
    </row>
    <row r="282" spans="2:18">
      <c r="B282" s="17" t="s">
        <v>707</v>
      </c>
      <c r="C282" s="17" t="s">
        <v>708</v>
      </c>
      <c r="D282" s="17" t="s">
        <v>19</v>
      </c>
      <c r="E282" s="17" t="s">
        <v>91</v>
      </c>
      <c r="F282" s="17" t="s">
        <v>45</v>
      </c>
      <c r="G282" s="17" t="s">
        <v>37</v>
      </c>
      <c r="H282" s="18">
        <v>-110.12000000000018</v>
      </c>
      <c r="I282" s="18">
        <v>74.940000000000225</v>
      </c>
      <c r="J282" s="18">
        <v>0</v>
      </c>
      <c r="K282" s="18">
        <v>50</v>
      </c>
      <c r="L282" s="18">
        <v>96.56</v>
      </c>
      <c r="M282" s="18"/>
      <c r="N282" s="18">
        <f>Tabela1[[#This Row],[2ª QZ]]-Tabela1[[#This Row],[SALDO FINAL]]-Tabela1[[#This Row],[SALDO CARTAO]]-Tabela1[[#This Row],[Adiantamento ]]</f>
        <v>-46.56</v>
      </c>
      <c r="O282" s="18"/>
      <c r="P282" s="18">
        <f>IF(Tabela1[[#This Row],[CARGA PARCIAL]]&lt;0,0,Tabela1[[#This Row],[CARGA PARCIAL]])+Tabela1[[#This Row],[REEMBOLSO]]</f>
        <v>0</v>
      </c>
      <c r="Q282" s="17"/>
      <c r="R282" s="17" t="s">
        <v>23</v>
      </c>
    </row>
    <row r="283" spans="2:18">
      <c r="B283" s="17" t="s">
        <v>709</v>
      </c>
      <c r="C283" s="17" t="s">
        <v>710</v>
      </c>
      <c r="D283" s="17" t="s">
        <v>19</v>
      </c>
      <c r="E283" s="17" t="s">
        <v>711</v>
      </c>
      <c r="F283" s="17" t="s">
        <v>36</v>
      </c>
      <c r="G283" s="17" t="s">
        <v>37</v>
      </c>
      <c r="H283" s="18">
        <v>63.999999999994088</v>
      </c>
      <c r="I283" s="18">
        <v>0</v>
      </c>
      <c r="J283" s="18">
        <f>Tabela1[[#This Row],[SALDO PENDENTE PARCIAL]]-Tabela1[[#This Row],[CARGA 1 QZ]]</f>
        <v>63.999999999994088</v>
      </c>
      <c r="K283" s="18">
        <v>1500</v>
      </c>
      <c r="L283" s="18">
        <v>1200.4000000000001</v>
      </c>
      <c r="M283" s="18"/>
      <c r="N283" s="18">
        <f>Tabela1[[#This Row],[2ª QZ]]-Tabela1[[#This Row],[SALDO FINAL]]-Tabela1[[#This Row],[SALDO CARTAO]]-Tabela1[[#This Row],[Adiantamento ]]</f>
        <v>235.60000000000582</v>
      </c>
      <c r="O283" s="18"/>
      <c r="P283" s="18">
        <f>IF(Tabela1[[#This Row],[CARGA PARCIAL]]&lt;0,0,Tabela1[[#This Row],[CARGA PARCIAL]])+Tabela1[[#This Row],[REEMBOLSO]]</f>
        <v>235.60000000000582</v>
      </c>
      <c r="Q283" s="17"/>
      <c r="R283" s="17" t="s">
        <v>23</v>
      </c>
    </row>
    <row r="284" spans="2:18">
      <c r="B284" s="17" t="s">
        <v>712</v>
      </c>
      <c r="C284" s="17" t="s">
        <v>713</v>
      </c>
      <c r="D284" s="17" t="s">
        <v>19</v>
      </c>
      <c r="E284" s="17" t="s">
        <v>714</v>
      </c>
      <c r="F284" s="17" t="s">
        <v>36</v>
      </c>
      <c r="G284" s="17" t="s">
        <v>37</v>
      </c>
      <c r="H284" s="18">
        <v>500</v>
      </c>
      <c r="I284" s="18">
        <v>0</v>
      </c>
      <c r="J284" s="18">
        <f>Tabela1[[#This Row],[SALDO PENDENTE PARCIAL]]-Tabela1[[#This Row],[CARGA 1 QZ]]</f>
        <v>500</v>
      </c>
      <c r="K284" s="18">
        <v>500</v>
      </c>
      <c r="L284" s="18">
        <v>0</v>
      </c>
      <c r="M284" s="18"/>
      <c r="N284" s="18">
        <f>Tabela1[[#This Row],[2ª QZ]]-Tabela1[[#This Row],[SALDO FINAL]]-Tabela1[[#This Row],[SALDO CARTAO]]-Tabela1[[#This Row],[Adiantamento ]]</f>
        <v>0</v>
      </c>
      <c r="O284" s="18"/>
      <c r="P284" s="18">
        <f>IF(Tabela1[[#This Row],[CARGA PARCIAL]]&lt;0,0,Tabela1[[#This Row],[CARGA PARCIAL]])+Tabela1[[#This Row],[REEMBOLSO]]</f>
        <v>0</v>
      </c>
      <c r="Q284" s="17"/>
      <c r="R284" s="17" t="s">
        <v>23</v>
      </c>
    </row>
    <row r="285" spans="2:18">
      <c r="B285" s="17" t="s">
        <v>715</v>
      </c>
      <c r="C285" s="17" t="s">
        <v>716</v>
      </c>
      <c r="D285" s="17" t="s">
        <v>19</v>
      </c>
      <c r="E285" s="17" t="s">
        <v>717</v>
      </c>
      <c r="F285" s="17" t="s">
        <v>95</v>
      </c>
      <c r="G285" s="17" t="s">
        <v>22</v>
      </c>
      <c r="H285" s="18">
        <v>936.47000000001003</v>
      </c>
      <c r="I285" s="18">
        <v>0</v>
      </c>
      <c r="J285" s="18">
        <f>Tabela1[[#This Row],[SALDO PENDENTE PARCIAL]]-Tabela1[[#This Row],[CARGA 1 QZ]]</f>
        <v>936.47000000001003</v>
      </c>
      <c r="K285" s="18">
        <v>2000</v>
      </c>
      <c r="L285" s="18">
        <v>324.74</v>
      </c>
      <c r="M285" s="18"/>
      <c r="N285" s="18">
        <f>Tabela1[[#This Row],[2ª QZ]]-Tabela1[[#This Row],[SALDO FINAL]]-Tabela1[[#This Row],[SALDO CARTAO]]-Tabela1[[#This Row],[Adiantamento ]]</f>
        <v>738.78999999998996</v>
      </c>
      <c r="O285" s="18"/>
      <c r="P285" s="18">
        <f>IF(Tabela1[[#This Row],[CARGA PARCIAL]]&lt;0,0,Tabela1[[#This Row],[CARGA PARCIAL]])+Tabela1[[#This Row],[REEMBOLSO]]</f>
        <v>738.78999999998996</v>
      </c>
      <c r="Q285" s="17"/>
      <c r="R285" s="17" t="s">
        <v>23</v>
      </c>
    </row>
    <row r="286" spans="2:18">
      <c r="B286" s="17" t="s">
        <v>718</v>
      </c>
      <c r="C286" s="17" t="s">
        <v>719</v>
      </c>
      <c r="D286" s="17" t="s">
        <v>19</v>
      </c>
      <c r="E286" s="17" t="s">
        <v>720</v>
      </c>
      <c r="F286" s="17" t="s">
        <v>41</v>
      </c>
      <c r="G286" s="17" t="s">
        <v>37</v>
      </c>
      <c r="H286" s="18">
        <v>1384.8499999999603</v>
      </c>
      <c r="I286" s="18">
        <v>54.920000000049185</v>
      </c>
      <c r="J286" s="18">
        <f>Tabela1[[#This Row],[SALDO PENDENTE PARCIAL]]-Tabela1[[#This Row],[CARGA 1 QZ]]</f>
        <v>1329.9299999999112</v>
      </c>
      <c r="K286" s="18">
        <v>2800</v>
      </c>
      <c r="L286" s="18">
        <v>63.92</v>
      </c>
      <c r="M286" s="18"/>
      <c r="N286" s="18">
        <f>Tabela1[[#This Row],[2ª QZ]]-Tabela1[[#This Row],[SALDO FINAL]]-Tabela1[[#This Row],[SALDO CARTAO]]-Tabela1[[#This Row],[Adiantamento ]]</f>
        <v>1406.1500000000888</v>
      </c>
      <c r="O286" s="18"/>
      <c r="P286" s="18">
        <f>IF(Tabela1[[#This Row],[CARGA PARCIAL]]&lt;0,0,Tabela1[[#This Row],[CARGA PARCIAL]])+Tabela1[[#This Row],[REEMBOLSO]]</f>
        <v>1406.1500000000888</v>
      </c>
      <c r="Q286" s="17"/>
      <c r="R286" s="17" t="s">
        <v>23</v>
      </c>
    </row>
    <row r="287" spans="2:18">
      <c r="B287" s="17" t="s">
        <v>721</v>
      </c>
      <c r="C287" s="17" t="s">
        <v>722</v>
      </c>
      <c r="D287" s="17" t="s">
        <v>19</v>
      </c>
      <c r="E287" s="17" t="s">
        <v>720</v>
      </c>
      <c r="F287" s="17" t="s">
        <v>41</v>
      </c>
      <c r="G287" s="17" t="s">
        <v>37</v>
      </c>
      <c r="H287" s="18">
        <v>235.35000000000028</v>
      </c>
      <c r="I287" s="18">
        <v>1059.2249999999988</v>
      </c>
      <c r="J287" s="18">
        <v>0</v>
      </c>
      <c r="K287" s="18">
        <v>800</v>
      </c>
      <c r="L287" s="18">
        <v>1.33</v>
      </c>
      <c r="M287" s="18"/>
      <c r="N287" s="18">
        <f>Tabela1[[#This Row],[2ª QZ]]-Tabela1[[#This Row],[SALDO FINAL]]-Tabela1[[#This Row],[SALDO CARTAO]]-Tabela1[[#This Row],[Adiantamento ]]</f>
        <v>798.67</v>
      </c>
      <c r="O287" s="18"/>
      <c r="P287" s="18">
        <f>IF(Tabela1[[#This Row],[CARGA PARCIAL]]&lt;0,0,Tabela1[[#This Row],[CARGA PARCIAL]])+Tabela1[[#This Row],[REEMBOLSO]]</f>
        <v>798.67</v>
      </c>
      <c r="Q287" s="17"/>
      <c r="R287" s="17" t="s">
        <v>23</v>
      </c>
    </row>
    <row r="288" spans="2:18">
      <c r="B288" s="17" t="s">
        <v>723</v>
      </c>
      <c r="C288" s="17" t="s">
        <v>724</v>
      </c>
      <c r="D288" s="17" t="s">
        <v>19</v>
      </c>
      <c r="E288" s="17" t="s">
        <v>85</v>
      </c>
      <c r="F288" s="17" t="s">
        <v>69</v>
      </c>
      <c r="G288" s="17" t="s">
        <v>37</v>
      </c>
      <c r="H288" s="18">
        <v>1029.58</v>
      </c>
      <c r="I288" s="18">
        <v>94.420000000000073</v>
      </c>
      <c r="J288" s="18">
        <f>Tabela1[[#This Row],[SALDO PENDENTE PARCIAL]]-Tabela1[[#This Row],[CARGA 1 QZ]]</f>
        <v>935.15999999999985</v>
      </c>
      <c r="K288" s="18">
        <v>1500</v>
      </c>
      <c r="L288" s="18">
        <v>110.42</v>
      </c>
      <c r="M288" s="18"/>
      <c r="N288" s="18">
        <f>Tabela1[[#This Row],[2ª QZ]]-Tabela1[[#This Row],[SALDO FINAL]]-Tabela1[[#This Row],[SALDO CARTAO]]-Tabela1[[#This Row],[Adiantamento ]]</f>
        <v>454.42000000000013</v>
      </c>
      <c r="O288" s="18"/>
      <c r="P288" s="18">
        <f>IF(Tabela1[[#This Row],[CARGA PARCIAL]]&lt;0,0,Tabela1[[#This Row],[CARGA PARCIAL]])+Tabela1[[#This Row],[REEMBOLSO]]</f>
        <v>454.42000000000013</v>
      </c>
      <c r="Q288" s="17"/>
      <c r="R288" s="17" t="s">
        <v>23</v>
      </c>
    </row>
    <row r="289" spans="2:18">
      <c r="B289" s="17" t="s">
        <v>725</v>
      </c>
      <c r="C289" s="17" t="s">
        <v>726</v>
      </c>
      <c r="D289" s="17" t="s">
        <v>19</v>
      </c>
      <c r="E289" s="17" t="s">
        <v>51</v>
      </c>
      <c r="F289" s="17" t="s">
        <v>31</v>
      </c>
      <c r="G289" s="17" t="s">
        <v>32</v>
      </c>
      <c r="H289" s="18">
        <v>-275.49999999999636</v>
      </c>
      <c r="I289" s="18">
        <v>685.16499999999996</v>
      </c>
      <c r="J289" s="18">
        <v>0</v>
      </c>
      <c r="K289" s="18">
        <v>500</v>
      </c>
      <c r="L289" s="18">
        <v>0</v>
      </c>
      <c r="M289" s="18"/>
      <c r="N289" s="18">
        <f>Tabela1[[#This Row],[2ª QZ]]-Tabela1[[#This Row],[SALDO FINAL]]-Tabela1[[#This Row],[SALDO CARTAO]]-Tabela1[[#This Row],[Adiantamento ]]</f>
        <v>500</v>
      </c>
      <c r="O289" s="18"/>
      <c r="P289" s="18">
        <f>IF(Tabela1[[#This Row],[CARGA PARCIAL]]&lt;0,0,Tabela1[[#This Row],[CARGA PARCIAL]])+Tabela1[[#This Row],[REEMBOLSO]]</f>
        <v>500</v>
      </c>
      <c r="Q289" s="17"/>
      <c r="R289" s="17" t="s">
        <v>23</v>
      </c>
    </row>
    <row r="290" spans="2:18">
      <c r="B290" s="17" t="s">
        <v>727</v>
      </c>
      <c r="C290" s="17" t="s">
        <v>728</v>
      </c>
      <c r="D290" s="17" t="s">
        <v>19</v>
      </c>
      <c r="E290" s="17" t="s">
        <v>440</v>
      </c>
      <c r="F290" s="17" t="s">
        <v>69</v>
      </c>
      <c r="G290" s="17" t="s">
        <v>37</v>
      </c>
      <c r="H290" s="18">
        <v>1378.3999999999878</v>
      </c>
      <c r="I290" s="18">
        <v>2299.5500000000466</v>
      </c>
      <c r="J290" s="18">
        <v>0</v>
      </c>
      <c r="K290" s="18">
        <v>3000</v>
      </c>
      <c r="L290" s="18">
        <v>527.79</v>
      </c>
      <c r="M290" s="18"/>
      <c r="N290" s="18">
        <f>Tabela1[[#This Row],[2ª QZ]]-Tabela1[[#This Row],[SALDO FINAL]]-Tabela1[[#This Row],[SALDO CARTAO]]-Tabela1[[#This Row],[Adiantamento ]]</f>
        <v>2472.21</v>
      </c>
      <c r="O290" s="18"/>
      <c r="P290" s="18">
        <f>IF(Tabela1[[#This Row],[CARGA PARCIAL]]&lt;0,0,Tabela1[[#This Row],[CARGA PARCIAL]])+Tabela1[[#This Row],[REEMBOLSO]]</f>
        <v>2472.21</v>
      </c>
      <c r="Q290" s="17"/>
      <c r="R290" s="17" t="s">
        <v>23</v>
      </c>
    </row>
    <row r="291" spans="2:18">
      <c r="B291" s="17" t="s">
        <v>729</v>
      </c>
      <c r="C291" s="17" t="s">
        <v>730</v>
      </c>
      <c r="D291" s="17" t="s">
        <v>19</v>
      </c>
      <c r="E291" s="17" t="s">
        <v>602</v>
      </c>
      <c r="F291" s="17" t="s">
        <v>36</v>
      </c>
      <c r="G291" s="17" t="s">
        <v>37</v>
      </c>
      <c r="H291" s="18">
        <v>64.419999999954314</v>
      </c>
      <c r="I291" s="18">
        <v>1919.1500000000306</v>
      </c>
      <c r="J291" s="18">
        <v>0</v>
      </c>
      <c r="K291" s="18">
        <v>2880</v>
      </c>
      <c r="L291" s="18">
        <v>5.82</v>
      </c>
      <c r="M291" s="18"/>
      <c r="N291" s="18">
        <f>Tabela1[[#This Row],[2ª QZ]]-Tabela1[[#This Row],[SALDO FINAL]]-Tabela1[[#This Row],[SALDO CARTAO]]-Tabela1[[#This Row],[Adiantamento ]]</f>
        <v>2874.18</v>
      </c>
      <c r="O291" s="18"/>
      <c r="P291" s="18">
        <f>IF(Tabela1[[#This Row],[CARGA PARCIAL]]&lt;0,0,Tabela1[[#This Row],[CARGA PARCIAL]])+Tabela1[[#This Row],[REEMBOLSO]]</f>
        <v>2874.18</v>
      </c>
      <c r="Q291" s="17"/>
      <c r="R291" s="17" t="s">
        <v>23</v>
      </c>
    </row>
    <row r="292" spans="2:18">
      <c r="B292" s="17" t="s">
        <v>731</v>
      </c>
      <c r="C292" s="17" t="s">
        <v>732</v>
      </c>
      <c r="D292" s="17" t="s">
        <v>19</v>
      </c>
      <c r="E292" s="17" t="s">
        <v>68</v>
      </c>
      <c r="F292" s="17" t="s">
        <v>69</v>
      </c>
      <c r="G292" s="17" t="s">
        <v>37</v>
      </c>
      <c r="H292" s="18">
        <v>2128.7000000000012</v>
      </c>
      <c r="I292" s="18">
        <v>107.8300000000018</v>
      </c>
      <c r="J292" s="18">
        <f>Tabela1[[#This Row],[SALDO PENDENTE PARCIAL]]-Tabela1[[#This Row],[CARGA 1 QZ]]</f>
        <v>2020.8699999999994</v>
      </c>
      <c r="K292" s="18">
        <v>4000</v>
      </c>
      <c r="L292" s="18">
        <v>0.27</v>
      </c>
      <c r="M292" s="18"/>
      <c r="N292" s="18">
        <f>Tabela1[[#This Row],[2ª QZ]]-Tabela1[[#This Row],[SALDO FINAL]]-Tabela1[[#This Row],[SALDO CARTAO]]-Tabela1[[#This Row],[Adiantamento ]]</f>
        <v>1978.8600000000006</v>
      </c>
      <c r="O292" s="18"/>
      <c r="P292" s="18">
        <f>IF(Tabela1[[#This Row],[CARGA PARCIAL]]&lt;0,0,Tabela1[[#This Row],[CARGA PARCIAL]])+Tabela1[[#This Row],[REEMBOLSO]]</f>
        <v>1978.8600000000006</v>
      </c>
      <c r="Q292" s="17"/>
      <c r="R292" s="17" t="s">
        <v>23</v>
      </c>
    </row>
    <row r="293" spans="2:18">
      <c r="B293" s="17" t="s">
        <v>733</v>
      </c>
      <c r="C293" s="17" t="s">
        <v>734</v>
      </c>
      <c r="D293" s="17" t="s">
        <v>19</v>
      </c>
      <c r="E293" s="17" t="s">
        <v>735</v>
      </c>
      <c r="F293" s="17" t="s">
        <v>27</v>
      </c>
      <c r="G293" s="17" t="s">
        <v>22</v>
      </c>
      <c r="H293" s="18">
        <v>0</v>
      </c>
      <c r="I293" s="18">
        <v>0</v>
      </c>
      <c r="J293" s="18">
        <v>500</v>
      </c>
      <c r="K293" s="18">
        <v>500</v>
      </c>
      <c r="L293" s="18">
        <v>0</v>
      </c>
      <c r="M293" s="18"/>
      <c r="N293" s="18">
        <f>Tabela1[[#This Row],[2ª QZ]]-Tabela1[[#This Row],[SALDO FINAL]]-Tabela1[[#This Row],[SALDO CARTAO]]-Tabela1[[#This Row],[Adiantamento ]]</f>
        <v>0</v>
      </c>
      <c r="O293" s="18"/>
      <c r="P293" s="18">
        <f>IF(Tabela1[[#This Row],[CARGA PARCIAL]]&lt;0,0,Tabela1[[#This Row],[CARGA PARCIAL]])+Tabela1[[#This Row],[REEMBOLSO]]</f>
        <v>0</v>
      </c>
      <c r="Q293" s="17"/>
      <c r="R293" s="17" t="s">
        <v>86</v>
      </c>
    </row>
    <row r="294" spans="2:18">
      <c r="B294" s="17" t="s">
        <v>736</v>
      </c>
      <c r="C294" s="17" t="s">
        <v>737</v>
      </c>
      <c r="D294" s="17" t="s">
        <v>19</v>
      </c>
      <c r="E294" s="17" t="s">
        <v>738</v>
      </c>
      <c r="F294" s="17" t="s">
        <v>69</v>
      </c>
      <c r="G294" s="17" t="s">
        <v>37</v>
      </c>
      <c r="H294" s="18">
        <v>132.52999999999884</v>
      </c>
      <c r="I294" s="18">
        <v>0</v>
      </c>
      <c r="J294" s="18">
        <f>Tabela1[[#This Row],[SALDO PENDENTE PARCIAL]]-Tabela1[[#This Row],[CARGA 1 QZ]]</f>
        <v>132.52999999999884</v>
      </c>
      <c r="K294" s="18">
        <v>3000</v>
      </c>
      <c r="L294" s="18">
        <v>9</v>
      </c>
      <c r="M294" s="18"/>
      <c r="N294" s="18">
        <f>Tabela1[[#This Row],[2ª QZ]]-Tabela1[[#This Row],[SALDO FINAL]]-Tabela1[[#This Row],[SALDO CARTAO]]-Tabela1[[#This Row],[Adiantamento ]]</f>
        <v>2858.4700000000012</v>
      </c>
      <c r="O294" s="18"/>
      <c r="P294" s="18">
        <f>IF(Tabela1[[#This Row],[CARGA PARCIAL]]&lt;0,0,Tabela1[[#This Row],[CARGA PARCIAL]])+Tabela1[[#This Row],[REEMBOLSO]]</f>
        <v>2858.4700000000012</v>
      </c>
      <c r="Q294" s="17"/>
      <c r="R294" s="17" t="s">
        <v>23</v>
      </c>
    </row>
    <row r="295" spans="2:18">
      <c r="B295" s="17" t="s">
        <v>739</v>
      </c>
      <c r="C295" s="17" t="s">
        <v>740</v>
      </c>
      <c r="D295" s="17" t="s">
        <v>19</v>
      </c>
      <c r="E295" s="17" t="s">
        <v>149</v>
      </c>
      <c r="F295" s="17" t="s">
        <v>69</v>
      </c>
      <c r="G295" s="17" t="s">
        <v>37</v>
      </c>
      <c r="H295" s="18">
        <v>4877.13</v>
      </c>
      <c r="I295" s="18">
        <v>2719.95</v>
      </c>
      <c r="J295" s="18">
        <f>Tabela1[[#This Row],[SALDO PENDENTE PARCIAL]]-Tabela1[[#This Row],[CARGA 1 QZ]]</f>
        <v>2157.1800000000003</v>
      </c>
      <c r="K295" s="18">
        <v>1750</v>
      </c>
      <c r="L295" s="18">
        <v>8</v>
      </c>
      <c r="M295" s="18"/>
      <c r="N295" s="18">
        <f>Tabela1[[#This Row],[2ª QZ]]-Tabela1[[#This Row],[SALDO FINAL]]-Tabela1[[#This Row],[SALDO CARTAO]]-Tabela1[[#This Row],[Adiantamento ]]</f>
        <v>-415.18000000000029</v>
      </c>
      <c r="O295" s="18"/>
      <c r="P295" s="18">
        <f>IF(Tabela1[[#This Row],[CARGA PARCIAL]]&lt;0,0,Tabela1[[#This Row],[CARGA PARCIAL]])+Tabela1[[#This Row],[REEMBOLSO]]</f>
        <v>0</v>
      </c>
      <c r="Q295" s="17"/>
      <c r="R295" s="17" t="s">
        <v>23</v>
      </c>
    </row>
    <row r="296" spans="2:18">
      <c r="B296" s="17" t="s">
        <v>741</v>
      </c>
      <c r="C296" s="17" t="s">
        <v>742</v>
      </c>
      <c r="D296" s="17" t="s">
        <v>743</v>
      </c>
      <c r="E296" s="17" t="s">
        <v>44</v>
      </c>
      <c r="F296" s="17" t="s">
        <v>45</v>
      </c>
      <c r="G296" s="17" t="s">
        <v>37</v>
      </c>
      <c r="H296" s="18">
        <v>300.00000000000011</v>
      </c>
      <c r="I296" s="18">
        <v>0</v>
      </c>
      <c r="J296" s="18">
        <f>Tabela1[[#This Row],[SALDO PENDENTE PARCIAL]]-Tabela1[[#This Row],[CARGA 1 QZ]]</f>
        <v>300.00000000000011</v>
      </c>
      <c r="K296" s="18">
        <v>120</v>
      </c>
      <c r="L296" s="18">
        <v>0</v>
      </c>
      <c r="M296" s="18"/>
      <c r="N296" s="18">
        <f>Tabela1[[#This Row],[2ª QZ]]-Tabela1[[#This Row],[SALDO FINAL]]-Tabela1[[#This Row],[SALDO CARTAO]]-Tabela1[[#This Row],[Adiantamento ]]</f>
        <v>-180.00000000000011</v>
      </c>
      <c r="O296" s="18"/>
      <c r="P296" s="18">
        <f>IF(Tabela1[[#This Row],[CARGA PARCIAL]]&lt;0,0,Tabela1[[#This Row],[CARGA PARCIAL]])+Tabela1[[#This Row],[REEMBOLSO]]</f>
        <v>0</v>
      </c>
      <c r="Q296" s="17"/>
      <c r="R296" s="17" t="s">
        <v>23</v>
      </c>
    </row>
    <row r="297" spans="2:18">
      <c r="B297" s="17" t="s">
        <v>744</v>
      </c>
      <c r="C297" s="17" t="s">
        <v>745</v>
      </c>
      <c r="D297" s="17" t="s">
        <v>19</v>
      </c>
      <c r="E297" s="17" t="s">
        <v>135</v>
      </c>
      <c r="F297" s="17" t="s">
        <v>36</v>
      </c>
      <c r="G297" s="17" t="s">
        <v>37</v>
      </c>
      <c r="H297" s="18">
        <v>241.99999999999989</v>
      </c>
      <c r="I297" s="18">
        <v>332.4</v>
      </c>
      <c r="J297" s="18">
        <v>0</v>
      </c>
      <c r="K297" s="18">
        <v>1000</v>
      </c>
      <c r="L297" s="18">
        <v>321.87</v>
      </c>
      <c r="M297" s="18"/>
      <c r="N297" s="18">
        <f>Tabela1[[#This Row],[2ª QZ]]-Tabela1[[#This Row],[SALDO FINAL]]-Tabela1[[#This Row],[SALDO CARTAO]]-Tabela1[[#This Row],[Adiantamento ]]</f>
        <v>678.13</v>
      </c>
      <c r="O297" s="18"/>
      <c r="P297" s="18">
        <f>IF(Tabela1[[#This Row],[CARGA PARCIAL]]&lt;0,0,Tabela1[[#This Row],[CARGA PARCIAL]])+Tabela1[[#This Row],[REEMBOLSO]]</f>
        <v>678.13</v>
      </c>
      <c r="Q297" s="17"/>
      <c r="R297" s="17" t="s">
        <v>23</v>
      </c>
    </row>
    <row r="298" spans="2:18">
      <c r="B298" s="17" t="s">
        <v>746</v>
      </c>
      <c r="C298" s="17" t="s">
        <v>747</v>
      </c>
      <c r="D298" s="17" t="s">
        <v>19</v>
      </c>
      <c r="E298" s="17" t="s">
        <v>135</v>
      </c>
      <c r="F298" s="17" t="s">
        <v>36</v>
      </c>
      <c r="G298" s="17" t="s">
        <v>37</v>
      </c>
      <c r="H298" s="18">
        <v>119.19999999999592</v>
      </c>
      <c r="I298" s="18">
        <v>695.0700000000071</v>
      </c>
      <c r="J298" s="18">
        <v>0</v>
      </c>
      <c r="K298" s="18">
        <v>800</v>
      </c>
      <c r="L298" s="18">
        <v>23.03</v>
      </c>
      <c r="M298" s="18"/>
      <c r="N298" s="18">
        <f>Tabela1[[#This Row],[2ª QZ]]-Tabela1[[#This Row],[SALDO FINAL]]-Tabela1[[#This Row],[SALDO CARTAO]]-Tabela1[[#This Row],[Adiantamento ]]</f>
        <v>776.97</v>
      </c>
      <c r="O298" s="18"/>
      <c r="P298" s="18">
        <f>IF(Tabela1[[#This Row],[CARGA PARCIAL]]&lt;0,0,Tabela1[[#This Row],[CARGA PARCIAL]])+Tabela1[[#This Row],[REEMBOLSO]]</f>
        <v>776.97</v>
      </c>
      <c r="Q298" s="17"/>
      <c r="R298" s="17" t="s">
        <v>23</v>
      </c>
    </row>
    <row r="299" spans="2:18">
      <c r="B299" s="17" t="s">
        <v>748</v>
      </c>
      <c r="C299" s="17" t="s">
        <v>749</v>
      </c>
      <c r="D299" s="17" t="s">
        <v>19</v>
      </c>
      <c r="E299" s="17" t="s">
        <v>750</v>
      </c>
      <c r="F299" s="17" t="s">
        <v>36</v>
      </c>
      <c r="G299" s="17" t="s">
        <v>37</v>
      </c>
      <c r="H299" s="18">
        <v>-4114.9699999999957</v>
      </c>
      <c r="I299" s="18">
        <v>1206.2400000000052</v>
      </c>
      <c r="J299" s="18">
        <v>0</v>
      </c>
      <c r="K299" s="18">
        <v>1500</v>
      </c>
      <c r="L299" s="18">
        <v>0</v>
      </c>
      <c r="M299" s="18"/>
      <c r="N299" s="18">
        <f>Tabela1[[#This Row],[2ª QZ]]-Tabela1[[#This Row],[SALDO FINAL]]-Tabela1[[#This Row],[SALDO CARTAO]]-Tabela1[[#This Row],[Adiantamento ]]</f>
        <v>1500</v>
      </c>
      <c r="O299" s="18"/>
      <c r="P299" s="18">
        <f>IF(Tabela1[[#This Row],[CARGA PARCIAL]]&lt;0,0,Tabela1[[#This Row],[CARGA PARCIAL]])+Tabela1[[#This Row],[REEMBOLSO]]</f>
        <v>1500</v>
      </c>
      <c r="Q299" s="17"/>
      <c r="R299" s="17" t="s">
        <v>23</v>
      </c>
    </row>
    <row r="300" spans="2:18">
      <c r="B300" s="17" t="s">
        <v>751</v>
      </c>
      <c r="C300" s="17" t="s">
        <v>752</v>
      </c>
      <c r="D300" s="17" t="s">
        <v>19</v>
      </c>
      <c r="E300" s="17" t="s">
        <v>44</v>
      </c>
      <c r="F300" s="17" t="s">
        <v>45</v>
      </c>
      <c r="G300" s="17" t="s">
        <v>37</v>
      </c>
      <c r="H300" s="18">
        <v>-83.200000000000273</v>
      </c>
      <c r="I300" s="18">
        <v>161.60000000000002</v>
      </c>
      <c r="J300" s="18">
        <v>0</v>
      </c>
      <c r="K300" s="18">
        <v>120</v>
      </c>
      <c r="L300" s="18">
        <v>0</v>
      </c>
      <c r="M300" s="18"/>
      <c r="N300" s="18">
        <f>Tabela1[[#This Row],[2ª QZ]]-Tabela1[[#This Row],[SALDO FINAL]]-Tabela1[[#This Row],[SALDO CARTAO]]-Tabela1[[#This Row],[Adiantamento ]]</f>
        <v>120</v>
      </c>
      <c r="O300" s="18"/>
      <c r="P300" s="18">
        <f>IF(Tabela1[[#This Row],[CARGA PARCIAL]]&lt;0,0,Tabela1[[#This Row],[CARGA PARCIAL]])+Tabela1[[#This Row],[REEMBOLSO]]</f>
        <v>120</v>
      </c>
      <c r="Q300" s="17"/>
      <c r="R300" s="17" t="s">
        <v>23</v>
      </c>
    </row>
    <row r="301" spans="2:18">
      <c r="B301" s="17" t="s">
        <v>753</v>
      </c>
      <c r="C301" s="17" t="s">
        <v>754</v>
      </c>
      <c r="D301" s="17" t="s">
        <v>19</v>
      </c>
      <c r="E301" s="17" t="s">
        <v>193</v>
      </c>
      <c r="F301" s="17" t="s">
        <v>21</v>
      </c>
      <c r="G301" s="17" t="s">
        <v>22</v>
      </c>
      <c r="H301" s="18">
        <v>-218.0800000000163</v>
      </c>
      <c r="I301" s="18">
        <v>5682.9900000000052</v>
      </c>
      <c r="J301" s="18">
        <v>0</v>
      </c>
      <c r="K301" s="18">
        <v>5700</v>
      </c>
      <c r="L301" s="18">
        <v>0</v>
      </c>
      <c r="M301" s="18"/>
      <c r="N301" s="18">
        <f>Tabela1[[#This Row],[2ª QZ]]-Tabela1[[#This Row],[SALDO FINAL]]-Tabela1[[#This Row],[SALDO CARTAO]]-Tabela1[[#This Row],[Adiantamento ]]</f>
        <v>5700</v>
      </c>
      <c r="O301" s="18"/>
      <c r="P301" s="18">
        <f>IF(Tabela1[[#This Row],[CARGA PARCIAL]]&lt;0,0,Tabela1[[#This Row],[CARGA PARCIAL]])+Tabela1[[#This Row],[REEMBOLSO]]</f>
        <v>5700</v>
      </c>
      <c r="Q301" s="17"/>
      <c r="R301" s="17" t="s">
        <v>23</v>
      </c>
    </row>
    <row r="302" spans="2:18">
      <c r="B302" s="17" t="s">
        <v>755</v>
      </c>
      <c r="C302" s="17" t="s">
        <v>756</v>
      </c>
      <c r="D302" s="17" t="s">
        <v>19</v>
      </c>
      <c r="E302" s="17" t="s">
        <v>85</v>
      </c>
      <c r="F302" s="17" t="s">
        <v>69</v>
      </c>
      <c r="G302" s="17" t="s">
        <v>37</v>
      </c>
      <c r="H302" s="18">
        <v>-678.36</v>
      </c>
      <c r="I302" s="18">
        <v>1686.125</v>
      </c>
      <c r="J302" s="18">
        <v>0</v>
      </c>
      <c r="K302" s="18">
        <v>1500</v>
      </c>
      <c r="L302" s="18">
        <v>5.13</v>
      </c>
      <c r="M302" s="18"/>
      <c r="N302" s="18">
        <f>Tabela1[[#This Row],[2ª QZ]]-Tabela1[[#This Row],[SALDO FINAL]]-Tabela1[[#This Row],[SALDO CARTAO]]-Tabela1[[#This Row],[Adiantamento ]]</f>
        <v>1494.87</v>
      </c>
      <c r="O302" s="18"/>
      <c r="P302" s="18">
        <f>IF(Tabela1[[#This Row],[CARGA PARCIAL]]&lt;0,0,Tabela1[[#This Row],[CARGA PARCIAL]])+Tabela1[[#This Row],[REEMBOLSO]]</f>
        <v>1494.87</v>
      </c>
      <c r="Q302" s="17"/>
      <c r="R302" s="17" t="s">
        <v>23</v>
      </c>
    </row>
    <row r="303" spans="2:18">
      <c r="B303" s="17" t="s">
        <v>757</v>
      </c>
      <c r="C303" s="17" t="s">
        <v>758</v>
      </c>
      <c r="D303" s="17" t="s">
        <v>19</v>
      </c>
      <c r="E303" s="17" t="s">
        <v>540</v>
      </c>
      <c r="F303" s="17" t="s">
        <v>27</v>
      </c>
      <c r="G303" s="17" t="s">
        <v>22</v>
      </c>
      <c r="H303" s="18">
        <v>3679.0299999999966</v>
      </c>
      <c r="I303" s="18">
        <v>328.54999999999927</v>
      </c>
      <c r="J303" s="18">
        <f>Tabela1[[#This Row],[SALDO PENDENTE PARCIAL]]-Tabela1[[#This Row],[CARGA 1 QZ]]</f>
        <v>3350.4799999999973</v>
      </c>
      <c r="K303" s="18">
        <v>4000</v>
      </c>
      <c r="L303" s="18">
        <v>22.97</v>
      </c>
      <c r="M303" s="18"/>
      <c r="N303" s="18">
        <f>Tabela1[[#This Row],[2ª QZ]]-Tabela1[[#This Row],[SALDO FINAL]]-Tabela1[[#This Row],[SALDO CARTAO]]-Tabela1[[#This Row],[Adiantamento ]]</f>
        <v>626.55000000000268</v>
      </c>
      <c r="O303" s="18"/>
      <c r="P303" s="18">
        <f>IF(Tabela1[[#This Row],[CARGA PARCIAL]]&lt;0,0,Tabela1[[#This Row],[CARGA PARCIAL]])+Tabela1[[#This Row],[REEMBOLSO]]</f>
        <v>626.55000000000268</v>
      </c>
      <c r="Q303" s="17"/>
      <c r="R303" s="17" t="s">
        <v>23</v>
      </c>
    </row>
    <row r="304" spans="2:18">
      <c r="B304" s="17" t="s">
        <v>759</v>
      </c>
      <c r="C304" s="17" t="s">
        <v>760</v>
      </c>
      <c r="D304" s="17" t="s">
        <v>19</v>
      </c>
      <c r="E304" s="17" t="s">
        <v>293</v>
      </c>
      <c r="F304" s="17" t="s">
        <v>69</v>
      </c>
      <c r="G304" s="17" t="s">
        <v>37</v>
      </c>
      <c r="H304" s="18">
        <v>403.31000000000165</v>
      </c>
      <c r="I304" s="18">
        <v>395.46999999999571</v>
      </c>
      <c r="J304" s="18">
        <f>Tabela1[[#This Row],[SALDO PENDENTE PARCIAL]]-Tabela1[[#This Row],[CARGA 1 QZ]]</f>
        <v>7.8400000000059435</v>
      </c>
      <c r="K304" s="18">
        <v>800</v>
      </c>
      <c r="L304" s="18">
        <v>181.89</v>
      </c>
      <c r="M304" s="18"/>
      <c r="N304" s="18">
        <f>Tabela1[[#This Row],[2ª QZ]]-Tabela1[[#This Row],[SALDO FINAL]]-Tabela1[[#This Row],[SALDO CARTAO]]-Tabela1[[#This Row],[Adiantamento ]]</f>
        <v>610.26999999999407</v>
      </c>
      <c r="O304" s="18"/>
      <c r="P304" s="18">
        <f>IF(Tabela1[[#This Row],[CARGA PARCIAL]]&lt;0,0,Tabela1[[#This Row],[CARGA PARCIAL]])+Tabela1[[#This Row],[REEMBOLSO]]</f>
        <v>610.26999999999407</v>
      </c>
      <c r="Q304" s="17"/>
      <c r="R304" s="17" t="s">
        <v>23</v>
      </c>
    </row>
    <row r="305" spans="2:18">
      <c r="B305" s="17" t="s">
        <v>761</v>
      </c>
      <c r="C305" s="17" t="s">
        <v>762</v>
      </c>
      <c r="D305" s="17" t="s">
        <v>19</v>
      </c>
      <c r="E305" s="17" t="s">
        <v>225</v>
      </c>
      <c r="F305" s="17" t="s">
        <v>95</v>
      </c>
      <c r="G305" s="17" t="s">
        <v>22</v>
      </c>
      <c r="H305" s="18">
        <v>-1689.420000000016</v>
      </c>
      <c r="I305" s="18">
        <v>3398.7650000000122</v>
      </c>
      <c r="J305" s="18">
        <v>0</v>
      </c>
      <c r="K305" s="18">
        <v>1500</v>
      </c>
      <c r="L305" s="18">
        <v>13.77</v>
      </c>
      <c r="M305" s="18"/>
      <c r="N305" s="18">
        <f>Tabela1[[#This Row],[2ª QZ]]-Tabela1[[#This Row],[SALDO FINAL]]-Tabela1[[#This Row],[SALDO CARTAO]]-Tabela1[[#This Row],[Adiantamento ]]</f>
        <v>1486.23</v>
      </c>
      <c r="O305" s="18"/>
      <c r="P305" s="18">
        <f>IF(Tabela1[[#This Row],[CARGA PARCIAL]]&lt;0,0,Tabela1[[#This Row],[CARGA PARCIAL]])+Tabela1[[#This Row],[REEMBOLSO]]</f>
        <v>1486.23</v>
      </c>
      <c r="Q305" s="17"/>
      <c r="R305" s="17" t="s">
        <v>23</v>
      </c>
    </row>
    <row r="306" spans="2:18">
      <c r="B306" s="17" t="s">
        <v>763</v>
      </c>
      <c r="C306" s="17" t="s">
        <v>764</v>
      </c>
      <c r="D306" s="17" t="s">
        <v>19</v>
      </c>
      <c r="E306" s="17" t="s">
        <v>54</v>
      </c>
      <c r="F306" s="17" t="s">
        <v>55</v>
      </c>
      <c r="G306" s="17" t="s">
        <v>22</v>
      </c>
      <c r="H306" s="18">
        <v>1590.9000000000015</v>
      </c>
      <c r="I306" s="18">
        <v>6.999999999998181</v>
      </c>
      <c r="J306" s="18">
        <f>Tabela1[[#This Row],[SALDO PENDENTE PARCIAL]]-Tabela1[[#This Row],[CARGA 1 QZ]]</f>
        <v>1583.9000000000033</v>
      </c>
      <c r="K306" s="18">
        <v>1800</v>
      </c>
      <c r="L306" s="18">
        <v>9.5</v>
      </c>
      <c r="M306" s="18"/>
      <c r="N306" s="18">
        <f>Tabela1[[#This Row],[2ª QZ]]-Tabela1[[#This Row],[SALDO FINAL]]-Tabela1[[#This Row],[SALDO CARTAO]]-Tabela1[[#This Row],[Adiantamento ]]</f>
        <v>206.59999999999673</v>
      </c>
      <c r="O306" s="18"/>
      <c r="P306" s="18">
        <f>IF(Tabela1[[#This Row],[CARGA PARCIAL]]&lt;0,0,Tabela1[[#This Row],[CARGA PARCIAL]])+Tabela1[[#This Row],[REEMBOLSO]]</f>
        <v>206.59999999999673</v>
      </c>
      <c r="Q306" s="17"/>
      <c r="R306" s="17" t="s">
        <v>23</v>
      </c>
    </row>
    <row r="307" spans="2:18">
      <c r="B307" s="17" t="s">
        <v>765</v>
      </c>
      <c r="C307" s="17" t="s">
        <v>766</v>
      </c>
      <c r="D307" s="17" t="s">
        <v>19</v>
      </c>
      <c r="E307" s="17" t="s">
        <v>767</v>
      </c>
      <c r="F307" s="17" t="s">
        <v>31</v>
      </c>
      <c r="G307" s="17" t="s">
        <v>32</v>
      </c>
      <c r="H307" s="18">
        <v>0</v>
      </c>
      <c r="I307" s="18">
        <v>1200</v>
      </c>
      <c r="J307" s="18">
        <v>0</v>
      </c>
      <c r="K307" s="18">
        <v>1200</v>
      </c>
      <c r="L307" s="18">
        <v>0</v>
      </c>
      <c r="M307" s="18"/>
      <c r="N307" s="18">
        <f>Tabela1[[#This Row],[2ª QZ]]-Tabela1[[#This Row],[SALDO FINAL]]-Tabela1[[#This Row],[SALDO CARTAO]]-Tabela1[[#This Row],[Adiantamento ]]</f>
        <v>1200</v>
      </c>
      <c r="O307" s="18"/>
      <c r="P307" s="18">
        <f>IF(Tabela1[[#This Row],[CARGA PARCIAL]]&lt;0,0,Tabela1[[#This Row],[CARGA PARCIAL]])+Tabela1[[#This Row],[REEMBOLSO]]</f>
        <v>1200</v>
      </c>
      <c r="Q307" s="17"/>
      <c r="R307" s="17" t="s">
        <v>23</v>
      </c>
    </row>
    <row r="308" spans="2:18">
      <c r="B308" s="17" t="s">
        <v>768</v>
      </c>
      <c r="C308" s="17" t="s">
        <v>769</v>
      </c>
      <c r="D308" s="17" t="s">
        <v>19</v>
      </c>
      <c r="E308" s="17" t="s">
        <v>373</v>
      </c>
      <c r="F308" s="17" t="s">
        <v>27</v>
      </c>
      <c r="G308" s="17" t="s">
        <v>22</v>
      </c>
      <c r="H308" s="18">
        <v>1801.16</v>
      </c>
      <c r="I308" s="18">
        <v>0</v>
      </c>
      <c r="J308" s="18">
        <f>Tabela1[[#This Row],[SALDO PENDENTE PARCIAL]]-Tabela1[[#This Row],[CARGA 1 QZ]]</f>
        <v>1801.16</v>
      </c>
      <c r="K308" s="18">
        <v>1500</v>
      </c>
      <c r="L308" s="18">
        <v>25.84</v>
      </c>
      <c r="M308" s="18"/>
      <c r="N308" s="18">
        <f>Tabela1[[#This Row],[2ª QZ]]-Tabela1[[#This Row],[SALDO FINAL]]-Tabela1[[#This Row],[SALDO CARTAO]]-Tabela1[[#This Row],[Adiantamento ]]</f>
        <v>-327.00000000000006</v>
      </c>
      <c r="O308" s="18"/>
      <c r="P308" s="18">
        <f>IF(Tabela1[[#This Row],[CARGA PARCIAL]]&lt;0,0,Tabela1[[#This Row],[CARGA PARCIAL]])+Tabela1[[#This Row],[REEMBOLSO]]</f>
        <v>0</v>
      </c>
      <c r="Q308" s="17"/>
      <c r="R308" s="17" t="s">
        <v>23</v>
      </c>
    </row>
    <row r="309" spans="2:18">
      <c r="B309" s="17" t="s">
        <v>770</v>
      </c>
      <c r="C309" s="17" t="s">
        <v>771</v>
      </c>
      <c r="D309" s="17" t="s">
        <v>19</v>
      </c>
      <c r="E309" s="17" t="s">
        <v>293</v>
      </c>
      <c r="F309" s="17" t="s">
        <v>69</v>
      </c>
      <c r="G309" s="17" t="s">
        <v>37</v>
      </c>
      <c r="H309" s="18">
        <v>283.99999999999955</v>
      </c>
      <c r="I309" s="18">
        <v>0</v>
      </c>
      <c r="J309" s="18">
        <f>Tabela1[[#This Row],[SALDO PENDENTE PARCIAL]]-Tabela1[[#This Row],[CARGA 1 QZ]]</f>
        <v>283.99999999999955</v>
      </c>
      <c r="K309" s="18">
        <v>800</v>
      </c>
      <c r="L309" s="18">
        <v>666</v>
      </c>
      <c r="M309" s="18"/>
      <c r="N309" s="18">
        <f>Tabela1[[#This Row],[2ª QZ]]-Tabela1[[#This Row],[SALDO FINAL]]-Tabela1[[#This Row],[SALDO CARTAO]]-Tabela1[[#This Row],[Adiantamento ]]</f>
        <v>-149.99999999999955</v>
      </c>
      <c r="O309" s="18"/>
      <c r="P309" s="18">
        <f>IF(Tabela1[[#This Row],[CARGA PARCIAL]]&lt;0,0,Tabela1[[#This Row],[CARGA PARCIAL]])+Tabela1[[#This Row],[REEMBOLSO]]</f>
        <v>0</v>
      </c>
      <c r="Q309" s="17"/>
      <c r="R309" s="17" t="s">
        <v>23</v>
      </c>
    </row>
    <row r="310" spans="2:18">
      <c r="B310" s="17" t="s">
        <v>772</v>
      </c>
      <c r="C310" s="17" t="s">
        <v>773</v>
      </c>
      <c r="D310" s="17" t="s">
        <v>19</v>
      </c>
      <c r="E310" s="17" t="s">
        <v>774</v>
      </c>
      <c r="F310" s="17" t="s">
        <v>69</v>
      </c>
      <c r="G310" s="17" t="s">
        <v>37</v>
      </c>
      <c r="H310" s="18">
        <v>170.81999999999985</v>
      </c>
      <c r="I310" s="18">
        <v>986.59000000000015</v>
      </c>
      <c r="J310" s="18">
        <v>0</v>
      </c>
      <c r="K310" s="18">
        <v>600</v>
      </c>
      <c r="L310" s="18">
        <v>32.590000000000003</v>
      </c>
      <c r="M310" s="18"/>
      <c r="N310" s="18">
        <f>Tabela1[[#This Row],[2ª QZ]]-Tabela1[[#This Row],[SALDO FINAL]]-Tabela1[[#This Row],[SALDO CARTAO]]-Tabela1[[#This Row],[Adiantamento ]]</f>
        <v>567.41</v>
      </c>
      <c r="O310" s="18"/>
      <c r="P310" s="18">
        <f>IF(Tabela1[[#This Row],[CARGA PARCIAL]]&lt;0,0,Tabela1[[#This Row],[CARGA PARCIAL]])+Tabela1[[#This Row],[REEMBOLSO]]</f>
        <v>567.41</v>
      </c>
      <c r="Q310" s="17"/>
      <c r="R310" s="17" t="s">
        <v>23</v>
      </c>
    </row>
    <row r="311" spans="2:18">
      <c r="B311" s="17" t="s">
        <v>775</v>
      </c>
      <c r="C311" s="17" t="s">
        <v>776</v>
      </c>
      <c r="D311" s="17" t="s">
        <v>19</v>
      </c>
      <c r="E311" s="17" t="s">
        <v>777</v>
      </c>
      <c r="F311" s="17" t="s">
        <v>27</v>
      </c>
      <c r="G311" s="17" t="s">
        <v>22</v>
      </c>
      <c r="H311" s="18">
        <v>64.730000000003656</v>
      </c>
      <c r="I311" s="18">
        <v>390.72999999999587</v>
      </c>
      <c r="J311" s="18">
        <v>0</v>
      </c>
      <c r="K311" s="18">
        <v>800</v>
      </c>
      <c r="L311" s="18">
        <v>388.27</v>
      </c>
      <c r="M311" s="18"/>
      <c r="N311" s="18">
        <f>Tabela1[[#This Row],[2ª QZ]]-Tabela1[[#This Row],[SALDO FINAL]]-Tabela1[[#This Row],[SALDO CARTAO]]-Tabela1[[#This Row],[Adiantamento ]]</f>
        <v>411.73</v>
      </c>
      <c r="O311" s="18"/>
      <c r="P311" s="18">
        <f>IF(Tabela1[[#This Row],[CARGA PARCIAL]]&lt;0,0,Tabela1[[#This Row],[CARGA PARCIAL]])+Tabela1[[#This Row],[REEMBOLSO]]</f>
        <v>411.73</v>
      </c>
      <c r="Q311" s="17"/>
      <c r="R311" s="17" t="s">
        <v>23</v>
      </c>
    </row>
    <row r="312" spans="2:18">
      <c r="B312" s="17" t="s">
        <v>778</v>
      </c>
      <c r="C312" s="17" t="s">
        <v>779</v>
      </c>
      <c r="D312" s="17" t="s">
        <v>19</v>
      </c>
      <c r="E312" s="17" t="s">
        <v>767</v>
      </c>
      <c r="F312" s="17" t="s">
        <v>31</v>
      </c>
      <c r="G312" s="17" t="s">
        <v>32</v>
      </c>
      <c r="H312" s="18">
        <v>112.01000000000407</v>
      </c>
      <c r="I312" s="18">
        <v>853.99499999999716</v>
      </c>
      <c r="J312" s="18">
        <v>0</v>
      </c>
      <c r="K312" s="18">
        <v>1000</v>
      </c>
      <c r="L312" s="18">
        <v>0.01</v>
      </c>
      <c r="M312" s="18"/>
      <c r="N312" s="18">
        <f>Tabela1[[#This Row],[2ª QZ]]-Tabela1[[#This Row],[SALDO FINAL]]-Tabela1[[#This Row],[SALDO CARTAO]]-Tabela1[[#This Row],[Adiantamento ]]</f>
        <v>999.99</v>
      </c>
      <c r="O312" s="18"/>
      <c r="P312" s="18">
        <f>IF(Tabela1[[#This Row],[CARGA PARCIAL]]&lt;0,0,Tabela1[[#This Row],[CARGA PARCIAL]])+Tabela1[[#This Row],[REEMBOLSO]]</f>
        <v>999.99</v>
      </c>
      <c r="Q312" s="17"/>
      <c r="R312" s="17" t="s">
        <v>23</v>
      </c>
    </row>
    <row r="313" spans="2:18">
      <c r="B313" s="17" t="s">
        <v>780</v>
      </c>
      <c r="C313" s="17" t="s">
        <v>781</v>
      </c>
      <c r="D313" s="17" t="s">
        <v>19</v>
      </c>
      <c r="E313" s="17" t="s">
        <v>782</v>
      </c>
      <c r="F313" s="17" t="s">
        <v>36</v>
      </c>
      <c r="G313" s="17" t="s">
        <v>37</v>
      </c>
      <c r="H313" s="18">
        <v>4129.1199999999972</v>
      </c>
      <c r="I313" s="18">
        <v>133.10999999999493</v>
      </c>
      <c r="J313" s="18">
        <f>Tabela1[[#This Row],[SALDO PENDENTE PARCIAL]]-Tabela1[[#This Row],[CARGA 1 QZ]]</f>
        <v>3996.010000000002</v>
      </c>
      <c r="K313" s="18">
        <v>4000</v>
      </c>
      <c r="L313" s="18">
        <v>283.89999999999998</v>
      </c>
      <c r="M313" s="18"/>
      <c r="N313" s="18">
        <f>Tabela1[[#This Row],[2ª QZ]]-Tabela1[[#This Row],[SALDO FINAL]]-Tabela1[[#This Row],[SALDO CARTAO]]-Tabela1[[#This Row],[Adiantamento ]]</f>
        <v>-279.91000000000201</v>
      </c>
      <c r="O313" s="18"/>
      <c r="P313" s="18">
        <f>IF(Tabela1[[#This Row],[CARGA PARCIAL]]&lt;0,0,Tabela1[[#This Row],[CARGA PARCIAL]])+Tabela1[[#This Row],[REEMBOLSO]]</f>
        <v>0</v>
      </c>
      <c r="Q313" s="17"/>
      <c r="R313" s="17" t="s">
        <v>23</v>
      </c>
    </row>
    <row r="314" spans="2:18">
      <c r="B314" s="17" t="s">
        <v>783</v>
      </c>
      <c r="C314" s="17" t="s">
        <v>784</v>
      </c>
      <c r="D314" s="17" t="s">
        <v>19</v>
      </c>
      <c r="E314" s="17" t="s">
        <v>785</v>
      </c>
      <c r="F314" s="17" t="s">
        <v>27</v>
      </c>
      <c r="G314" s="17" t="s">
        <v>22</v>
      </c>
      <c r="H314" s="18">
        <v>43.399999999999906</v>
      </c>
      <c r="I314" s="18">
        <v>10.700000000001197</v>
      </c>
      <c r="J314" s="18">
        <f>Tabela1[[#This Row],[SALDO PENDENTE PARCIAL]]-Tabela1[[#This Row],[CARGA 1 QZ]]</f>
        <v>32.69999999999871</v>
      </c>
      <c r="K314" s="18">
        <v>500</v>
      </c>
      <c r="L314" s="18">
        <v>5.7</v>
      </c>
      <c r="M314" s="18"/>
      <c r="N314" s="18">
        <f>Tabela1[[#This Row],[2ª QZ]]-Tabela1[[#This Row],[SALDO FINAL]]-Tabela1[[#This Row],[SALDO CARTAO]]-Tabela1[[#This Row],[Adiantamento ]]</f>
        <v>461.60000000000133</v>
      </c>
      <c r="O314" s="18"/>
      <c r="P314" s="18">
        <f>IF(Tabela1[[#This Row],[CARGA PARCIAL]]&lt;0,0,Tabela1[[#This Row],[CARGA PARCIAL]])+Tabela1[[#This Row],[REEMBOLSO]]</f>
        <v>461.60000000000133</v>
      </c>
      <c r="Q314" s="17"/>
      <c r="R314" s="17" t="s">
        <v>23</v>
      </c>
    </row>
    <row r="315" spans="2:18">
      <c r="B315" s="17" t="s">
        <v>786</v>
      </c>
      <c r="C315" s="17" t="s">
        <v>787</v>
      </c>
      <c r="D315" s="17" t="s">
        <v>19</v>
      </c>
      <c r="E315" s="17" t="s">
        <v>168</v>
      </c>
      <c r="F315" s="17" t="s">
        <v>169</v>
      </c>
      <c r="G315" s="17" t="s">
        <v>32</v>
      </c>
      <c r="H315" s="18">
        <v>1068.7699999999836</v>
      </c>
      <c r="I315" s="18">
        <v>0</v>
      </c>
      <c r="J315" s="18">
        <f>Tabela1[[#This Row],[SALDO PENDENTE PARCIAL]]-Tabela1[[#This Row],[CARGA 1 QZ]]</f>
        <v>1068.7699999999836</v>
      </c>
      <c r="K315" s="18">
        <v>4150</v>
      </c>
      <c r="L315" s="18">
        <v>101.31</v>
      </c>
      <c r="M315" s="18"/>
      <c r="N315" s="18">
        <f>Tabela1[[#This Row],[2ª QZ]]-Tabela1[[#This Row],[SALDO FINAL]]-Tabela1[[#This Row],[SALDO CARTAO]]-Tabela1[[#This Row],[Adiantamento ]]</f>
        <v>2979.9200000000164</v>
      </c>
      <c r="O315" s="18"/>
      <c r="P315" s="18">
        <f>IF(Tabela1[[#This Row],[CARGA PARCIAL]]&lt;0,0,Tabela1[[#This Row],[CARGA PARCIAL]])+Tabela1[[#This Row],[REEMBOLSO]]</f>
        <v>2979.9200000000164</v>
      </c>
      <c r="Q315" s="17"/>
      <c r="R315" s="17" t="s">
        <v>23</v>
      </c>
    </row>
    <row r="316" spans="2:18">
      <c r="B316" s="17" t="s">
        <v>788</v>
      </c>
      <c r="C316" s="17" t="s">
        <v>789</v>
      </c>
      <c r="D316" s="17" t="s">
        <v>19</v>
      </c>
      <c r="E316" s="17" t="s">
        <v>118</v>
      </c>
      <c r="F316" s="17" t="s">
        <v>45</v>
      </c>
      <c r="G316" s="17" t="s">
        <v>37</v>
      </c>
      <c r="H316" s="18">
        <v>628.79999999999984</v>
      </c>
      <c r="I316" s="18">
        <v>0</v>
      </c>
      <c r="J316" s="18">
        <f>Tabela1[[#This Row],[SALDO PENDENTE PARCIAL]]-Tabela1[[#This Row],[CARGA 1 QZ]]</f>
        <v>628.79999999999984</v>
      </c>
      <c r="K316" s="18">
        <v>240</v>
      </c>
      <c r="L316" s="18">
        <v>198.4</v>
      </c>
      <c r="M316" s="18"/>
      <c r="N316" s="18">
        <f>Tabela1[[#This Row],[2ª QZ]]-Tabela1[[#This Row],[SALDO FINAL]]-Tabela1[[#This Row],[SALDO CARTAO]]-Tabela1[[#This Row],[Adiantamento ]]</f>
        <v>-587.19999999999982</v>
      </c>
      <c r="O316" s="18"/>
      <c r="P316" s="18">
        <f>IF(Tabela1[[#This Row],[CARGA PARCIAL]]&lt;0,0,Tabela1[[#This Row],[CARGA PARCIAL]])+Tabela1[[#This Row],[REEMBOLSO]]</f>
        <v>0</v>
      </c>
      <c r="Q316" s="17"/>
      <c r="R316" s="17" t="s">
        <v>23</v>
      </c>
    </row>
    <row r="317" spans="2:18">
      <c r="B317" s="17" t="s">
        <v>790</v>
      </c>
      <c r="C317" s="17" t="s">
        <v>791</v>
      </c>
      <c r="D317" s="17" t="s">
        <v>19</v>
      </c>
      <c r="E317" s="17" t="s">
        <v>293</v>
      </c>
      <c r="F317" s="17" t="s">
        <v>69</v>
      </c>
      <c r="G317" s="17" t="s">
        <v>37</v>
      </c>
      <c r="H317" s="18">
        <v>725.69999999999868</v>
      </c>
      <c r="I317" s="18">
        <v>180.15000000000103</v>
      </c>
      <c r="J317" s="18">
        <f>Tabela1[[#This Row],[SALDO PENDENTE PARCIAL]]-Tabela1[[#This Row],[CARGA 1 QZ]]</f>
        <v>545.54999999999768</v>
      </c>
      <c r="K317" s="18">
        <v>800</v>
      </c>
      <c r="L317" s="18">
        <v>74.3</v>
      </c>
      <c r="M317" s="18"/>
      <c r="N317" s="18">
        <f>Tabela1[[#This Row],[2ª QZ]]-Tabela1[[#This Row],[SALDO FINAL]]-Tabela1[[#This Row],[SALDO CARTAO]]-Tabela1[[#This Row],[Adiantamento ]]</f>
        <v>180.15000000000231</v>
      </c>
      <c r="O317" s="18"/>
      <c r="P317" s="18">
        <f>IF(Tabela1[[#This Row],[CARGA PARCIAL]]&lt;0,0,Tabela1[[#This Row],[CARGA PARCIAL]])+Tabela1[[#This Row],[REEMBOLSO]]</f>
        <v>180.15000000000231</v>
      </c>
      <c r="Q317" s="17"/>
      <c r="R317" s="17" t="s">
        <v>23</v>
      </c>
    </row>
    <row r="318" spans="2:18">
      <c r="B318" s="17" t="s">
        <v>792</v>
      </c>
      <c r="C318" s="17" t="s">
        <v>793</v>
      </c>
      <c r="D318" s="17" t="s">
        <v>19</v>
      </c>
      <c r="E318" s="17" t="s">
        <v>293</v>
      </c>
      <c r="F318" s="17" t="s">
        <v>69</v>
      </c>
      <c r="G318" s="17" t="s">
        <v>37</v>
      </c>
      <c r="H318" s="18">
        <v>1803.32</v>
      </c>
      <c r="I318" s="18">
        <v>504.57000000000062</v>
      </c>
      <c r="J318" s="18">
        <f>Tabela1[[#This Row],[SALDO PENDENTE PARCIAL]]-Tabela1[[#This Row],[CARGA 1 QZ]]</f>
        <v>1298.7499999999993</v>
      </c>
      <c r="K318" s="18">
        <v>800</v>
      </c>
      <c r="L318" s="18">
        <v>0</v>
      </c>
      <c r="M318" s="18"/>
      <c r="N318" s="18">
        <f>Tabela1[[#This Row],[2ª QZ]]-Tabela1[[#This Row],[SALDO FINAL]]-Tabela1[[#This Row],[SALDO CARTAO]]-Tabela1[[#This Row],[Adiantamento ]]</f>
        <v>-498.74999999999932</v>
      </c>
      <c r="O318" s="18"/>
      <c r="P318" s="18">
        <f>IF(Tabela1[[#This Row],[CARGA PARCIAL]]&lt;0,0,Tabela1[[#This Row],[CARGA PARCIAL]])+Tabela1[[#This Row],[REEMBOLSO]]</f>
        <v>0</v>
      </c>
      <c r="Q318" s="17"/>
      <c r="R318" s="17" t="s">
        <v>23</v>
      </c>
    </row>
    <row r="319" spans="2:18">
      <c r="B319" s="17" t="s">
        <v>794</v>
      </c>
      <c r="C319" s="17" t="s">
        <v>795</v>
      </c>
      <c r="D319" s="17" t="s">
        <v>19</v>
      </c>
      <c r="E319" s="17" t="s">
        <v>135</v>
      </c>
      <c r="F319" s="17" t="s">
        <v>36</v>
      </c>
      <c r="G319" s="17" t="s">
        <v>37</v>
      </c>
      <c r="H319" s="18">
        <v>201.24000000000626</v>
      </c>
      <c r="I319" s="18">
        <v>125.34999999999854</v>
      </c>
      <c r="J319" s="18">
        <f>Tabela1[[#This Row],[SALDO PENDENTE PARCIAL]]-Tabela1[[#This Row],[CARGA 1 QZ]]</f>
        <v>75.890000000007717</v>
      </c>
      <c r="K319" s="18">
        <v>800</v>
      </c>
      <c r="L319" s="18">
        <v>22.88</v>
      </c>
      <c r="M319" s="18"/>
      <c r="N319" s="18">
        <f>Tabela1[[#This Row],[2ª QZ]]-Tabela1[[#This Row],[SALDO FINAL]]-Tabela1[[#This Row],[SALDO CARTAO]]-Tabela1[[#This Row],[Adiantamento ]]</f>
        <v>701.22999999999229</v>
      </c>
      <c r="O319" s="18"/>
      <c r="P319" s="18">
        <f>IF(Tabela1[[#This Row],[CARGA PARCIAL]]&lt;0,0,Tabela1[[#This Row],[CARGA PARCIAL]])+Tabela1[[#This Row],[REEMBOLSO]]</f>
        <v>701.22999999999229</v>
      </c>
      <c r="Q319" s="17"/>
      <c r="R319" s="17" t="s">
        <v>23</v>
      </c>
    </row>
    <row r="320" spans="2:18">
      <c r="B320" s="17" t="s">
        <v>796</v>
      </c>
      <c r="C320" s="17" t="s">
        <v>797</v>
      </c>
      <c r="D320" s="17" t="s">
        <v>19</v>
      </c>
      <c r="E320" s="17" t="s">
        <v>513</v>
      </c>
      <c r="F320" s="17" t="s">
        <v>69</v>
      </c>
      <c r="G320" s="17" t="s">
        <v>37</v>
      </c>
      <c r="H320" s="18">
        <v>3039.5299999999629</v>
      </c>
      <c r="I320" s="18">
        <v>1149.320000000007</v>
      </c>
      <c r="J320" s="18">
        <f>Tabela1[[#This Row],[SALDO PENDENTE PARCIAL]]-Tabela1[[#This Row],[CARGA 1 QZ]]</f>
        <v>1890.2099999999559</v>
      </c>
      <c r="K320" s="18">
        <v>5000</v>
      </c>
      <c r="L320" s="18">
        <v>179.61</v>
      </c>
      <c r="M320" s="18"/>
      <c r="N320" s="18">
        <f>Tabela1[[#This Row],[2ª QZ]]-Tabela1[[#This Row],[SALDO FINAL]]-Tabela1[[#This Row],[SALDO CARTAO]]-Tabela1[[#This Row],[Adiantamento ]]</f>
        <v>2930.1800000000439</v>
      </c>
      <c r="O320" s="18"/>
      <c r="P320" s="18">
        <f>IF(Tabela1[[#This Row],[CARGA PARCIAL]]&lt;0,0,Tabela1[[#This Row],[CARGA PARCIAL]])+Tabela1[[#This Row],[REEMBOLSO]]</f>
        <v>2930.1800000000439</v>
      </c>
      <c r="Q320" s="17"/>
      <c r="R320" s="17" t="s">
        <v>23</v>
      </c>
    </row>
    <row r="321" spans="2:18">
      <c r="B321" s="17" t="s">
        <v>798</v>
      </c>
      <c r="C321" s="17" t="s">
        <v>799</v>
      </c>
      <c r="D321" s="17" t="s">
        <v>19</v>
      </c>
      <c r="E321" s="17" t="s">
        <v>101</v>
      </c>
      <c r="F321" s="17" t="s">
        <v>36</v>
      </c>
      <c r="G321" s="17" t="s">
        <v>37</v>
      </c>
      <c r="H321" s="18">
        <v>458.78000000000003</v>
      </c>
      <c r="I321" s="18">
        <v>0</v>
      </c>
      <c r="J321" s="18">
        <f>Tabela1[[#This Row],[SALDO PENDENTE PARCIAL]]-Tabela1[[#This Row],[CARGA 1 QZ]]</f>
        <v>458.78000000000003</v>
      </c>
      <c r="K321" s="18">
        <v>300</v>
      </c>
      <c r="L321" s="18">
        <v>24.32</v>
      </c>
      <c r="M321" s="18"/>
      <c r="N321" s="18">
        <f>Tabela1[[#This Row],[2ª QZ]]-Tabela1[[#This Row],[SALDO FINAL]]-Tabela1[[#This Row],[SALDO CARTAO]]-Tabela1[[#This Row],[Adiantamento ]]</f>
        <v>-183.10000000000002</v>
      </c>
      <c r="O321" s="18"/>
      <c r="P321" s="18">
        <f>IF(Tabela1[[#This Row],[CARGA PARCIAL]]&lt;0,0,Tabela1[[#This Row],[CARGA PARCIAL]])+Tabela1[[#This Row],[REEMBOLSO]]</f>
        <v>0</v>
      </c>
      <c r="Q321" s="17"/>
      <c r="R321" s="17" t="s">
        <v>23</v>
      </c>
    </row>
    <row r="322" spans="2:18">
      <c r="B322" s="17" t="s">
        <v>800</v>
      </c>
      <c r="C322" s="17" t="s">
        <v>801</v>
      </c>
      <c r="D322" s="17" t="s">
        <v>19</v>
      </c>
      <c r="E322" s="17" t="s">
        <v>802</v>
      </c>
      <c r="F322" s="17" t="s">
        <v>36</v>
      </c>
      <c r="G322" s="17" t="s">
        <v>37</v>
      </c>
      <c r="H322" s="18">
        <v>6.2527760746888816E-13</v>
      </c>
      <c r="I322" s="18">
        <v>374.42999999999938</v>
      </c>
      <c r="J322" s="18">
        <v>0</v>
      </c>
      <c r="K322" s="18">
        <v>500</v>
      </c>
      <c r="L322" s="18">
        <v>134.07</v>
      </c>
      <c r="M322" s="18"/>
      <c r="N322" s="18">
        <f>Tabela1[[#This Row],[2ª QZ]]-Tabela1[[#This Row],[SALDO FINAL]]-Tabela1[[#This Row],[SALDO CARTAO]]-Tabela1[[#This Row],[Adiantamento ]]</f>
        <v>365.93</v>
      </c>
      <c r="O322" s="18"/>
      <c r="P322" s="18">
        <f>IF(Tabela1[[#This Row],[CARGA PARCIAL]]&lt;0,0,Tabela1[[#This Row],[CARGA PARCIAL]])+Tabela1[[#This Row],[REEMBOLSO]]</f>
        <v>365.93</v>
      </c>
      <c r="Q322" s="17"/>
      <c r="R322" s="17" t="s">
        <v>23</v>
      </c>
    </row>
    <row r="323" spans="2:18">
      <c r="B323" s="17" t="s">
        <v>803</v>
      </c>
      <c r="C323" s="17" t="s">
        <v>804</v>
      </c>
      <c r="D323" s="17" t="s">
        <v>19</v>
      </c>
      <c r="E323" s="17" t="s">
        <v>805</v>
      </c>
      <c r="F323" s="17" t="s">
        <v>45</v>
      </c>
      <c r="G323" s="17" t="s">
        <v>37</v>
      </c>
      <c r="H323" s="18">
        <v>-474.54000000000849</v>
      </c>
      <c r="I323" s="18">
        <v>1395.430000000003</v>
      </c>
      <c r="J323" s="18">
        <v>0</v>
      </c>
      <c r="K323" s="18">
        <v>5600</v>
      </c>
      <c r="L323" s="18">
        <v>1016.82</v>
      </c>
      <c r="M323" s="18"/>
      <c r="N323" s="18">
        <f>Tabela1[[#This Row],[2ª QZ]]-Tabela1[[#This Row],[SALDO FINAL]]-Tabela1[[#This Row],[SALDO CARTAO]]-Tabela1[[#This Row],[Adiantamento ]]</f>
        <v>4583.18</v>
      </c>
      <c r="O323" s="18"/>
      <c r="P323" s="18">
        <f>IF(Tabela1[[#This Row],[CARGA PARCIAL]]&lt;0,0,Tabela1[[#This Row],[CARGA PARCIAL]])+Tabela1[[#This Row],[REEMBOLSO]]</f>
        <v>4583.18</v>
      </c>
      <c r="Q323" s="17"/>
      <c r="R323" s="17" t="s">
        <v>23</v>
      </c>
    </row>
    <row r="324" spans="2:18">
      <c r="B324" s="17" t="s">
        <v>806</v>
      </c>
      <c r="C324" s="17" t="s">
        <v>807</v>
      </c>
      <c r="D324" s="17" t="s">
        <v>19</v>
      </c>
      <c r="E324" s="17" t="s">
        <v>396</v>
      </c>
      <c r="F324" s="17" t="s">
        <v>31</v>
      </c>
      <c r="G324" s="17" t="s">
        <v>32</v>
      </c>
      <c r="H324" s="18">
        <v>2648.5699999999888</v>
      </c>
      <c r="I324" s="18">
        <v>76.450000000011642</v>
      </c>
      <c r="J324" s="18">
        <f>Tabela1[[#This Row],[SALDO PENDENTE PARCIAL]]-Tabela1[[#This Row],[CARGA 1 QZ]]</f>
        <v>2572.1199999999772</v>
      </c>
      <c r="K324" s="18">
        <v>1500</v>
      </c>
      <c r="L324" s="18">
        <v>0</v>
      </c>
      <c r="M324" s="18"/>
      <c r="N324" s="18">
        <f>Tabela1[[#This Row],[2ª QZ]]-Tabela1[[#This Row],[SALDO FINAL]]-Tabela1[[#This Row],[SALDO CARTAO]]-Tabela1[[#This Row],[Adiantamento ]]</f>
        <v>-1072.1199999999772</v>
      </c>
      <c r="O324" s="18"/>
      <c r="P324" s="18">
        <f>IF(Tabela1[[#This Row],[CARGA PARCIAL]]&lt;0,0,Tabela1[[#This Row],[CARGA PARCIAL]])+Tabela1[[#This Row],[REEMBOLSO]]</f>
        <v>0</v>
      </c>
      <c r="Q324" s="17"/>
      <c r="R324" s="17" t="s">
        <v>23</v>
      </c>
    </row>
    <row r="325" spans="2:18">
      <c r="B325" s="17" t="s">
        <v>808</v>
      </c>
      <c r="C325" s="17" t="s">
        <v>809</v>
      </c>
      <c r="D325" s="17" t="s">
        <v>19</v>
      </c>
      <c r="E325" s="17" t="s">
        <v>135</v>
      </c>
      <c r="F325" s="17" t="s">
        <v>36</v>
      </c>
      <c r="G325" s="17" t="s">
        <v>37</v>
      </c>
      <c r="H325" s="18">
        <v>122.299999999996</v>
      </c>
      <c r="I325" s="18">
        <v>757.99999999999989</v>
      </c>
      <c r="J325" s="18">
        <v>0</v>
      </c>
      <c r="K325" s="18">
        <v>800</v>
      </c>
      <c r="L325" s="18">
        <v>240.85</v>
      </c>
      <c r="M325" s="18"/>
      <c r="N325" s="18">
        <f>Tabela1[[#This Row],[2ª QZ]]-Tabela1[[#This Row],[SALDO FINAL]]-Tabela1[[#This Row],[SALDO CARTAO]]-Tabela1[[#This Row],[Adiantamento ]]</f>
        <v>559.15</v>
      </c>
      <c r="O325" s="18"/>
      <c r="P325" s="18">
        <f>IF(Tabela1[[#This Row],[CARGA PARCIAL]]&lt;0,0,Tabela1[[#This Row],[CARGA PARCIAL]])+Tabela1[[#This Row],[REEMBOLSO]]</f>
        <v>559.15</v>
      </c>
      <c r="Q325" s="17"/>
      <c r="R325" s="17" t="s">
        <v>23</v>
      </c>
    </row>
    <row r="326" spans="2:18">
      <c r="B326" s="17" t="s">
        <v>810</v>
      </c>
      <c r="C326" s="17" t="s">
        <v>811</v>
      </c>
      <c r="D326" s="17" t="s">
        <v>19</v>
      </c>
      <c r="E326" s="17" t="s">
        <v>135</v>
      </c>
      <c r="F326" s="17" t="s">
        <v>36</v>
      </c>
      <c r="G326" s="17" t="s">
        <v>37</v>
      </c>
      <c r="H326" s="18">
        <v>22.000000000008015</v>
      </c>
      <c r="I326" s="18">
        <v>446.99999999999636</v>
      </c>
      <c r="J326" s="18">
        <v>0</v>
      </c>
      <c r="K326" s="18">
        <v>800</v>
      </c>
      <c r="L326" s="18">
        <v>260.7</v>
      </c>
      <c r="M326" s="18"/>
      <c r="N326" s="18">
        <f>Tabela1[[#This Row],[2ª QZ]]-Tabela1[[#This Row],[SALDO FINAL]]-Tabela1[[#This Row],[SALDO CARTAO]]-Tabela1[[#This Row],[Adiantamento ]]</f>
        <v>539.29999999999995</v>
      </c>
      <c r="O326" s="18"/>
      <c r="P326" s="18">
        <f>IF(Tabela1[[#This Row],[CARGA PARCIAL]]&lt;0,0,Tabela1[[#This Row],[CARGA PARCIAL]])+Tabela1[[#This Row],[REEMBOLSO]]</f>
        <v>539.29999999999995</v>
      </c>
      <c r="Q326" s="17"/>
      <c r="R326" s="17" t="s">
        <v>23</v>
      </c>
    </row>
    <row r="327" spans="2:18">
      <c r="B327" s="17" t="s">
        <v>812</v>
      </c>
      <c r="C327" s="17" t="s">
        <v>813</v>
      </c>
      <c r="D327" s="17" t="s">
        <v>19</v>
      </c>
      <c r="E327" s="17" t="s">
        <v>814</v>
      </c>
      <c r="F327" s="17" t="s">
        <v>41</v>
      </c>
      <c r="G327" s="17" t="s">
        <v>37</v>
      </c>
      <c r="H327" s="18">
        <v>1631.5799999999881</v>
      </c>
      <c r="I327" s="18">
        <v>1150.04000000003</v>
      </c>
      <c r="J327" s="18">
        <f>Tabela1[[#This Row],[SALDO PENDENTE PARCIAL]]-Tabela1[[#This Row],[CARGA 1 QZ]]</f>
        <v>481.53999999995813</v>
      </c>
      <c r="K327" s="18">
        <v>2700</v>
      </c>
      <c r="L327" s="18">
        <v>5.04</v>
      </c>
      <c r="M327" s="18"/>
      <c r="N327" s="18">
        <f>Tabela1[[#This Row],[2ª QZ]]-Tabela1[[#This Row],[SALDO FINAL]]-Tabela1[[#This Row],[SALDO CARTAO]]-Tabela1[[#This Row],[Adiantamento ]]</f>
        <v>2213.4200000000419</v>
      </c>
      <c r="O327" s="18"/>
      <c r="P327" s="18">
        <f>IF(Tabela1[[#This Row],[CARGA PARCIAL]]&lt;0,0,Tabela1[[#This Row],[CARGA PARCIAL]])+Tabela1[[#This Row],[REEMBOLSO]]</f>
        <v>2213.4200000000419</v>
      </c>
      <c r="Q327" s="17"/>
      <c r="R327" s="17" t="s">
        <v>23</v>
      </c>
    </row>
    <row r="328" spans="2:18">
      <c r="B328" s="17" t="s">
        <v>815</v>
      </c>
      <c r="C328" s="17" t="s">
        <v>816</v>
      </c>
      <c r="D328" s="17" t="s">
        <v>19</v>
      </c>
      <c r="E328" s="17" t="s">
        <v>234</v>
      </c>
      <c r="F328" s="17" t="s">
        <v>41</v>
      </c>
      <c r="G328" s="17" t="s">
        <v>37</v>
      </c>
      <c r="H328" s="18">
        <v>-10.799999999998727</v>
      </c>
      <c r="I328" s="18">
        <v>40.250000000001378</v>
      </c>
      <c r="J328" s="18">
        <v>0</v>
      </c>
      <c r="K328" s="18">
        <v>200</v>
      </c>
      <c r="L328" s="18">
        <v>3.15</v>
      </c>
      <c r="M328" s="18"/>
      <c r="N328" s="18">
        <f>Tabela1[[#This Row],[2ª QZ]]-Tabela1[[#This Row],[SALDO FINAL]]-Tabela1[[#This Row],[SALDO CARTAO]]-Tabela1[[#This Row],[Adiantamento ]]</f>
        <v>196.85</v>
      </c>
      <c r="O328" s="18"/>
      <c r="P328" s="18">
        <f>IF(Tabela1[[#This Row],[CARGA PARCIAL]]&lt;0,0,Tabela1[[#This Row],[CARGA PARCIAL]])+Tabela1[[#This Row],[REEMBOLSO]]</f>
        <v>196.85</v>
      </c>
      <c r="Q328" s="17"/>
      <c r="R328" s="17" t="s">
        <v>23</v>
      </c>
    </row>
    <row r="329" spans="2:18">
      <c r="B329" s="17" t="s">
        <v>817</v>
      </c>
      <c r="C329" s="17" t="s">
        <v>818</v>
      </c>
      <c r="D329" s="17" t="s">
        <v>19</v>
      </c>
      <c r="E329" s="17" t="s">
        <v>611</v>
      </c>
      <c r="F329" s="17" t="s">
        <v>41</v>
      </c>
      <c r="G329" s="17" t="s">
        <v>37</v>
      </c>
      <c r="H329" s="18">
        <v>0</v>
      </c>
      <c r="I329" s="18">
        <v>126.00000000000023</v>
      </c>
      <c r="J329" s="18">
        <v>0</v>
      </c>
      <c r="K329" s="18">
        <v>500</v>
      </c>
      <c r="L329" s="18">
        <v>2</v>
      </c>
      <c r="M329" s="18"/>
      <c r="N329" s="18">
        <f>Tabela1[[#This Row],[2ª QZ]]-Tabela1[[#This Row],[SALDO FINAL]]-Tabela1[[#This Row],[SALDO CARTAO]]-Tabela1[[#This Row],[Adiantamento ]]</f>
        <v>498</v>
      </c>
      <c r="O329" s="18"/>
      <c r="P329" s="18">
        <f>IF(Tabela1[[#This Row],[CARGA PARCIAL]]&lt;0,0,Tabela1[[#This Row],[CARGA PARCIAL]])+Tabela1[[#This Row],[REEMBOLSO]]</f>
        <v>498</v>
      </c>
      <c r="Q329" s="17"/>
      <c r="R329" s="17" t="s">
        <v>23</v>
      </c>
    </row>
  </sheetData>
  <mergeCells count="1">
    <mergeCell ref="P2:P3"/>
  </mergeCells>
  <conditionalFormatting sqref="B4">
    <cfRule type="duplicateValues" dxfId="22" priority="1"/>
    <cfRule type="duplicateValues" dxfId="21" priority="2"/>
    <cfRule type="duplicateValues" dxfId="20" priority="3"/>
  </conditionalFormatting>
  <conditionalFormatting sqref="C4">
    <cfRule type="duplicateValues" dxfId="19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A09B-4B8A-4490-99B7-22515C3EC8EB}">
  <dimension ref="B2:I607"/>
  <sheetViews>
    <sheetView workbookViewId="0">
      <selection activeCell="A53" sqref="A53:XFD53"/>
    </sheetView>
  </sheetViews>
  <sheetFormatPr defaultRowHeight="15"/>
  <cols>
    <col min="3" max="3" width="38.140625" bestFit="1" customWidth="1"/>
  </cols>
  <sheetData>
    <row r="2" spans="2:9">
      <c r="B2" s="22" t="s">
        <v>819</v>
      </c>
      <c r="C2" s="22" t="s">
        <v>820</v>
      </c>
      <c r="D2" s="22" t="s">
        <v>821</v>
      </c>
      <c r="E2" s="22" t="s">
        <v>822</v>
      </c>
      <c r="F2" s="22" t="s">
        <v>823</v>
      </c>
      <c r="G2" s="22" t="s">
        <v>824</v>
      </c>
      <c r="H2" s="22" t="s">
        <v>825</v>
      </c>
      <c r="I2" s="22" t="s">
        <v>826</v>
      </c>
    </row>
    <row r="3" spans="2:9">
      <c r="B3" s="23"/>
      <c r="C3" s="34" t="s">
        <v>17</v>
      </c>
      <c r="D3" s="34" t="s">
        <v>827</v>
      </c>
      <c r="E3" s="34" t="s">
        <v>828</v>
      </c>
      <c r="F3" s="24" t="s">
        <v>23</v>
      </c>
      <c r="G3" s="34" t="s">
        <v>829</v>
      </c>
      <c r="H3" s="34" t="s">
        <v>830</v>
      </c>
      <c r="I3" s="35"/>
    </row>
    <row r="4" spans="2:9">
      <c r="B4" s="23"/>
      <c r="C4" s="34" t="s">
        <v>24</v>
      </c>
      <c r="D4" s="34" t="s">
        <v>831</v>
      </c>
      <c r="E4" s="34" t="s">
        <v>828</v>
      </c>
      <c r="F4" s="24" t="s">
        <v>23</v>
      </c>
      <c r="G4" s="34" t="s">
        <v>829</v>
      </c>
      <c r="H4" s="34" t="s">
        <v>830</v>
      </c>
      <c r="I4" s="35"/>
    </row>
    <row r="5" spans="2:9">
      <c r="B5" s="23"/>
      <c r="C5" s="34" t="s">
        <v>28</v>
      </c>
      <c r="D5" s="34" t="s">
        <v>832</v>
      </c>
      <c r="E5" s="34" t="s">
        <v>828</v>
      </c>
      <c r="F5" s="24" t="s">
        <v>23</v>
      </c>
      <c r="G5" s="34" t="s">
        <v>829</v>
      </c>
      <c r="H5" s="34" t="s">
        <v>830</v>
      </c>
      <c r="I5" s="35"/>
    </row>
    <row r="6" spans="2:9">
      <c r="B6" s="23"/>
      <c r="C6" s="34" t="s">
        <v>33</v>
      </c>
      <c r="D6" s="34" t="s">
        <v>833</v>
      </c>
      <c r="E6" s="34" t="s">
        <v>828</v>
      </c>
      <c r="F6" s="24" t="s">
        <v>23</v>
      </c>
      <c r="G6" s="34" t="s">
        <v>829</v>
      </c>
      <c r="H6" s="34" t="s">
        <v>830</v>
      </c>
      <c r="I6" s="35"/>
    </row>
    <row r="7" spans="2:9">
      <c r="B7" s="23"/>
      <c r="C7" s="34" t="s">
        <v>834</v>
      </c>
      <c r="D7" s="34" t="s">
        <v>835</v>
      </c>
      <c r="E7" s="34" t="s">
        <v>828</v>
      </c>
      <c r="F7" s="24" t="s">
        <v>23</v>
      </c>
      <c r="G7" s="34" t="s">
        <v>829</v>
      </c>
      <c r="H7" s="34" t="s">
        <v>830</v>
      </c>
      <c r="I7" s="35"/>
    </row>
    <row r="8" spans="2:9">
      <c r="B8" s="23"/>
      <c r="C8" s="34" t="s">
        <v>38</v>
      </c>
      <c r="D8" s="34" t="s">
        <v>836</v>
      </c>
      <c r="E8" s="34" t="s">
        <v>828</v>
      </c>
      <c r="F8" s="24" t="s">
        <v>23</v>
      </c>
      <c r="G8" s="34" t="s">
        <v>829</v>
      </c>
      <c r="H8" s="34" t="s">
        <v>830</v>
      </c>
      <c r="I8" s="35"/>
    </row>
    <row r="9" spans="2:9">
      <c r="B9" s="23"/>
      <c r="C9" s="34" t="s">
        <v>837</v>
      </c>
      <c r="D9" s="34" t="s">
        <v>838</v>
      </c>
      <c r="E9" s="34" t="s">
        <v>839</v>
      </c>
      <c r="F9" s="25" t="s">
        <v>86</v>
      </c>
      <c r="G9" s="34" t="s">
        <v>829</v>
      </c>
      <c r="H9" s="34" t="s">
        <v>830</v>
      </c>
      <c r="I9" s="35"/>
    </row>
    <row r="10" spans="2:9">
      <c r="B10" s="23"/>
      <c r="C10" s="34" t="s">
        <v>42</v>
      </c>
      <c r="D10" s="34" t="s">
        <v>840</v>
      </c>
      <c r="E10" s="34" t="s">
        <v>828</v>
      </c>
      <c r="F10" s="24" t="s">
        <v>23</v>
      </c>
      <c r="G10" s="34" t="s">
        <v>829</v>
      </c>
      <c r="H10" s="34" t="s">
        <v>830</v>
      </c>
      <c r="I10" s="35"/>
    </row>
    <row r="11" spans="2:9">
      <c r="B11" s="23"/>
      <c r="C11" s="34" t="s">
        <v>841</v>
      </c>
      <c r="D11" s="34" t="s">
        <v>842</v>
      </c>
      <c r="E11" s="34" t="s">
        <v>828</v>
      </c>
      <c r="F11" s="25" t="s">
        <v>86</v>
      </c>
      <c r="G11" s="34" t="s">
        <v>829</v>
      </c>
      <c r="H11" s="34" t="s">
        <v>830</v>
      </c>
      <c r="I11" s="35"/>
    </row>
    <row r="12" spans="2:9">
      <c r="B12" s="23"/>
      <c r="C12" s="34" t="s">
        <v>46</v>
      </c>
      <c r="D12" s="34" t="s">
        <v>843</v>
      </c>
      <c r="E12" s="34" t="s">
        <v>828</v>
      </c>
      <c r="F12" s="24" t="s">
        <v>23</v>
      </c>
      <c r="G12" s="34" t="s">
        <v>829</v>
      </c>
      <c r="H12" s="34" t="s">
        <v>830</v>
      </c>
      <c r="I12" s="35"/>
    </row>
    <row r="13" spans="2:9">
      <c r="B13" s="23"/>
      <c r="C13" s="34" t="s">
        <v>844</v>
      </c>
      <c r="D13" s="34" t="s">
        <v>845</v>
      </c>
      <c r="E13" s="34" t="s">
        <v>828</v>
      </c>
      <c r="F13" s="25" t="s">
        <v>86</v>
      </c>
      <c r="G13" s="34" t="s">
        <v>829</v>
      </c>
      <c r="H13" s="34" t="s">
        <v>830</v>
      </c>
      <c r="I13" s="35"/>
    </row>
    <row r="14" spans="2:9">
      <c r="B14" s="23"/>
      <c r="C14" s="34" t="s">
        <v>846</v>
      </c>
      <c r="D14" s="34" t="s">
        <v>847</v>
      </c>
      <c r="E14" s="34" t="s">
        <v>828</v>
      </c>
      <c r="F14" s="24" t="s">
        <v>23</v>
      </c>
      <c r="G14" s="34" t="s">
        <v>829</v>
      </c>
      <c r="H14" s="34" t="s">
        <v>830</v>
      </c>
      <c r="I14" s="35"/>
    </row>
    <row r="15" spans="2:9">
      <c r="B15" s="23"/>
      <c r="C15" s="34" t="s">
        <v>848</v>
      </c>
      <c r="D15" s="34" t="s">
        <v>849</v>
      </c>
      <c r="E15" s="34" t="s">
        <v>828</v>
      </c>
      <c r="F15" s="26" t="s">
        <v>82</v>
      </c>
      <c r="G15" s="34" t="s">
        <v>829</v>
      </c>
      <c r="H15" s="34" t="s">
        <v>830</v>
      </c>
      <c r="I15" s="35"/>
    </row>
    <row r="16" spans="2:9">
      <c r="B16" s="23"/>
      <c r="C16" s="34" t="s">
        <v>49</v>
      </c>
      <c r="D16" s="34" t="s">
        <v>850</v>
      </c>
      <c r="E16" s="34" t="s">
        <v>828</v>
      </c>
      <c r="F16" s="24" t="s">
        <v>23</v>
      </c>
      <c r="G16" s="34" t="s">
        <v>829</v>
      </c>
      <c r="H16" s="34" t="s">
        <v>830</v>
      </c>
      <c r="I16" s="35"/>
    </row>
    <row r="17" spans="2:9">
      <c r="B17" s="23"/>
      <c r="C17" s="34" t="s">
        <v>52</v>
      </c>
      <c r="D17" s="34" t="s">
        <v>851</v>
      </c>
      <c r="E17" s="34" t="s">
        <v>828</v>
      </c>
      <c r="F17" s="24" t="s">
        <v>23</v>
      </c>
      <c r="G17" s="34" t="s">
        <v>829</v>
      </c>
      <c r="H17" s="34" t="s">
        <v>830</v>
      </c>
      <c r="I17" s="35"/>
    </row>
    <row r="18" spans="2:9">
      <c r="B18" s="23"/>
      <c r="C18" s="34" t="s">
        <v>56</v>
      </c>
      <c r="D18" s="34" t="s">
        <v>852</v>
      </c>
      <c r="E18" s="34" t="s">
        <v>828</v>
      </c>
      <c r="F18" s="24" t="s">
        <v>23</v>
      </c>
      <c r="G18" s="34" t="s">
        <v>829</v>
      </c>
      <c r="H18" s="34" t="s">
        <v>830</v>
      </c>
      <c r="I18" s="35"/>
    </row>
    <row r="19" spans="2:9">
      <c r="B19" s="23"/>
      <c r="C19" s="34" t="s">
        <v>853</v>
      </c>
      <c r="D19" s="34" t="s">
        <v>854</v>
      </c>
      <c r="E19" s="34" t="s">
        <v>828</v>
      </c>
      <c r="F19" s="25" t="s">
        <v>86</v>
      </c>
      <c r="G19" s="34" t="s">
        <v>829</v>
      </c>
      <c r="H19" s="34" t="s">
        <v>830</v>
      </c>
      <c r="I19" s="35"/>
    </row>
    <row r="20" spans="2:9">
      <c r="B20" s="23"/>
      <c r="C20" s="34" t="s">
        <v>58</v>
      </c>
      <c r="D20" s="34" t="s">
        <v>855</v>
      </c>
      <c r="E20" s="34" t="s">
        <v>828</v>
      </c>
      <c r="F20" s="24" t="s">
        <v>23</v>
      </c>
      <c r="G20" s="34" t="s">
        <v>829</v>
      </c>
      <c r="H20" s="34" t="s">
        <v>830</v>
      </c>
      <c r="I20" s="35"/>
    </row>
    <row r="21" spans="2:9">
      <c r="B21" s="23"/>
      <c r="C21" s="34" t="s">
        <v>856</v>
      </c>
      <c r="D21" s="34" t="s">
        <v>857</v>
      </c>
      <c r="E21" s="34" t="s">
        <v>828</v>
      </c>
      <c r="F21" s="26" t="s">
        <v>82</v>
      </c>
      <c r="G21" s="34" t="s">
        <v>829</v>
      </c>
      <c r="H21" s="34" t="s">
        <v>830</v>
      </c>
      <c r="I21" s="35"/>
    </row>
    <row r="22" spans="2:9">
      <c r="B22" s="23"/>
      <c r="C22" s="34" t="s">
        <v>60</v>
      </c>
      <c r="D22" s="34" t="s">
        <v>858</v>
      </c>
      <c r="E22" s="34" t="s">
        <v>828</v>
      </c>
      <c r="F22" s="24" t="s">
        <v>23</v>
      </c>
      <c r="G22" s="34" t="s">
        <v>829</v>
      </c>
      <c r="H22" s="34" t="s">
        <v>830</v>
      </c>
      <c r="I22" s="35"/>
    </row>
    <row r="23" spans="2:9">
      <c r="B23" s="23"/>
      <c r="C23" s="34" t="s">
        <v>63</v>
      </c>
      <c r="D23" s="34" t="s">
        <v>859</v>
      </c>
      <c r="E23" s="34" t="s">
        <v>828</v>
      </c>
      <c r="F23" s="24" t="s">
        <v>23</v>
      </c>
      <c r="G23" s="34" t="s">
        <v>829</v>
      </c>
      <c r="H23" s="34" t="s">
        <v>830</v>
      </c>
      <c r="I23" s="35"/>
    </row>
    <row r="24" spans="2:9">
      <c r="B24" s="23"/>
      <c r="C24" s="34" t="s">
        <v>860</v>
      </c>
      <c r="D24" s="34" t="s">
        <v>861</v>
      </c>
      <c r="E24" s="34" t="s">
        <v>828</v>
      </c>
      <c r="F24" s="25" t="s">
        <v>86</v>
      </c>
      <c r="G24" s="34" t="s">
        <v>829</v>
      </c>
      <c r="H24" s="34" t="s">
        <v>830</v>
      </c>
      <c r="I24" s="35"/>
    </row>
    <row r="25" spans="2:9">
      <c r="B25" s="23"/>
      <c r="C25" s="34" t="s">
        <v>862</v>
      </c>
      <c r="D25" s="34" t="s">
        <v>863</v>
      </c>
      <c r="E25" s="34" t="s">
        <v>828</v>
      </c>
      <c r="F25" s="24" t="s">
        <v>23</v>
      </c>
      <c r="G25" s="34" t="s">
        <v>829</v>
      </c>
      <c r="H25" s="34" t="s">
        <v>830</v>
      </c>
      <c r="I25" s="35"/>
    </row>
    <row r="26" spans="2:9">
      <c r="B26" s="23"/>
      <c r="C26" s="34" t="s">
        <v>66</v>
      </c>
      <c r="D26" s="34" t="s">
        <v>864</v>
      </c>
      <c r="E26" s="34" t="s">
        <v>828</v>
      </c>
      <c r="F26" s="24" t="s">
        <v>23</v>
      </c>
      <c r="G26" s="34" t="s">
        <v>829</v>
      </c>
      <c r="H26" s="34" t="s">
        <v>830</v>
      </c>
      <c r="I26" s="35"/>
    </row>
    <row r="27" spans="2:9">
      <c r="B27" s="23"/>
      <c r="C27" s="34" t="s">
        <v>70</v>
      </c>
      <c r="D27" s="34" t="s">
        <v>865</v>
      </c>
      <c r="E27" s="34" t="s">
        <v>828</v>
      </c>
      <c r="F27" s="24" t="s">
        <v>23</v>
      </c>
      <c r="G27" s="34" t="s">
        <v>829</v>
      </c>
      <c r="H27" s="34" t="s">
        <v>830</v>
      </c>
      <c r="I27" s="35"/>
    </row>
    <row r="28" spans="2:9">
      <c r="B28" s="23"/>
      <c r="C28" s="34" t="s">
        <v>866</v>
      </c>
      <c r="D28" s="34" t="s">
        <v>867</v>
      </c>
      <c r="E28" s="34" t="s">
        <v>828</v>
      </c>
      <c r="F28" s="24" t="s">
        <v>23</v>
      </c>
      <c r="G28" s="34" t="s">
        <v>829</v>
      </c>
      <c r="H28" s="34" t="s">
        <v>830</v>
      </c>
      <c r="I28" s="35"/>
    </row>
    <row r="29" spans="2:9">
      <c r="B29" s="23"/>
      <c r="C29" s="34" t="s">
        <v>868</v>
      </c>
      <c r="D29" s="34" t="s">
        <v>869</v>
      </c>
      <c r="E29" s="34" t="s">
        <v>828</v>
      </c>
      <c r="F29" s="24" t="s">
        <v>23</v>
      </c>
      <c r="G29" s="34" t="s">
        <v>829</v>
      </c>
      <c r="H29" s="34" t="s">
        <v>830</v>
      </c>
      <c r="I29" s="35"/>
    </row>
    <row r="30" spans="2:9">
      <c r="B30" s="23"/>
      <c r="C30" s="34" t="s">
        <v>73</v>
      </c>
      <c r="D30" s="34" t="s">
        <v>870</v>
      </c>
      <c r="E30" s="34" t="s">
        <v>828</v>
      </c>
      <c r="F30" s="24" t="s">
        <v>23</v>
      </c>
      <c r="G30" s="34" t="s">
        <v>829</v>
      </c>
      <c r="H30" s="34" t="s">
        <v>830</v>
      </c>
      <c r="I30" s="35"/>
    </row>
    <row r="31" spans="2:9">
      <c r="B31" s="23"/>
      <c r="C31" s="34" t="s">
        <v>871</v>
      </c>
      <c r="D31" s="34" t="s">
        <v>872</v>
      </c>
      <c r="E31" s="34" t="s">
        <v>828</v>
      </c>
      <c r="F31" s="25" t="s">
        <v>86</v>
      </c>
      <c r="G31" s="34" t="s">
        <v>829</v>
      </c>
      <c r="H31" s="34" t="s">
        <v>830</v>
      </c>
      <c r="I31" s="35"/>
    </row>
    <row r="32" spans="2:9">
      <c r="B32" s="23"/>
      <c r="C32" s="34" t="s">
        <v>76</v>
      </c>
      <c r="D32" s="34" t="s">
        <v>873</v>
      </c>
      <c r="E32" s="34" t="s">
        <v>839</v>
      </c>
      <c r="F32" s="24" t="s">
        <v>23</v>
      </c>
      <c r="G32" s="34" t="s">
        <v>829</v>
      </c>
      <c r="H32" s="34" t="s">
        <v>830</v>
      </c>
      <c r="I32" s="35"/>
    </row>
    <row r="33" spans="2:9">
      <c r="B33" s="23"/>
      <c r="C33" s="34" t="s">
        <v>874</v>
      </c>
      <c r="D33" s="34" t="s">
        <v>875</v>
      </c>
      <c r="E33" s="34" t="s">
        <v>828</v>
      </c>
      <c r="F33" s="26" t="s">
        <v>82</v>
      </c>
      <c r="G33" s="34" t="s">
        <v>829</v>
      </c>
      <c r="H33" s="34" t="s">
        <v>830</v>
      </c>
      <c r="I33" s="35"/>
    </row>
    <row r="34" spans="2:9">
      <c r="B34" s="23"/>
      <c r="C34" s="34" t="s">
        <v>876</v>
      </c>
      <c r="D34" s="34" t="s">
        <v>877</v>
      </c>
      <c r="E34" s="34" t="s">
        <v>828</v>
      </c>
      <c r="F34" s="24" t="s">
        <v>23</v>
      </c>
      <c r="G34" s="34" t="s">
        <v>829</v>
      </c>
      <c r="H34" s="34" t="s">
        <v>830</v>
      </c>
      <c r="I34" s="35"/>
    </row>
    <row r="35" spans="2:9">
      <c r="B35" s="23"/>
      <c r="C35" s="34" t="s">
        <v>878</v>
      </c>
      <c r="D35" s="34" t="s">
        <v>879</v>
      </c>
      <c r="E35" s="34" t="s">
        <v>828</v>
      </c>
      <c r="F35" s="25" t="s">
        <v>86</v>
      </c>
      <c r="G35" s="34" t="s">
        <v>829</v>
      </c>
      <c r="H35" s="34" t="s">
        <v>830</v>
      </c>
      <c r="I35" s="35"/>
    </row>
    <row r="36" spans="2:9">
      <c r="B36" s="23"/>
      <c r="C36" s="34" t="s">
        <v>880</v>
      </c>
      <c r="D36" s="34" t="s">
        <v>881</v>
      </c>
      <c r="E36" s="34" t="s">
        <v>828</v>
      </c>
      <c r="F36" s="24" t="s">
        <v>23</v>
      </c>
      <c r="G36" s="34" t="s">
        <v>829</v>
      </c>
      <c r="H36" s="34" t="s">
        <v>830</v>
      </c>
      <c r="I36" s="35"/>
    </row>
    <row r="37" spans="2:9">
      <c r="B37" s="23"/>
      <c r="C37" s="34" t="s">
        <v>79</v>
      </c>
      <c r="D37" s="34" t="s">
        <v>882</v>
      </c>
      <c r="E37" s="34" t="s">
        <v>828</v>
      </c>
      <c r="F37" s="26" t="s">
        <v>82</v>
      </c>
      <c r="G37" s="34" t="s">
        <v>829</v>
      </c>
      <c r="H37" s="34" t="s">
        <v>830</v>
      </c>
      <c r="I37" s="35"/>
    </row>
    <row r="38" spans="2:9">
      <c r="B38" s="23"/>
      <c r="C38" s="34" t="s">
        <v>83</v>
      </c>
      <c r="D38" s="34" t="s">
        <v>883</v>
      </c>
      <c r="E38" s="34" t="s">
        <v>828</v>
      </c>
      <c r="F38" s="25" t="s">
        <v>86</v>
      </c>
      <c r="G38" s="34" t="s">
        <v>829</v>
      </c>
      <c r="H38" s="34" t="s">
        <v>830</v>
      </c>
      <c r="I38" s="35"/>
    </row>
    <row r="39" spans="2:9">
      <c r="B39" s="23"/>
      <c r="C39" s="34" t="s">
        <v>87</v>
      </c>
      <c r="D39" s="34" t="s">
        <v>884</v>
      </c>
      <c r="E39" s="34" t="s">
        <v>828</v>
      </c>
      <c r="F39" s="24" t="s">
        <v>23</v>
      </c>
      <c r="G39" s="34" t="s">
        <v>829</v>
      </c>
      <c r="H39" s="34" t="s">
        <v>830</v>
      </c>
      <c r="I39" s="35"/>
    </row>
    <row r="40" spans="2:9">
      <c r="B40" s="23"/>
      <c r="C40" s="34" t="s">
        <v>89</v>
      </c>
      <c r="D40" s="34" t="s">
        <v>885</v>
      </c>
      <c r="E40" s="34" t="s">
        <v>828</v>
      </c>
      <c r="F40" s="24" t="s">
        <v>23</v>
      </c>
      <c r="G40" s="34" t="s">
        <v>829</v>
      </c>
      <c r="H40" s="34" t="s">
        <v>830</v>
      </c>
      <c r="I40" s="35"/>
    </row>
    <row r="41" spans="2:9">
      <c r="B41" s="23"/>
      <c r="C41" s="34" t="s">
        <v>92</v>
      </c>
      <c r="D41" s="34" t="s">
        <v>886</v>
      </c>
      <c r="E41" s="34" t="s">
        <v>839</v>
      </c>
      <c r="F41" s="24" t="s">
        <v>23</v>
      </c>
      <c r="G41" s="34" t="s">
        <v>829</v>
      </c>
      <c r="H41" s="34" t="s">
        <v>830</v>
      </c>
      <c r="I41" s="35"/>
    </row>
    <row r="42" spans="2:9">
      <c r="B42" s="23"/>
      <c r="C42" s="34" t="s">
        <v>887</v>
      </c>
      <c r="D42" s="34" t="s">
        <v>888</v>
      </c>
      <c r="E42" s="34" t="s">
        <v>828</v>
      </c>
      <c r="F42" s="24" t="s">
        <v>23</v>
      </c>
      <c r="G42" s="34" t="s">
        <v>829</v>
      </c>
      <c r="H42" s="34" t="s">
        <v>830</v>
      </c>
      <c r="I42" s="35"/>
    </row>
    <row r="43" spans="2:9">
      <c r="B43" s="23"/>
      <c r="C43" s="34" t="s">
        <v>96</v>
      </c>
      <c r="D43" s="34" t="s">
        <v>889</v>
      </c>
      <c r="E43" s="34" t="s">
        <v>828</v>
      </c>
      <c r="F43" s="24" t="s">
        <v>23</v>
      </c>
      <c r="G43" s="34" t="s">
        <v>829</v>
      </c>
      <c r="H43" s="34" t="s">
        <v>830</v>
      </c>
      <c r="I43" s="35"/>
    </row>
    <row r="44" spans="2:9">
      <c r="B44" s="23"/>
      <c r="C44" s="34" t="s">
        <v>99</v>
      </c>
      <c r="D44" s="34" t="s">
        <v>890</v>
      </c>
      <c r="E44" s="34" t="s">
        <v>828</v>
      </c>
      <c r="F44" s="25" t="s">
        <v>86</v>
      </c>
      <c r="G44" s="34" t="s">
        <v>829</v>
      </c>
      <c r="H44" s="34" t="s">
        <v>830</v>
      </c>
      <c r="I44" s="35"/>
    </row>
    <row r="45" spans="2:9">
      <c r="B45" s="23"/>
      <c r="C45" s="34" t="s">
        <v>102</v>
      </c>
      <c r="D45" s="34" t="s">
        <v>891</v>
      </c>
      <c r="E45" s="34" t="s">
        <v>828</v>
      </c>
      <c r="F45" s="24" t="s">
        <v>23</v>
      </c>
      <c r="G45" s="34" t="s">
        <v>829</v>
      </c>
      <c r="H45" s="34" t="s">
        <v>830</v>
      </c>
      <c r="I45" s="35"/>
    </row>
    <row r="46" spans="2:9">
      <c r="B46" s="23"/>
      <c r="C46" s="34" t="s">
        <v>892</v>
      </c>
      <c r="D46" s="34" t="s">
        <v>893</v>
      </c>
      <c r="E46" s="34" t="s">
        <v>828</v>
      </c>
      <c r="F46" s="25" t="s">
        <v>86</v>
      </c>
      <c r="G46" s="34" t="s">
        <v>829</v>
      </c>
      <c r="H46" s="34" t="s">
        <v>830</v>
      </c>
      <c r="I46" s="35"/>
    </row>
    <row r="47" spans="2:9">
      <c r="B47" s="23"/>
      <c r="C47" s="34" t="s">
        <v>894</v>
      </c>
      <c r="D47" s="34" t="s">
        <v>895</v>
      </c>
      <c r="E47" s="34" t="s">
        <v>828</v>
      </c>
      <c r="F47" s="24" t="s">
        <v>23</v>
      </c>
      <c r="G47" s="34" t="s">
        <v>829</v>
      </c>
      <c r="H47" s="34" t="s">
        <v>830</v>
      </c>
      <c r="I47" s="35"/>
    </row>
    <row r="48" spans="2:9">
      <c r="B48" s="23"/>
      <c r="C48" s="34" t="s">
        <v>104</v>
      </c>
      <c r="D48" s="34" t="s">
        <v>896</v>
      </c>
      <c r="E48" s="34" t="s">
        <v>828</v>
      </c>
      <c r="F48" s="24" t="s">
        <v>23</v>
      </c>
      <c r="G48" s="34" t="s">
        <v>829</v>
      </c>
      <c r="H48" s="34" t="s">
        <v>830</v>
      </c>
      <c r="I48" s="35"/>
    </row>
    <row r="49" spans="2:9">
      <c r="B49" s="23"/>
      <c r="C49" s="34" t="s">
        <v>897</v>
      </c>
      <c r="D49" s="34" t="s">
        <v>898</v>
      </c>
      <c r="E49" s="34" t="s">
        <v>828</v>
      </c>
      <c r="F49" s="24" t="s">
        <v>23</v>
      </c>
      <c r="G49" s="34" t="s">
        <v>829</v>
      </c>
      <c r="H49" s="34" t="s">
        <v>830</v>
      </c>
      <c r="I49" s="35"/>
    </row>
    <row r="50" spans="2:9">
      <c r="B50" s="23"/>
      <c r="C50" s="34" t="s">
        <v>899</v>
      </c>
      <c r="D50" s="34" t="s">
        <v>900</v>
      </c>
      <c r="E50" s="34" t="s">
        <v>828</v>
      </c>
      <c r="F50" s="24" t="s">
        <v>23</v>
      </c>
      <c r="G50" s="34" t="s">
        <v>829</v>
      </c>
      <c r="H50" s="34" t="s">
        <v>830</v>
      </c>
      <c r="I50" s="35"/>
    </row>
    <row r="51" spans="2:9">
      <c r="B51" s="23"/>
      <c r="C51" s="34" t="s">
        <v>901</v>
      </c>
      <c r="D51" s="34" t="s">
        <v>902</v>
      </c>
      <c r="E51" s="34" t="s">
        <v>828</v>
      </c>
      <c r="F51" s="24" t="s">
        <v>23</v>
      </c>
      <c r="G51" s="34" t="s">
        <v>829</v>
      </c>
      <c r="H51" s="34" t="s">
        <v>830</v>
      </c>
      <c r="I51" s="35"/>
    </row>
    <row r="52" spans="2:9">
      <c r="B52" s="27"/>
      <c r="C52" s="36" t="s">
        <v>903</v>
      </c>
      <c r="D52" s="36" t="s">
        <v>904</v>
      </c>
      <c r="E52" s="36" t="s">
        <v>828</v>
      </c>
      <c r="F52" s="28" t="s">
        <v>86</v>
      </c>
      <c r="G52" s="36" t="s">
        <v>829</v>
      </c>
      <c r="H52" s="36" t="s">
        <v>830</v>
      </c>
      <c r="I52" s="21"/>
    </row>
    <row r="53" spans="2:9">
      <c r="B53" s="23"/>
      <c r="C53" s="34" t="s">
        <v>107</v>
      </c>
      <c r="D53" s="34" t="s">
        <v>905</v>
      </c>
      <c r="E53" s="34" t="s">
        <v>828</v>
      </c>
      <c r="F53" s="24" t="s">
        <v>23</v>
      </c>
      <c r="G53" s="34" t="s">
        <v>829</v>
      </c>
      <c r="H53" s="34" t="s">
        <v>830</v>
      </c>
      <c r="I53" s="35"/>
    </row>
    <row r="54" spans="2:9">
      <c r="B54" s="23"/>
      <c r="C54" s="34" t="s">
        <v>110</v>
      </c>
      <c r="D54" s="34" t="s">
        <v>906</v>
      </c>
      <c r="E54" s="34" t="s">
        <v>828</v>
      </c>
      <c r="F54" s="24" t="s">
        <v>23</v>
      </c>
      <c r="G54" s="34" t="s">
        <v>829</v>
      </c>
      <c r="H54" s="34" t="s">
        <v>830</v>
      </c>
      <c r="I54" s="35"/>
    </row>
    <row r="55" spans="2:9">
      <c r="B55" s="23"/>
      <c r="C55" s="34" t="s">
        <v>907</v>
      </c>
      <c r="D55" s="34" t="s">
        <v>908</v>
      </c>
      <c r="E55" s="34" t="s">
        <v>828</v>
      </c>
      <c r="F55" s="24" t="s">
        <v>23</v>
      </c>
      <c r="G55" s="34" t="s">
        <v>829</v>
      </c>
      <c r="H55" s="34" t="s">
        <v>830</v>
      </c>
      <c r="I55" s="35"/>
    </row>
    <row r="56" spans="2:9">
      <c r="B56" s="23"/>
      <c r="C56" s="34" t="s">
        <v>909</v>
      </c>
      <c r="D56" s="34" t="s">
        <v>910</v>
      </c>
      <c r="E56" s="34" t="s">
        <v>828</v>
      </c>
      <c r="F56" s="24" t="s">
        <v>23</v>
      </c>
      <c r="G56" s="34" t="s">
        <v>829</v>
      </c>
      <c r="H56" s="34" t="s">
        <v>830</v>
      </c>
      <c r="I56" s="35"/>
    </row>
    <row r="57" spans="2:9">
      <c r="B57" s="23"/>
      <c r="C57" s="34" t="s">
        <v>911</v>
      </c>
      <c r="D57" s="34" t="s">
        <v>912</v>
      </c>
      <c r="E57" s="34" t="s">
        <v>828</v>
      </c>
      <c r="F57" s="24" t="s">
        <v>23</v>
      </c>
      <c r="G57" s="34" t="s">
        <v>829</v>
      </c>
      <c r="H57" s="34" t="s">
        <v>830</v>
      </c>
      <c r="I57" s="35"/>
    </row>
    <row r="58" spans="2:9">
      <c r="B58" s="23"/>
      <c r="C58" s="34" t="s">
        <v>913</v>
      </c>
      <c r="D58" s="34" t="s">
        <v>914</v>
      </c>
      <c r="E58" s="34" t="s">
        <v>828</v>
      </c>
      <c r="F58" s="25" t="s">
        <v>86</v>
      </c>
      <c r="G58" s="34" t="s">
        <v>829</v>
      </c>
      <c r="H58" s="34" t="s">
        <v>830</v>
      </c>
      <c r="I58" s="35"/>
    </row>
    <row r="59" spans="2:9">
      <c r="B59" s="23"/>
      <c r="C59" s="34" t="s">
        <v>113</v>
      </c>
      <c r="D59" s="34" t="s">
        <v>915</v>
      </c>
      <c r="E59" s="34" t="s">
        <v>828</v>
      </c>
      <c r="F59" s="24" t="s">
        <v>23</v>
      </c>
      <c r="G59" s="34" t="s">
        <v>829</v>
      </c>
      <c r="H59" s="34" t="s">
        <v>830</v>
      </c>
      <c r="I59" s="35"/>
    </row>
    <row r="60" spans="2:9">
      <c r="B60" s="23"/>
      <c r="C60" s="34" t="s">
        <v>116</v>
      </c>
      <c r="D60" s="34" t="s">
        <v>916</v>
      </c>
      <c r="E60" s="34" t="s">
        <v>828</v>
      </c>
      <c r="F60" s="24" t="s">
        <v>23</v>
      </c>
      <c r="G60" s="34" t="s">
        <v>829</v>
      </c>
      <c r="H60" s="34" t="s">
        <v>830</v>
      </c>
      <c r="I60" s="35"/>
    </row>
    <row r="61" spans="2:9">
      <c r="B61" s="23"/>
      <c r="C61" s="34" t="s">
        <v>119</v>
      </c>
      <c r="D61" s="34" t="s">
        <v>917</v>
      </c>
      <c r="E61" s="34" t="s">
        <v>828</v>
      </c>
      <c r="F61" s="24" t="s">
        <v>23</v>
      </c>
      <c r="G61" s="34" t="s">
        <v>829</v>
      </c>
      <c r="H61" s="34" t="s">
        <v>830</v>
      </c>
      <c r="I61" s="35"/>
    </row>
    <row r="62" spans="2:9">
      <c r="B62" s="23"/>
      <c r="C62" s="34" t="s">
        <v>918</v>
      </c>
      <c r="D62" s="34" t="s">
        <v>919</v>
      </c>
      <c r="E62" s="34" t="s">
        <v>828</v>
      </c>
      <c r="F62" s="24" t="s">
        <v>23</v>
      </c>
      <c r="G62" s="34" t="s">
        <v>829</v>
      </c>
      <c r="H62" s="34" t="s">
        <v>830</v>
      </c>
      <c r="I62" s="35"/>
    </row>
    <row r="63" spans="2:9">
      <c r="B63" s="23"/>
      <c r="C63" s="34" t="s">
        <v>920</v>
      </c>
      <c r="D63" s="34" t="s">
        <v>921</v>
      </c>
      <c r="E63" s="34" t="s">
        <v>828</v>
      </c>
      <c r="F63" s="24" t="s">
        <v>23</v>
      </c>
      <c r="G63" s="34" t="s">
        <v>829</v>
      </c>
      <c r="H63" s="34" t="s">
        <v>830</v>
      </c>
      <c r="I63" s="35"/>
    </row>
    <row r="64" spans="2:9">
      <c r="B64" s="23"/>
      <c r="C64" s="34" t="s">
        <v>922</v>
      </c>
      <c r="D64" s="34" t="s">
        <v>923</v>
      </c>
      <c r="E64" s="34" t="s">
        <v>924</v>
      </c>
      <c r="F64" s="25" t="s">
        <v>86</v>
      </c>
      <c r="G64" s="34" t="s">
        <v>829</v>
      </c>
      <c r="H64" s="34" t="s">
        <v>925</v>
      </c>
      <c r="I64" s="35"/>
    </row>
    <row r="65" spans="2:9">
      <c r="B65" s="23"/>
      <c r="C65" s="34" t="s">
        <v>926</v>
      </c>
      <c r="D65" s="34" t="s">
        <v>927</v>
      </c>
      <c r="E65" s="34" t="s">
        <v>828</v>
      </c>
      <c r="F65" s="24" t="s">
        <v>23</v>
      </c>
      <c r="G65" s="34" t="s">
        <v>829</v>
      </c>
      <c r="H65" s="34" t="s">
        <v>830</v>
      </c>
      <c r="I65" s="35"/>
    </row>
    <row r="66" spans="2:9">
      <c r="B66" s="23"/>
      <c r="C66" s="34" t="s">
        <v>928</v>
      </c>
      <c r="D66" s="34" t="s">
        <v>929</v>
      </c>
      <c r="E66" s="34" t="s">
        <v>828</v>
      </c>
      <c r="F66" s="24" t="s">
        <v>23</v>
      </c>
      <c r="G66" s="34" t="s">
        <v>829</v>
      </c>
      <c r="H66" s="34" t="s">
        <v>830</v>
      </c>
      <c r="I66" s="35"/>
    </row>
    <row r="67" spans="2:9">
      <c r="B67" s="23"/>
      <c r="C67" s="34" t="s">
        <v>121</v>
      </c>
      <c r="D67" s="34" t="s">
        <v>930</v>
      </c>
      <c r="E67" s="34" t="s">
        <v>839</v>
      </c>
      <c r="F67" s="24" t="s">
        <v>23</v>
      </c>
      <c r="G67" s="34" t="s">
        <v>829</v>
      </c>
      <c r="H67" s="34" t="s">
        <v>830</v>
      </c>
      <c r="I67" s="35"/>
    </row>
    <row r="68" spans="2:9">
      <c r="B68" s="23"/>
      <c r="C68" s="34" t="s">
        <v>124</v>
      </c>
      <c r="D68" s="34" t="s">
        <v>931</v>
      </c>
      <c r="E68" s="34" t="s">
        <v>828</v>
      </c>
      <c r="F68" s="24" t="s">
        <v>23</v>
      </c>
      <c r="G68" s="34" t="s">
        <v>829</v>
      </c>
      <c r="H68" s="34" t="s">
        <v>830</v>
      </c>
      <c r="I68" s="35"/>
    </row>
    <row r="69" spans="2:9">
      <c r="B69" s="23"/>
      <c r="C69" s="34" t="s">
        <v>127</v>
      </c>
      <c r="D69" s="34" t="s">
        <v>932</v>
      </c>
      <c r="E69" s="34" t="s">
        <v>828</v>
      </c>
      <c r="F69" s="24" t="s">
        <v>23</v>
      </c>
      <c r="G69" s="34" t="s">
        <v>829</v>
      </c>
      <c r="H69" s="34" t="s">
        <v>830</v>
      </c>
      <c r="I69" s="35"/>
    </row>
    <row r="70" spans="2:9">
      <c r="B70" s="23"/>
      <c r="C70" s="34" t="s">
        <v>130</v>
      </c>
      <c r="D70" s="34" t="s">
        <v>933</v>
      </c>
      <c r="E70" s="34" t="s">
        <v>828</v>
      </c>
      <c r="F70" s="24" t="s">
        <v>23</v>
      </c>
      <c r="G70" s="34" t="s">
        <v>829</v>
      </c>
      <c r="H70" s="34" t="s">
        <v>830</v>
      </c>
      <c r="I70" s="35"/>
    </row>
    <row r="71" spans="2:9">
      <c r="B71" s="23"/>
      <c r="C71" s="34" t="s">
        <v>133</v>
      </c>
      <c r="D71" s="34" t="s">
        <v>934</v>
      </c>
      <c r="E71" s="34" t="s">
        <v>828</v>
      </c>
      <c r="F71" s="24" t="s">
        <v>23</v>
      </c>
      <c r="G71" s="34" t="s">
        <v>829</v>
      </c>
      <c r="H71" s="34" t="s">
        <v>830</v>
      </c>
      <c r="I71" s="35"/>
    </row>
    <row r="72" spans="2:9">
      <c r="B72" s="23"/>
      <c r="C72" s="34" t="s">
        <v>935</v>
      </c>
      <c r="D72" s="34" t="s">
        <v>936</v>
      </c>
      <c r="E72" s="34" t="s">
        <v>828</v>
      </c>
      <c r="F72" s="24" t="s">
        <v>23</v>
      </c>
      <c r="G72" s="34" t="s">
        <v>829</v>
      </c>
      <c r="H72" s="34" t="s">
        <v>830</v>
      </c>
      <c r="I72" s="35"/>
    </row>
    <row r="73" spans="2:9">
      <c r="B73" s="23"/>
      <c r="C73" s="34" t="s">
        <v>136</v>
      </c>
      <c r="D73" s="34" t="s">
        <v>937</v>
      </c>
      <c r="E73" s="34" t="s">
        <v>828</v>
      </c>
      <c r="F73" s="24" t="s">
        <v>23</v>
      </c>
      <c r="G73" s="34" t="s">
        <v>829</v>
      </c>
      <c r="H73" s="34" t="s">
        <v>830</v>
      </c>
      <c r="I73" s="35"/>
    </row>
    <row r="74" spans="2:9">
      <c r="B74" s="23"/>
      <c r="C74" s="34" t="s">
        <v>938</v>
      </c>
      <c r="D74" s="34" t="s">
        <v>939</v>
      </c>
      <c r="E74" s="34" t="s">
        <v>828</v>
      </c>
      <c r="F74" s="24" t="s">
        <v>23</v>
      </c>
      <c r="G74" s="34" t="s">
        <v>829</v>
      </c>
      <c r="H74" s="34" t="s">
        <v>830</v>
      </c>
      <c r="I74" s="35"/>
    </row>
    <row r="75" spans="2:9">
      <c r="B75" s="23"/>
      <c r="C75" s="34" t="s">
        <v>139</v>
      </c>
      <c r="D75" s="34" t="s">
        <v>940</v>
      </c>
      <c r="E75" s="34" t="s">
        <v>828</v>
      </c>
      <c r="F75" s="24" t="s">
        <v>23</v>
      </c>
      <c r="G75" s="34" t="s">
        <v>829</v>
      </c>
      <c r="H75" s="34" t="s">
        <v>830</v>
      </c>
      <c r="I75" s="35"/>
    </row>
    <row r="76" spans="2:9">
      <c r="B76" s="23"/>
      <c r="C76" s="34" t="s">
        <v>141</v>
      </c>
      <c r="D76" s="34" t="s">
        <v>941</v>
      </c>
      <c r="E76" s="34" t="s">
        <v>828</v>
      </c>
      <c r="F76" s="24" t="s">
        <v>23</v>
      </c>
      <c r="G76" s="34" t="s">
        <v>829</v>
      </c>
      <c r="H76" s="34" t="s">
        <v>830</v>
      </c>
      <c r="I76" s="35"/>
    </row>
    <row r="77" spans="2:9">
      <c r="B77" s="23"/>
      <c r="C77" s="34" t="s">
        <v>143</v>
      </c>
      <c r="D77" s="34" t="s">
        <v>942</v>
      </c>
      <c r="E77" s="34" t="s">
        <v>828</v>
      </c>
      <c r="F77" s="24" t="s">
        <v>23</v>
      </c>
      <c r="G77" s="34" t="s">
        <v>829</v>
      </c>
      <c r="H77" s="34" t="s">
        <v>830</v>
      </c>
      <c r="I77" s="35"/>
    </row>
    <row r="78" spans="2:9">
      <c r="B78" s="23"/>
      <c r="C78" s="34" t="s">
        <v>943</v>
      </c>
      <c r="D78" s="34" t="s">
        <v>944</v>
      </c>
      <c r="E78" s="34" t="s">
        <v>828</v>
      </c>
      <c r="F78" s="25" t="s">
        <v>86</v>
      </c>
      <c r="G78" s="34" t="s">
        <v>829</v>
      </c>
      <c r="H78" s="34" t="s">
        <v>830</v>
      </c>
      <c r="I78" s="35"/>
    </row>
    <row r="79" spans="2:9">
      <c r="B79" s="23"/>
      <c r="C79" s="34" t="s">
        <v>145</v>
      </c>
      <c r="D79" s="34" t="s">
        <v>945</v>
      </c>
      <c r="E79" s="34" t="s">
        <v>828</v>
      </c>
      <c r="F79" s="24" t="s">
        <v>23</v>
      </c>
      <c r="G79" s="34" t="s">
        <v>829</v>
      </c>
      <c r="H79" s="34" t="s">
        <v>830</v>
      </c>
      <c r="I79" s="35"/>
    </row>
    <row r="80" spans="2:9">
      <c r="B80" s="23"/>
      <c r="C80" s="34" t="s">
        <v>147</v>
      </c>
      <c r="D80" s="34" t="s">
        <v>946</v>
      </c>
      <c r="E80" s="34" t="s">
        <v>828</v>
      </c>
      <c r="F80" s="24" t="s">
        <v>23</v>
      </c>
      <c r="G80" s="34" t="s">
        <v>829</v>
      </c>
      <c r="H80" s="34" t="s">
        <v>830</v>
      </c>
      <c r="I80" s="35"/>
    </row>
    <row r="81" spans="2:9">
      <c r="B81" s="23"/>
      <c r="C81" s="34" t="s">
        <v>150</v>
      </c>
      <c r="D81" s="34" t="s">
        <v>947</v>
      </c>
      <c r="E81" s="34" t="s">
        <v>828</v>
      </c>
      <c r="F81" s="24" t="s">
        <v>23</v>
      </c>
      <c r="G81" s="34" t="s">
        <v>829</v>
      </c>
      <c r="H81" s="34" t="s">
        <v>830</v>
      </c>
      <c r="I81" s="35"/>
    </row>
    <row r="82" spans="2:9">
      <c r="B82" s="23"/>
      <c r="C82" s="34" t="s">
        <v>152</v>
      </c>
      <c r="D82" s="34" t="s">
        <v>948</v>
      </c>
      <c r="E82" s="34" t="s">
        <v>828</v>
      </c>
      <c r="F82" s="24" t="s">
        <v>23</v>
      </c>
      <c r="G82" s="34" t="s">
        <v>829</v>
      </c>
      <c r="H82" s="34" t="s">
        <v>830</v>
      </c>
      <c r="I82" s="35"/>
    </row>
    <row r="83" spans="2:9">
      <c r="B83" s="23"/>
      <c r="C83" s="34" t="s">
        <v>154</v>
      </c>
      <c r="D83" s="34" t="s">
        <v>949</v>
      </c>
      <c r="E83" s="34" t="s">
        <v>828</v>
      </c>
      <c r="F83" s="24" t="s">
        <v>23</v>
      </c>
      <c r="G83" s="34" t="s">
        <v>829</v>
      </c>
      <c r="H83" s="34" t="s">
        <v>830</v>
      </c>
      <c r="I83" s="35"/>
    </row>
    <row r="84" spans="2:9">
      <c r="B84" s="23"/>
      <c r="C84" s="34" t="s">
        <v>157</v>
      </c>
      <c r="D84" s="34" t="s">
        <v>950</v>
      </c>
      <c r="E84" s="34" t="s">
        <v>828</v>
      </c>
      <c r="F84" s="25" t="s">
        <v>86</v>
      </c>
      <c r="G84" s="34" t="s">
        <v>829</v>
      </c>
      <c r="H84" s="34" t="s">
        <v>830</v>
      </c>
      <c r="I84" s="35"/>
    </row>
    <row r="85" spans="2:9">
      <c r="B85" s="23"/>
      <c r="C85" s="34" t="s">
        <v>160</v>
      </c>
      <c r="D85" s="34" t="s">
        <v>951</v>
      </c>
      <c r="E85" s="34" t="s">
        <v>839</v>
      </c>
      <c r="F85" s="24" t="s">
        <v>23</v>
      </c>
      <c r="G85" s="34" t="s">
        <v>829</v>
      </c>
      <c r="H85" s="34" t="s">
        <v>830</v>
      </c>
      <c r="I85" s="35"/>
    </row>
    <row r="86" spans="2:9">
      <c r="B86" s="23"/>
      <c r="C86" s="34" t="s">
        <v>952</v>
      </c>
      <c r="D86" s="34" t="s">
        <v>953</v>
      </c>
      <c r="E86" s="34" t="s">
        <v>828</v>
      </c>
      <c r="F86" s="24" t="s">
        <v>23</v>
      </c>
      <c r="G86" s="34" t="s">
        <v>829</v>
      </c>
      <c r="H86" s="34" t="s">
        <v>830</v>
      </c>
      <c r="I86" s="35"/>
    </row>
    <row r="87" spans="2:9">
      <c r="B87" s="23"/>
      <c r="C87" s="34" t="s">
        <v>163</v>
      </c>
      <c r="D87" s="34" t="s">
        <v>954</v>
      </c>
      <c r="E87" s="34" t="s">
        <v>828</v>
      </c>
      <c r="F87" s="24" t="s">
        <v>23</v>
      </c>
      <c r="G87" s="34" t="s">
        <v>829</v>
      </c>
      <c r="H87" s="34" t="s">
        <v>830</v>
      </c>
      <c r="I87" s="35"/>
    </row>
    <row r="88" spans="2:9">
      <c r="B88" s="23"/>
      <c r="C88" s="34" t="s">
        <v>955</v>
      </c>
      <c r="D88" s="34" t="s">
        <v>956</v>
      </c>
      <c r="E88" s="34" t="s">
        <v>828</v>
      </c>
      <c r="F88" s="24" t="s">
        <v>23</v>
      </c>
      <c r="G88" s="34" t="s">
        <v>829</v>
      </c>
      <c r="H88" s="34" t="s">
        <v>830</v>
      </c>
      <c r="I88" s="35"/>
    </row>
    <row r="89" spans="2:9">
      <c r="B89" s="23"/>
      <c r="C89" s="34" t="s">
        <v>166</v>
      </c>
      <c r="D89" s="34" t="s">
        <v>957</v>
      </c>
      <c r="E89" s="34" t="s">
        <v>828</v>
      </c>
      <c r="F89" s="24" t="s">
        <v>23</v>
      </c>
      <c r="G89" s="34" t="s">
        <v>829</v>
      </c>
      <c r="H89" s="34" t="s">
        <v>830</v>
      </c>
      <c r="I89" s="35"/>
    </row>
    <row r="90" spans="2:9">
      <c r="B90" s="23"/>
      <c r="C90" s="34" t="s">
        <v>170</v>
      </c>
      <c r="D90" s="34" t="s">
        <v>958</v>
      </c>
      <c r="E90" s="34" t="s">
        <v>828</v>
      </c>
      <c r="F90" s="24" t="s">
        <v>23</v>
      </c>
      <c r="G90" s="34" t="s">
        <v>829</v>
      </c>
      <c r="H90" s="34" t="s">
        <v>830</v>
      </c>
      <c r="I90" s="35"/>
    </row>
    <row r="91" spans="2:9">
      <c r="B91" s="23"/>
      <c r="C91" s="34" t="s">
        <v>173</v>
      </c>
      <c r="D91" s="34" t="s">
        <v>959</v>
      </c>
      <c r="E91" s="34" t="s">
        <v>828</v>
      </c>
      <c r="F91" s="24" t="s">
        <v>23</v>
      </c>
      <c r="G91" s="34" t="s">
        <v>829</v>
      </c>
      <c r="H91" s="34" t="s">
        <v>830</v>
      </c>
      <c r="I91" s="35"/>
    </row>
    <row r="92" spans="2:9">
      <c r="B92" s="23"/>
      <c r="C92" s="34" t="s">
        <v>960</v>
      </c>
      <c r="D92" s="34" t="s">
        <v>961</v>
      </c>
      <c r="E92" s="34" t="s">
        <v>839</v>
      </c>
      <c r="F92" s="26" t="s">
        <v>82</v>
      </c>
      <c r="G92" s="34" t="s">
        <v>829</v>
      </c>
      <c r="H92" s="34" t="s">
        <v>830</v>
      </c>
      <c r="I92" s="35"/>
    </row>
    <row r="93" spans="2:9">
      <c r="B93" s="23"/>
      <c r="C93" s="34" t="s">
        <v>175</v>
      </c>
      <c r="D93" s="34" t="s">
        <v>962</v>
      </c>
      <c r="E93" s="34" t="s">
        <v>828</v>
      </c>
      <c r="F93" s="24" t="s">
        <v>23</v>
      </c>
      <c r="G93" s="34" t="s">
        <v>829</v>
      </c>
      <c r="H93" s="34" t="s">
        <v>830</v>
      </c>
      <c r="I93" s="35"/>
    </row>
    <row r="94" spans="2:9">
      <c r="B94" s="23"/>
      <c r="C94" s="34" t="s">
        <v>963</v>
      </c>
      <c r="D94" s="34" t="s">
        <v>964</v>
      </c>
      <c r="E94" s="34" t="s">
        <v>828</v>
      </c>
      <c r="F94" s="24" t="s">
        <v>23</v>
      </c>
      <c r="G94" s="34" t="s">
        <v>829</v>
      </c>
      <c r="H94" s="34" t="s">
        <v>830</v>
      </c>
      <c r="I94" s="35"/>
    </row>
    <row r="95" spans="2:9">
      <c r="B95" s="23"/>
      <c r="C95" s="34" t="s">
        <v>178</v>
      </c>
      <c r="D95" s="34" t="s">
        <v>965</v>
      </c>
      <c r="E95" s="34" t="s">
        <v>828</v>
      </c>
      <c r="F95" s="24" t="s">
        <v>23</v>
      </c>
      <c r="G95" s="34" t="s">
        <v>829</v>
      </c>
      <c r="H95" s="34" t="s">
        <v>830</v>
      </c>
      <c r="I95" s="35"/>
    </row>
    <row r="96" spans="2:9">
      <c r="B96" s="23"/>
      <c r="C96" s="34" t="s">
        <v>181</v>
      </c>
      <c r="D96" s="34" t="s">
        <v>966</v>
      </c>
      <c r="E96" s="34" t="s">
        <v>828</v>
      </c>
      <c r="F96" s="24" t="s">
        <v>23</v>
      </c>
      <c r="G96" s="34" t="s">
        <v>829</v>
      </c>
      <c r="H96" s="34" t="s">
        <v>830</v>
      </c>
      <c r="I96" s="35"/>
    </row>
    <row r="97" spans="2:9">
      <c r="B97" s="23"/>
      <c r="C97" s="34" t="s">
        <v>967</v>
      </c>
      <c r="D97" s="34" t="s">
        <v>968</v>
      </c>
      <c r="E97" s="34" t="s">
        <v>828</v>
      </c>
      <c r="F97" s="25" t="s">
        <v>86</v>
      </c>
      <c r="G97" s="34" t="s">
        <v>829</v>
      </c>
      <c r="H97" s="34" t="s">
        <v>830</v>
      </c>
      <c r="I97" s="35"/>
    </row>
    <row r="98" spans="2:9">
      <c r="B98" s="23"/>
      <c r="C98" s="34" t="s">
        <v>184</v>
      </c>
      <c r="D98" s="34" t="s">
        <v>969</v>
      </c>
      <c r="E98" s="34" t="s">
        <v>828</v>
      </c>
      <c r="F98" s="24" t="s">
        <v>23</v>
      </c>
      <c r="G98" s="34" t="s">
        <v>829</v>
      </c>
      <c r="H98" s="34" t="s">
        <v>830</v>
      </c>
      <c r="I98" s="35"/>
    </row>
    <row r="99" spans="2:9">
      <c r="B99" s="23"/>
      <c r="C99" s="34" t="s">
        <v>970</v>
      </c>
      <c r="D99" s="34" t="s">
        <v>971</v>
      </c>
      <c r="E99" s="34" t="s">
        <v>828</v>
      </c>
      <c r="F99" s="24" t="s">
        <v>23</v>
      </c>
      <c r="G99" s="34" t="s">
        <v>829</v>
      </c>
      <c r="H99" s="34" t="s">
        <v>830</v>
      </c>
      <c r="I99" s="35"/>
    </row>
    <row r="100" spans="2:9">
      <c r="B100" s="23"/>
      <c r="C100" s="34" t="s">
        <v>972</v>
      </c>
      <c r="D100" s="34" t="s">
        <v>973</v>
      </c>
      <c r="E100" s="34" t="s">
        <v>828</v>
      </c>
      <c r="F100" s="24" t="s">
        <v>23</v>
      </c>
      <c r="G100" s="34" t="s">
        <v>829</v>
      </c>
      <c r="H100" s="34" t="s">
        <v>830</v>
      </c>
      <c r="I100" s="35"/>
    </row>
    <row r="101" spans="2:9">
      <c r="B101" s="23"/>
      <c r="C101" s="34" t="s">
        <v>187</v>
      </c>
      <c r="D101" s="34" t="s">
        <v>974</v>
      </c>
      <c r="E101" s="34" t="s">
        <v>828</v>
      </c>
      <c r="F101" s="24" t="s">
        <v>23</v>
      </c>
      <c r="G101" s="34" t="s">
        <v>829</v>
      </c>
      <c r="H101" s="34" t="s">
        <v>830</v>
      </c>
      <c r="I101" s="35"/>
    </row>
    <row r="102" spans="2:9">
      <c r="B102" s="27"/>
      <c r="C102" s="36" t="s">
        <v>189</v>
      </c>
      <c r="D102" s="36" t="s">
        <v>975</v>
      </c>
      <c r="E102" s="36" t="s">
        <v>828</v>
      </c>
      <c r="F102" s="29" t="s">
        <v>23</v>
      </c>
      <c r="G102" s="36" t="s">
        <v>829</v>
      </c>
      <c r="H102" s="36" t="s">
        <v>830</v>
      </c>
      <c r="I102" s="21"/>
    </row>
    <row r="103" spans="2:9">
      <c r="B103" s="23"/>
      <c r="C103" s="34" t="s">
        <v>191</v>
      </c>
      <c r="D103" s="34" t="s">
        <v>976</v>
      </c>
      <c r="E103" s="34" t="s">
        <v>828</v>
      </c>
      <c r="F103" s="24" t="s">
        <v>23</v>
      </c>
      <c r="G103" s="34" t="s">
        <v>829</v>
      </c>
      <c r="H103" s="34" t="s">
        <v>830</v>
      </c>
      <c r="I103" s="35"/>
    </row>
    <row r="104" spans="2:9">
      <c r="B104" s="23"/>
      <c r="C104" s="34" t="s">
        <v>977</v>
      </c>
      <c r="D104" s="34" t="s">
        <v>978</v>
      </c>
      <c r="E104" s="34" t="s">
        <v>828</v>
      </c>
      <c r="F104" s="25" t="s">
        <v>86</v>
      </c>
      <c r="G104" s="34" t="s">
        <v>829</v>
      </c>
      <c r="H104" s="34" t="s">
        <v>830</v>
      </c>
      <c r="I104" s="35"/>
    </row>
    <row r="105" spans="2:9">
      <c r="B105" s="23"/>
      <c r="C105" s="34" t="s">
        <v>979</v>
      </c>
      <c r="D105" s="34" t="s">
        <v>980</v>
      </c>
      <c r="E105" s="34" t="s">
        <v>828</v>
      </c>
      <c r="F105" s="25" t="s">
        <v>86</v>
      </c>
      <c r="G105" s="34" t="s">
        <v>829</v>
      </c>
      <c r="H105" s="34" t="s">
        <v>830</v>
      </c>
      <c r="I105" s="35"/>
    </row>
    <row r="106" spans="2:9">
      <c r="B106" s="23"/>
      <c r="C106" s="34" t="s">
        <v>981</v>
      </c>
      <c r="D106" s="34" t="s">
        <v>982</v>
      </c>
      <c r="E106" s="34" t="s">
        <v>828</v>
      </c>
      <c r="F106" s="24" t="s">
        <v>23</v>
      </c>
      <c r="G106" s="34" t="s">
        <v>829</v>
      </c>
      <c r="H106" s="34" t="s">
        <v>830</v>
      </c>
      <c r="I106" s="35"/>
    </row>
    <row r="107" spans="2:9">
      <c r="B107" s="23"/>
      <c r="C107" s="34" t="s">
        <v>983</v>
      </c>
      <c r="D107" s="34" t="s">
        <v>984</v>
      </c>
      <c r="E107" s="34" t="s">
        <v>828</v>
      </c>
      <c r="F107" s="26" t="s">
        <v>82</v>
      </c>
      <c r="G107" s="34" t="s">
        <v>829</v>
      </c>
      <c r="H107" s="34" t="s">
        <v>830</v>
      </c>
      <c r="I107" s="35"/>
    </row>
    <row r="108" spans="2:9">
      <c r="B108" s="23"/>
      <c r="C108" s="34" t="s">
        <v>197</v>
      </c>
      <c r="D108" s="34" t="s">
        <v>985</v>
      </c>
      <c r="E108" s="34" t="s">
        <v>828</v>
      </c>
      <c r="F108" s="24" t="s">
        <v>23</v>
      </c>
      <c r="G108" s="34" t="s">
        <v>829</v>
      </c>
      <c r="H108" s="34" t="s">
        <v>830</v>
      </c>
      <c r="I108" s="35"/>
    </row>
    <row r="109" spans="2:9">
      <c r="B109" s="23"/>
      <c r="C109" s="34" t="s">
        <v>986</v>
      </c>
      <c r="D109" s="34" t="s">
        <v>987</v>
      </c>
      <c r="E109" s="34" t="s">
        <v>828</v>
      </c>
      <c r="F109" s="26" t="s">
        <v>82</v>
      </c>
      <c r="G109" s="34" t="s">
        <v>829</v>
      </c>
      <c r="H109" s="34" t="s">
        <v>830</v>
      </c>
      <c r="I109" s="35"/>
    </row>
    <row r="110" spans="2:9">
      <c r="B110" s="23"/>
      <c r="C110" s="34" t="s">
        <v>988</v>
      </c>
      <c r="D110" s="34" t="s">
        <v>989</v>
      </c>
      <c r="E110" s="34" t="s">
        <v>828</v>
      </c>
      <c r="F110" s="24" t="s">
        <v>23</v>
      </c>
      <c r="G110" s="34" t="s">
        <v>829</v>
      </c>
      <c r="H110" s="34" t="s">
        <v>830</v>
      </c>
      <c r="I110" s="35"/>
    </row>
    <row r="111" spans="2:9">
      <c r="B111" s="23"/>
      <c r="C111" s="34" t="s">
        <v>200</v>
      </c>
      <c r="D111" s="34" t="s">
        <v>990</v>
      </c>
      <c r="E111" s="34" t="s">
        <v>828</v>
      </c>
      <c r="F111" s="24" t="s">
        <v>23</v>
      </c>
      <c r="G111" s="34" t="s">
        <v>829</v>
      </c>
      <c r="H111" s="34" t="s">
        <v>830</v>
      </c>
      <c r="I111" s="35"/>
    </row>
    <row r="112" spans="2:9">
      <c r="B112" s="23"/>
      <c r="C112" s="34" t="s">
        <v>202</v>
      </c>
      <c r="D112" s="34" t="s">
        <v>991</v>
      </c>
      <c r="E112" s="34" t="s">
        <v>828</v>
      </c>
      <c r="F112" s="24" t="s">
        <v>23</v>
      </c>
      <c r="G112" s="34" t="s">
        <v>829</v>
      </c>
      <c r="H112" s="34" t="s">
        <v>830</v>
      </c>
      <c r="I112" s="35"/>
    </row>
    <row r="113" spans="2:9">
      <c r="B113" s="23"/>
      <c r="C113" s="34" t="s">
        <v>204</v>
      </c>
      <c r="D113" s="34" t="s">
        <v>992</v>
      </c>
      <c r="E113" s="34" t="s">
        <v>828</v>
      </c>
      <c r="F113" s="24" t="s">
        <v>23</v>
      </c>
      <c r="G113" s="34" t="s">
        <v>829</v>
      </c>
      <c r="H113" s="34" t="s">
        <v>830</v>
      </c>
      <c r="I113" s="35"/>
    </row>
    <row r="114" spans="2:9">
      <c r="B114" s="23"/>
      <c r="C114" s="34" t="s">
        <v>206</v>
      </c>
      <c r="D114" s="34" t="s">
        <v>993</v>
      </c>
      <c r="E114" s="34" t="s">
        <v>828</v>
      </c>
      <c r="F114" s="24" t="s">
        <v>23</v>
      </c>
      <c r="G114" s="34" t="s">
        <v>829</v>
      </c>
      <c r="H114" s="34" t="s">
        <v>830</v>
      </c>
      <c r="I114" s="35"/>
    </row>
    <row r="115" spans="2:9">
      <c r="B115" s="23"/>
      <c r="C115" s="34" t="s">
        <v>208</v>
      </c>
      <c r="D115" s="34" t="s">
        <v>994</v>
      </c>
      <c r="E115" s="34" t="s">
        <v>828</v>
      </c>
      <c r="F115" s="24" t="s">
        <v>23</v>
      </c>
      <c r="G115" s="34" t="s">
        <v>829</v>
      </c>
      <c r="H115" s="34" t="s">
        <v>830</v>
      </c>
      <c r="I115" s="35"/>
    </row>
    <row r="116" spans="2:9">
      <c r="B116" s="23"/>
      <c r="C116" s="34" t="s">
        <v>210</v>
      </c>
      <c r="D116" s="34" t="s">
        <v>995</v>
      </c>
      <c r="E116" s="34" t="s">
        <v>828</v>
      </c>
      <c r="F116" s="24" t="s">
        <v>23</v>
      </c>
      <c r="G116" s="34" t="s">
        <v>829</v>
      </c>
      <c r="H116" s="34" t="s">
        <v>830</v>
      </c>
      <c r="I116" s="35"/>
    </row>
    <row r="117" spans="2:9">
      <c r="B117" s="23"/>
      <c r="C117" s="34" t="s">
        <v>212</v>
      </c>
      <c r="D117" s="34" t="s">
        <v>996</v>
      </c>
      <c r="E117" s="34" t="s">
        <v>828</v>
      </c>
      <c r="F117" s="24" t="s">
        <v>23</v>
      </c>
      <c r="G117" s="34" t="s">
        <v>829</v>
      </c>
      <c r="H117" s="34" t="s">
        <v>830</v>
      </c>
      <c r="I117" s="35"/>
    </row>
    <row r="118" spans="2:9">
      <c r="B118" s="23"/>
      <c r="C118" s="34" t="s">
        <v>214</v>
      </c>
      <c r="D118" s="34" t="s">
        <v>997</v>
      </c>
      <c r="E118" s="34" t="s">
        <v>828</v>
      </c>
      <c r="F118" s="24" t="s">
        <v>23</v>
      </c>
      <c r="G118" s="34" t="s">
        <v>829</v>
      </c>
      <c r="H118" s="34" t="s">
        <v>830</v>
      </c>
      <c r="I118" s="35"/>
    </row>
    <row r="119" spans="2:9">
      <c r="B119" s="23"/>
      <c r="C119" s="34" t="s">
        <v>998</v>
      </c>
      <c r="D119" s="34" t="s">
        <v>999</v>
      </c>
      <c r="E119" s="34" t="s">
        <v>828</v>
      </c>
      <c r="F119" s="30" t="s">
        <v>1000</v>
      </c>
      <c r="G119" s="34" t="s">
        <v>830</v>
      </c>
      <c r="H119" s="34" t="s">
        <v>830</v>
      </c>
      <c r="I119" s="35"/>
    </row>
    <row r="120" spans="2:9">
      <c r="B120" s="23"/>
      <c r="C120" s="34" t="s">
        <v>1001</v>
      </c>
      <c r="D120" s="34" t="s">
        <v>1002</v>
      </c>
      <c r="E120" s="34" t="s">
        <v>828</v>
      </c>
      <c r="F120" s="24" t="s">
        <v>23</v>
      </c>
      <c r="G120" s="34" t="s">
        <v>829</v>
      </c>
      <c r="H120" s="34" t="s">
        <v>830</v>
      </c>
      <c r="I120" s="35"/>
    </row>
    <row r="121" spans="2:9">
      <c r="B121" s="23"/>
      <c r="C121" s="34" t="s">
        <v>1003</v>
      </c>
      <c r="D121" s="34" t="s">
        <v>1004</v>
      </c>
      <c r="E121" s="34" t="s">
        <v>828</v>
      </c>
      <c r="F121" s="25" t="s">
        <v>86</v>
      </c>
      <c r="G121" s="34" t="s">
        <v>829</v>
      </c>
      <c r="H121" s="34" t="s">
        <v>830</v>
      </c>
      <c r="I121" s="35"/>
    </row>
    <row r="122" spans="2:9">
      <c r="B122" s="23"/>
      <c r="C122" s="34" t="s">
        <v>216</v>
      </c>
      <c r="D122" s="34" t="s">
        <v>1005</v>
      </c>
      <c r="E122" s="34" t="s">
        <v>828</v>
      </c>
      <c r="F122" s="24" t="s">
        <v>23</v>
      </c>
      <c r="G122" s="34" t="s">
        <v>829</v>
      </c>
      <c r="H122" s="34" t="s">
        <v>830</v>
      </c>
      <c r="I122" s="35"/>
    </row>
    <row r="123" spans="2:9">
      <c r="B123" s="23"/>
      <c r="C123" s="34" t="s">
        <v>219</v>
      </c>
      <c r="D123" s="34" t="s">
        <v>1006</v>
      </c>
      <c r="E123" s="34" t="s">
        <v>828</v>
      </c>
      <c r="F123" s="24" t="s">
        <v>23</v>
      </c>
      <c r="G123" s="34" t="s">
        <v>829</v>
      </c>
      <c r="H123" s="34" t="s">
        <v>830</v>
      </c>
      <c r="I123" s="35"/>
    </row>
    <row r="124" spans="2:9">
      <c r="B124" s="23"/>
      <c r="C124" s="34" t="s">
        <v>1007</v>
      </c>
      <c r="D124" s="34" t="s">
        <v>1008</v>
      </c>
      <c r="E124" s="34" t="s">
        <v>828</v>
      </c>
      <c r="F124" s="26" t="s">
        <v>82</v>
      </c>
      <c r="G124" s="34" t="s">
        <v>829</v>
      </c>
      <c r="H124" s="34" t="s">
        <v>830</v>
      </c>
      <c r="I124" s="35"/>
    </row>
    <row r="125" spans="2:9">
      <c r="B125" s="23"/>
      <c r="C125" s="34" t="s">
        <v>1009</v>
      </c>
      <c r="D125" s="34" t="s">
        <v>1010</v>
      </c>
      <c r="E125" s="34" t="s">
        <v>924</v>
      </c>
      <c r="F125" s="30" t="s">
        <v>1000</v>
      </c>
      <c r="G125" s="34" t="s">
        <v>830</v>
      </c>
      <c r="H125" s="34" t="s">
        <v>830</v>
      </c>
      <c r="I125" s="35"/>
    </row>
    <row r="126" spans="2:9">
      <c r="B126" s="23"/>
      <c r="C126" s="34" t="s">
        <v>221</v>
      </c>
      <c r="D126" s="34" t="s">
        <v>1011</v>
      </c>
      <c r="E126" s="34" t="s">
        <v>828</v>
      </c>
      <c r="F126" s="24" t="s">
        <v>23</v>
      </c>
      <c r="G126" s="34" t="s">
        <v>829</v>
      </c>
      <c r="H126" s="34" t="s">
        <v>830</v>
      </c>
      <c r="I126" s="35"/>
    </row>
    <row r="127" spans="2:9">
      <c r="B127" s="23"/>
      <c r="C127" s="34" t="s">
        <v>223</v>
      </c>
      <c r="D127" s="34" t="s">
        <v>1012</v>
      </c>
      <c r="E127" s="34" t="s">
        <v>828</v>
      </c>
      <c r="F127" s="24" t="s">
        <v>23</v>
      </c>
      <c r="G127" s="34" t="s">
        <v>829</v>
      </c>
      <c r="H127" s="34" t="s">
        <v>830</v>
      </c>
      <c r="I127" s="35"/>
    </row>
    <row r="128" spans="2:9">
      <c r="B128" s="23"/>
      <c r="C128" s="34" t="s">
        <v>1013</v>
      </c>
      <c r="D128" s="34" t="s">
        <v>1014</v>
      </c>
      <c r="E128" s="34" t="s">
        <v>828</v>
      </c>
      <c r="F128" s="24" t="s">
        <v>23</v>
      </c>
      <c r="G128" s="34" t="s">
        <v>829</v>
      </c>
      <c r="H128" s="34" t="s">
        <v>830</v>
      </c>
      <c r="I128" s="35"/>
    </row>
    <row r="129" spans="2:9">
      <c r="B129" s="23"/>
      <c r="C129" s="34" t="s">
        <v>1015</v>
      </c>
      <c r="D129" s="34" t="s">
        <v>1016</v>
      </c>
      <c r="E129" s="34" t="s">
        <v>828</v>
      </c>
      <c r="F129" s="24" t="s">
        <v>23</v>
      </c>
      <c r="G129" s="34" t="s">
        <v>829</v>
      </c>
      <c r="H129" s="34" t="s">
        <v>830</v>
      </c>
      <c r="I129" s="35"/>
    </row>
    <row r="130" spans="2:9">
      <c r="B130" s="23"/>
      <c r="C130" s="34" t="s">
        <v>226</v>
      </c>
      <c r="D130" s="34" t="s">
        <v>1017</v>
      </c>
      <c r="E130" s="34" t="s">
        <v>828</v>
      </c>
      <c r="F130" s="24" t="s">
        <v>23</v>
      </c>
      <c r="G130" s="34" t="s">
        <v>829</v>
      </c>
      <c r="H130" s="34" t="s">
        <v>830</v>
      </c>
      <c r="I130" s="35"/>
    </row>
    <row r="131" spans="2:9">
      <c r="B131" s="23"/>
      <c r="C131" s="34" t="s">
        <v>1018</v>
      </c>
      <c r="D131" s="34" t="s">
        <v>1019</v>
      </c>
      <c r="E131" s="34" t="s">
        <v>839</v>
      </c>
      <c r="F131" s="25" t="s">
        <v>86</v>
      </c>
      <c r="G131" s="34" t="s">
        <v>829</v>
      </c>
      <c r="H131" s="34" t="s">
        <v>830</v>
      </c>
      <c r="I131" s="35"/>
    </row>
    <row r="132" spans="2:9">
      <c r="B132" s="23"/>
      <c r="C132" s="34" t="s">
        <v>229</v>
      </c>
      <c r="D132" s="34" t="s">
        <v>1020</v>
      </c>
      <c r="E132" s="34" t="s">
        <v>828</v>
      </c>
      <c r="F132" s="24" t="s">
        <v>23</v>
      </c>
      <c r="G132" s="34" t="s">
        <v>829</v>
      </c>
      <c r="H132" s="34" t="s">
        <v>830</v>
      </c>
      <c r="I132" s="35"/>
    </row>
    <row r="133" spans="2:9">
      <c r="B133" s="23"/>
      <c r="C133" s="34" t="s">
        <v>232</v>
      </c>
      <c r="D133" s="34" t="s">
        <v>1021</v>
      </c>
      <c r="E133" s="34" t="s">
        <v>828</v>
      </c>
      <c r="F133" s="24" t="s">
        <v>23</v>
      </c>
      <c r="G133" s="34" t="s">
        <v>829</v>
      </c>
      <c r="H133" s="34" t="s">
        <v>830</v>
      </c>
      <c r="I133" s="35"/>
    </row>
    <row r="134" spans="2:9">
      <c r="B134" s="23"/>
      <c r="C134" s="34" t="s">
        <v>235</v>
      </c>
      <c r="D134" s="34" t="s">
        <v>1022</v>
      </c>
      <c r="E134" s="34" t="s">
        <v>828</v>
      </c>
      <c r="F134" s="24" t="s">
        <v>23</v>
      </c>
      <c r="G134" s="34" t="s">
        <v>829</v>
      </c>
      <c r="H134" s="34" t="s">
        <v>830</v>
      </c>
      <c r="I134" s="35"/>
    </row>
    <row r="135" spans="2:9">
      <c r="B135" s="23"/>
      <c r="C135" s="34" t="s">
        <v>1023</v>
      </c>
      <c r="D135" s="34" t="s">
        <v>1024</v>
      </c>
      <c r="E135" s="34" t="s">
        <v>828</v>
      </c>
      <c r="F135" s="25" t="s">
        <v>86</v>
      </c>
      <c r="G135" s="34" t="s">
        <v>829</v>
      </c>
      <c r="H135" s="34" t="s">
        <v>830</v>
      </c>
      <c r="I135" s="35"/>
    </row>
    <row r="136" spans="2:9">
      <c r="B136" s="23"/>
      <c r="C136" s="34" t="s">
        <v>237</v>
      </c>
      <c r="D136" s="34" t="s">
        <v>1025</v>
      </c>
      <c r="E136" s="34" t="s">
        <v>828</v>
      </c>
      <c r="F136" s="24" t="s">
        <v>23</v>
      </c>
      <c r="G136" s="34" t="s">
        <v>829</v>
      </c>
      <c r="H136" s="34" t="s">
        <v>830</v>
      </c>
      <c r="I136" s="35"/>
    </row>
    <row r="137" spans="2:9">
      <c r="B137" s="23"/>
      <c r="C137" s="34" t="s">
        <v>240</v>
      </c>
      <c r="D137" s="34" t="s">
        <v>1026</v>
      </c>
      <c r="E137" s="34" t="s">
        <v>828</v>
      </c>
      <c r="F137" s="24" t="s">
        <v>23</v>
      </c>
      <c r="G137" s="34" t="s">
        <v>829</v>
      </c>
      <c r="H137" s="34" t="s">
        <v>830</v>
      </c>
      <c r="I137" s="35"/>
    </row>
    <row r="138" spans="2:9">
      <c r="B138" s="23"/>
      <c r="C138" s="34" t="s">
        <v>243</v>
      </c>
      <c r="D138" s="34" t="s">
        <v>1027</v>
      </c>
      <c r="E138" s="34" t="s">
        <v>828</v>
      </c>
      <c r="F138" s="24" t="s">
        <v>23</v>
      </c>
      <c r="G138" s="34" t="s">
        <v>829</v>
      </c>
      <c r="H138" s="34" t="s">
        <v>830</v>
      </c>
      <c r="I138" s="35"/>
    </row>
    <row r="139" spans="2:9">
      <c r="B139" s="23"/>
      <c r="C139" s="34" t="s">
        <v>246</v>
      </c>
      <c r="D139" s="34" t="s">
        <v>1028</v>
      </c>
      <c r="E139" s="34" t="s">
        <v>828</v>
      </c>
      <c r="F139" s="24" t="s">
        <v>23</v>
      </c>
      <c r="G139" s="34" t="s">
        <v>829</v>
      </c>
      <c r="H139" s="34" t="s">
        <v>830</v>
      </c>
      <c r="I139" s="35"/>
    </row>
    <row r="140" spans="2:9">
      <c r="B140" s="23"/>
      <c r="C140" s="34" t="s">
        <v>249</v>
      </c>
      <c r="D140" s="34" t="s">
        <v>1029</v>
      </c>
      <c r="E140" s="34" t="s">
        <v>828</v>
      </c>
      <c r="F140" s="24" t="s">
        <v>23</v>
      </c>
      <c r="G140" s="34" t="s">
        <v>829</v>
      </c>
      <c r="H140" s="34" t="s">
        <v>830</v>
      </c>
      <c r="I140" s="35"/>
    </row>
    <row r="141" spans="2:9">
      <c r="B141" s="23"/>
      <c r="C141" s="34" t="s">
        <v>251</v>
      </c>
      <c r="D141" s="34" t="s">
        <v>1030</v>
      </c>
      <c r="E141" s="34" t="s">
        <v>828</v>
      </c>
      <c r="F141" s="24" t="s">
        <v>23</v>
      </c>
      <c r="G141" s="34" t="s">
        <v>829</v>
      </c>
      <c r="H141" s="34" t="s">
        <v>830</v>
      </c>
      <c r="I141" s="35"/>
    </row>
    <row r="142" spans="2:9">
      <c r="B142" s="23"/>
      <c r="C142" s="34" t="s">
        <v>1031</v>
      </c>
      <c r="D142" s="34" t="s">
        <v>1032</v>
      </c>
      <c r="E142" s="34" t="s">
        <v>828</v>
      </c>
      <c r="F142" s="24" t="s">
        <v>23</v>
      </c>
      <c r="G142" s="34" t="s">
        <v>829</v>
      </c>
      <c r="H142" s="34" t="s">
        <v>830</v>
      </c>
      <c r="I142" s="35"/>
    </row>
    <row r="143" spans="2:9">
      <c r="B143" s="23"/>
      <c r="C143" s="34" t="s">
        <v>253</v>
      </c>
      <c r="D143" s="34" t="s">
        <v>1033</v>
      </c>
      <c r="E143" s="34" t="s">
        <v>828</v>
      </c>
      <c r="F143" s="24" t="s">
        <v>23</v>
      </c>
      <c r="G143" s="34" t="s">
        <v>829</v>
      </c>
      <c r="H143" s="34" t="s">
        <v>830</v>
      </c>
      <c r="I143" s="35"/>
    </row>
    <row r="144" spans="2:9">
      <c r="B144" s="23"/>
      <c r="C144" s="34" t="s">
        <v>1034</v>
      </c>
      <c r="D144" s="34" t="s">
        <v>1035</v>
      </c>
      <c r="E144" s="34" t="s">
        <v>828</v>
      </c>
      <c r="F144" s="25" t="s">
        <v>86</v>
      </c>
      <c r="G144" s="34" t="s">
        <v>829</v>
      </c>
      <c r="H144" s="34" t="s">
        <v>830</v>
      </c>
      <c r="I144" s="35"/>
    </row>
    <row r="145" spans="2:9">
      <c r="B145" s="23"/>
      <c r="C145" s="34" t="s">
        <v>255</v>
      </c>
      <c r="D145" s="34" t="s">
        <v>1036</v>
      </c>
      <c r="E145" s="34" t="s">
        <v>828</v>
      </c>
      <c r="F145" s="24" t="s">
        <v>23</v>
      </c>
      <c r="G145" s="34" t="s">
        <v>829</v>
      </c>
      <c r="H145" s="34" t="s">
        <v>830</v>
      </c>
      <c r="I145" s="35"/>
    </row>
    <row r="146" spans="2:9">
      <c r="B146" s="23"/>
      <c r="C146" s="34" t="s">
        <v>1037</v>
      </c>
      <c r="D146" s="34" t="s">
        <v>1038</v>
      </c>
      <c r="E146" s="34" t="s">
        <v>828</v>
      </c>
      <c r="F146" s="25" t="s">
        <v>86</v>
      </c>
      <c r="G146" s="34" t="s">
        <v>829</v>
      </c>
      <c r="H146" s="34" t="s">
        <v>830</v>
      </c>
      <c r="I146" s="35"/>
    </row>
    <row r="147" spans="2:9">
      <c r="B147" s="23"/>
      <c r="C147" s="34" t="s">
        <v>258</v>
      </c>
      <c r="D147" s="34" t="s">
        <v>1039</v>
      </c>
      <c r="E147" s="34" t="s">
        <v>828</v>
      </c>
      <c r="F147" s="24" t="s">
        <v>23</v>
      </c>
      <c r="G147" s="34" t="s">
        <v>829</v>
      </c>
      <c r="H147" s="34" t="s">
        <v>830</v>
      </c>
      <c r="I147" s="35"/>
    </row>
    <row r="148" spans="2:9">
      <c r="B148" s="23"/>
      <c r="C148" s="34" t="s">
        <v>260</v>
      </c>
      <c r="D148" s="34" t="s">
        <v>1040</v>
      </c>
      <c r="E148" s="34" t="s">
        <v>828</v>
      </c>
      <c r="F148" s="24" t="s">
        <v>23</v>
      </c>
      <c r="G148" s="34" t="s">
        <v>829</v>
      </c>
      <c r="H148" s="34" t="s">
        <v>830</v>
      </c>
      <c r="I148" s="35"/>
    </row>
    <row r="149" spans="2:9">
      <c r="B149" s="23"/>
      <c r="C149" s="34" t="s">
        <v>262</v>
      </c>
      <c r="D149" s="34" t="s">
        <v>1041</v>
      </c>
      <c r="E149" s="34" t="s">
        <v>828</v>
      </c>
      <c r="F149" s="24" t="s">
        <v>23</v>
      </c>
      <c r="G149" s="34" t="s">
        <v>829</v>
      </c>
      <c r="H149" s="34" t="s">
        <v>830</v>
      </c>
      <c r="I149" s="35"/>
    </row>
    <row r="150" spans="2:9">
      <c r="B150" s="23"/>
      <c r="C150" s="34" t="s">
        <v>265</v>
      </c>
      <c r="D150" s="34" t="s">
        <v>1042</v>
      </c>
      <c r="E150" s="34" t="s">
        <v>828</v>
      </c>
      <c r="F150" s="24" t="s">
        <v>23</v>
      </c>
      <c r="G150" s="34" t="s">
        <v>829</v>
      </c>
      <c r="H150" s="34" t="s">
        <v>830</v>
      </c>
      <c r="I150" s="35"/>
    </row>
    <row r="151" spans="2:9">
      <c r="B151" s="23"/>
      <c r="C151" s="34" t="s">
        <v>267</v>
      </c>
      <c r="D151" s="34" t="s">
        <v>1043</v>
      </c>
      <c r="E151" s="34" t="s">
        <v>828</v>
      </c>
      <c r="F151" s="24" t="s">
        <v>23</v>
      </c>
      <c r="G151" s="34" t="s">
        <v>829</v>
      </c>
      <c r="H151" s="34" t="s">
        <v>830</v>
      </c>
      <c r="I151" s="35"/>
    </row>
    <row r="152" spans="2:9">
      <c r="B152" s="27"/>
      <c r="C152" s="36" t="s">
        <v>1044</v>
      </c>
      <c r="D152" s="36" t="s">
        <v>1045</v>
      </c>
      <c r="E152" s="36" t="s">
        <v>828</v>
      </c>
      <c r="F152" s="29" t="s">
        <v>23</v>
      </c>
      <c r="G152" s="36" t="s">
        <v>829</v>
      </c>
      <c r="H152" s="36" t="s">
        <v>830</v>
      </c>
      <c r="I152" s="37"/>
    </row>
    <row r="153" spans="2:9">
      <c r="B153" s="23"/>
      <c r="C153" s="34" t="s">
        <v>269</v>
      </c>
      <c r="D153" s="34" t="s">
        <v>1046</v>
      </c>
      <c r="E153" s="34" t="s">
        <v>828</v>
      </c>
      <c r="F153" s="24" t="s">
        <v>23</v>
      </c>
      <c r="G153" s="34" t="s">
        <v>829</v>
      </c>
      <c r="H153" s="34" t="s">
        <v>830</v>
      </c>
      <c r="I153" s="35"/>
    </row>
    <row r="154" spans="2:9">
      <c r="B154" s="23"/>
      <c r="C154" s="34" t="s">
        <v>1047</v>
      </c>
      <c r="D154" s="34" t="s">
        <v>1048</v>
      </c>
      <c r="E154" s="34" t="s">
        <v>828</v>
      </c>
      <c r="F154" s="25" t="s">
        <v>86</v>
      </c>
      <c r="G154" s="34" t="s">
        <v>829</v>
      </c>
      <c r="H154" s="34" t="s">
        <v>830</v>
      </c>
      <c r="I154" s="35"/>
    </row>
    <row r="155" spans="2:9">
      <c r="B155" s="23"/>
      <c r="C155" s="34" t="s">
        <v>1049</v>
      </c>
      <c r="D155" s="34" t="s">
        <v>1050</v>
      </c>
      <c r="E155" s="34" t="s">
        <v>828</v>
      </c>
      <c r="F155" s="24" t="s">
        <v>23</v>
      </c>
      <c r="G155" s="34" t="s">
        <v>829</v>
      </c>
      <c r="H155" s="34" t="s">
        <v>830</v>
      </c>
      <c r="I155" s="35"/>
    </row>
    <row r="156" spans="2:9">
      <c r="B156" s="23"/>
      <c r="C156" s="34" t="s">
        <v>1051</v>
      </c>
      <c r="D156" s="34" t="s">
        <v>1052</v>
      </c>
      <c r="E156" s="34" t="s">
        <v>828</v>
      </c>
      <c r="F156" s="24" t="s">
        <v>23</v>
      </c>
      <c r="G156" s="34" t="s">
        <v>829</v>
      </c>
      <c r="H156" s="34" t="s">
        <v>830</v>
      </c>
      <c r="I156" s="35"/>
    </row>
    <row r="157" spans="2:9">
      <c r="B157" s="23"/>
      <c r="C157" s="34" t="s">
        <v>271</v>
      </c>
      <c r="D157" s="34" t="s">
        <v>1053</v>
      </c>
      <c r="E157" s="34" t="s">
        <v>828</v>
      </c>
      <c r="F157" s="24" t="s">
        <v>23</v>
      </c>
      <c r="G157" s="34" t="s">
        <v>829</v>
      </c>
      <c r="H157" s="34" t="s">
        <v>830</v>
      </c>
      <c r="I157" s="35"/>
    </row>
    <row r="158" spans="2:9">
      <c r="B158" s="23"/>
      <c r="C158" s="34" t="s">
        <v>273</v>
      </c>
      <c r="D158" s="34" t="s">
        <v>1054</v>
      </c>
      <c r="E158" s="34" t="s">
        <v>828</v>
      </c>
      <c r="F158" s="24" t="s">
        <v>23</v>
      </c>
      <c r="G158" s="34" t="s">
        <v>829</v>
      </c>
      <c r="H158" s="34" t="s">
        <v>830</v>
      </c>
      <c r="I158" s="35"/>
    </row>
    <row r="159" spans="2:9">
      <c r="B159" s="23"/>
      <c r="C159" s="34" t="s">
        <v>275</v>
      </c>
      <c r="D159" s="34" t="s">
        <v>1055</v>
      </c>
      <c r="E159" s="34" t="s">
        <v>828</v>
      </c>
      <c r="F159" s="24" t="s">
        <v>23</v>
      </c>
      <c r="G159" s="34" t="s">
        <v>829</v>
      </c>
      <c r="H159" s="34" t="s">
        <v>830</v>
      </c>
      <c r="I159" s="35"/>
    </row>
    <row r="160" spans="2:9">
      <c r="B160" s="23"/>
      <c r="C160" s="34" t="s">
        <v>1056</v>
      </c>
      <c r="D160" s="34" t="s">
        <v>1057</v>
      </c>
      <c r="E160" s="34" t="s">
        <v>828</v>
      </c>
      <c r="F160" s="24" t="s">
        <v>23</v>
      </c>
      <c r="G160" s="34" t="s">
        <v>829</v>
      </c>
      <c r="H160" s="34" t="s">
        <v>830</v>
      </c>
      <c r="I160" s="35"/>
    </row>
    <row r="161" spans="2:9">
      <c r="B161" s="23"/>
      <c r="C161" s="34" t="s">
        <v>277</v>
      </c>
      <c r="D161" s="34" t="s">
        <v>1058</v>
      </c>
      <c r="E161" s="34" t="s">
        <v>828</v>
      </c>
      <c r="F161" s="24" t="s">
        <v>23</v>
      </c>
      <c r="G161" s="34" t="s">
        <v>829</v>
      </c>
      <c r="H161" s="34" t="s">
        <v>830</v>
      </c>
      <c r="I161" s="35"/>
    </row>
    <row r="162" spans="2:9">
      <c r="B162" s="23"/>
      <c r="C162" s="34" t="s">
        <v>1059</v>
      </c>
      <c r="D162" s="34" t="s">
        <v>1060</v>
      </c>
      <c r="E162" s="34" t="s">
        <v>828</v>
      </c>
      <c r="F162" s="24" t="s">
        <v>23</v>
      </c>
      <c r="G162" s="34" t="s">
        <v>829</v>
      </c>
      <c r="H162" s="34" t="s">
        <v>830</v>
      </c>
      <c r="I162" s="35"/>
    </row>
    <row r="163" spans="2:9">
      <c r="B163" s="23"/>
      <c r="C163" s="34" t="s">
        <v>279</v>
      </c>
      <c r="D163" s="34" t="s">
        <v>1061</v>
      </c>
      <c r="E163" s="34" t="s">
        <v>828</v>
      </c>
      <c r="F163" s="24" t="s">
        <v>23</v>
      </c>
      <c r="G163" s="34" t="s">
        <v>829</v>
      </c>
      <c r="H163" s="34" t="s">
        <v>830</v>
      </c>
      <c r="I163" s="35"/>
    </row>
    <row r="164" spans="2:9">
      <c r="B164" s="23"/>
      <c r="C164" s="34" t="s">
        <v>281</v>
      </c>
      <c r="D164" s="34" t="s">
        <v>1062</v>
      </c>
      <c r="E164" s="34" t="s">
        <v>828</v>
      </c>
      <c r="F164" s="24" t="s">
        <v>23</v>
      </c>
      <c r="G164" s="34" t="s">
        <v>829</v>
      </c>
      <c r="H164" s="34" t="s">
        <v>830</v>
      </c>
      <c r="I164" s="35"/>
    </row>
    <row r="165" spans="2:9">
      <c r="B165" s="23"/>
      <c r="C165" s="34" t="s">
        <v>1063</v>
      </c>
      <c r="D165" s="34" t="s">
        <v>1064</v>
      </c>
      <c r="E165" s="34" t="s">
        <v>828</v>
      </c>
      <c r="F165" s="24" t="s">
        <v>23</v>
      </c>
      <c r="G165" s="34" t="s">
        <v>829</v>
      </c>
      <c r="H165" s="34" t="s">
        <v>830</v>
      </c>
      <c r="I165" s="35"/>
    </row>
    <row r="166" spans="2:9">
      <c r="B166" s="23"/>
      <c r="C166" s="34" t="s">
        <v>283</v>
      </c>
      <c r="D166" s="34" t="s">
        <v>1065</v>
      </c>
      <c r="E166" s="34" t="s">
        <v>828</v>
      </c>
      <c r="F166" s="24" t="s">
        <v>23</v>
      </c>
      <c r="G166" s="34" t="s">
        <v>829</v>
      </c>
      <c r="H166" s="34" t="s">
        <v>830</v>
      </c>
      <c r="I166" s="35"/>
    </row>
    <row r="167" spans="2:9">
      <c r="B167" s="23"/>
      <c r="C167" s="34" t="s">
        <v>1066</v>
      </c>
      <c r="D167" s="34" t="s">
        <v>1067</v>
      </c>
      <c r="E167" s="34" t="s">
        <v>828</v>
      </c>
      <c r="F167" s="24" t="s">
        <v>23</v>
      </c>
      <c r="G167" s="34" t="s">
        <v>829</v>
      </c>
      <c r="H167" s="34" t="s">
        <v>830</v>
      </c>
      <c r="I167" s="35"/>
    </row>
    <row r="168" spans="2:9">
      <c r="B168" s="23"/>
      <c r="C168" s="34" t="s">
        <v>285</v>
      </c>
      <c r="D168" s="34" t="s">
        <v>1068</v>
      </c>
      <c r="E168" s="34" t="s">
        <v>828</v>
      </c>
      <c r="F168" s="24" t="s">
        <v>23</v>
      </c>
      <c r="G168" s="34" t="s">
        <v>829</v>
      </c>
      <c r="H168" s="34" t="s">
        <v>830</v>
      </c>
      <c r="I168" s="35"/>
    </row>
    <row r="169" spans="2:9">
      <c r="B169" s="23"/>
      <c r="C169" s="34" t="s">
        <v>288</v>
      </c>
      <c r="D169" s="34" t="s">
        <v>1069</v>
      </c>
      <c r="E169" s="34" t="s">
        <v>828</v>
      </c>
      <c r="F169" s="24" t="s">
        <v>23</v>
      </c>
      <c r="G169" s="34" t="s">
        <v>829</v>
      </c>
      <c r="H169" s="34" t="s">
        <v>830</v>
      </c>
      <c r="I169" s="35"/>
    </row>
    <row r="170" spans="2:9">
      <c r="B170" s="23"/>
      <c r="C170" s="34" t="s">
        <v>1070</v>
      </c>
      <c r="D170" s="34" t="s">
        <v>1071</v>
      </c>
      <c r="E170" s="34" t="s">
        <v>828</v>
      </c>
      <c r="F170" s="24" t="s">
        <v>23</v>
      </c>
      <c r="G170" s="34" t="s">
        <v>829</v>
      </c>
      <c r="H170" s="34" t="s">
        <v>830</v>
      </c>
      <c r="I170" s="35"/>
    </row>
    <row r="171" spans="2:9">
      <c r="B171" s="23"/>
      <c r="C171" s="34" t="s">
        <v>291</v>
      </c>
      <c r="D171" s="34" t="s">
        <v>1072</v>
      </c>
      <c r="E171" s="34" t="s">
        <v>828</v>
      </c>
      <c r="F171" s="24" t="s">
        <v>23</v>
      </c>
      <c r="G171" s="34" t="s">
        <v>829</v>
      </c>
      <c r="H171" s="34" t="s">
        <v>830</v>
      </c>
      <c r="I171" s="35"/>
    </row>
    <row r="172" spans="2:9">
      <c r="B172" s="23"/>
      <c r="C172" s="34" t="s">
        <v>1073</v>
      </c>
      <c r="D172" s="34" t="s">
        <v>1074</v>
      </c>
      <c r="E172" s="34" t="s">
        <v>828</v>
      </c>
      <c r="F172" s="24" t="s">
        <v>23</v>
      </c>
      <c r="G172" s="34" t="s">
        <v>829</v>
      </c>
      <c r="H172" s="34" t="s">
        <v>830</v>
      </c>
      <c r="I172" s="35"/>
    </row>
    <row r="173" spans="2:9">
      <c r="B173" s="23"/>
      <c r="C173" s="34" t="s">
        <v>1075</v>
      </c>
      <c r="D173" s="34" t="s">
        <v>1076</v>
      </c>
      <c r="E173" s="34" t="s">
        <v>828</v>
      </c>
      <c r="F173" s="24" t="s">
        <v>23</v>
      </c>
      <c r="G173" s="34" t="s">
        <v>829</v>
      </c>
      <c r="H173" s="34" t="s">
        <v>830</v>
      </c>
      <c r="I173" s="35"/>
    </row>
    <row r="174" spans="2:9">
      <c r="B174" s="23"/>
      <c r="C174" s="34" t="s">
        <v>294</v>
      </c>
      <c r="D174" s="34" t="s">
        <v>1077</v>
      </c>
      <c r="E174" s="34" t="s">
        <v>828</v>
      </c>
      <c r="F174" s="24" t="s">
        <v>23</v>
      </c>
      <c r="G174" s="34" t="s">
        <v>829</v>
      </c>
      <c r="H174" s="34" t="s">
        <v>830</v>
      </c>
      <c r="I174" s="35"/>
    </row>
    <row r="175" spans="2:9">
      <c r="B175" s="23"/>
      <c r="C175" s="34" t="s">
        <v>1078</v>
      </c>
      <c r="D175" s="34" t="s">
        <v>1079</v>
      </c>
      <c r="E175" s="34" t="s">
        <v>839</v>
      </c>
      <c r="F175" s="24" t="s">
        <v>23</v>
      </c>
      <c r="G175" s="34" t="s">
        <v>829</v>
      </c>
      <c r="H175" s="34" t="s">
        <v>830</v>
      </c>
      <c r="I175" s="35"/>
    </row>
    <row r="176" spans="2:9">
      <c r="B176" s="23"/>
      <c r="C176" s="34" t="s">
        <v>1080</v>
      </c>
      <c r="D176" s="34" t="s">
        <v>1081</v>
      </c>
      <c r="E176" s="34" t="s">
        <v>828</v>
      </c>
      <c r="F176" s="25" t="s">
        <v>86</v>
      </c>
      <c r="G176" s="34" t="s">
        <v>829</v>
      </c>
      <c r="H176" s="34" t="s">
        <v>830</v>
      </c>
      <c r="I176" s="35"/>
    </row>
    <row r="177" spans="2:9">
      <c r="B177" s="23"/>
      <c r="C177" s="34" t="s">
        <v>1082</v>
      </c>
      <c r="D177" s="34" t="s">
        <v>1083</v>
      </c>
      <c r="E177" s="34" t="s">
        <v>839</v>
      </c>
      <c r="F177" s="25" t="s">
        <v>86</v>
      </c>
      <c r="G177" s="34" t="s">
        <v>829</v>
      </c>
      <c r="H177" s="34" t="s">
        <v>830</v>
      </c>
      <c r="I177" s="35"/>
    </row>
    <row r="178" spans="2:9">
      <c r="B178" s="23"/>
      <c r="C178" s="34" t="s">
        <v>297</v>
      </c>
      <c r="D178" s="34" t="s">
        <v>1084</v>
      </c>
      <c r="E178" s="34" t="s">
        <v>828</v>
      </c>
      <c r="F178" s="24" t="s">
        <v>23</v>
      </c>
      <c r="G178" s="34" t="s">
        <v>829</v>
      </c>
      <c r="H178" s="34" t="s">
        <v>830</v>
      </c>
      <c r="I178" s="35"/>
    </row>
    <row r="179" spans="2:9">
      <c r="B179" s="23"/>
      <c r="C179" s="34" t="s">
        <v>1085</v>
      </c>
      <c r="D179" s="34" t="s">
        <v>1086</v>
      </c>
      <c r="E179" s="34" t="s">
        <v>828</v>
      </c>
      <c r="F179" s="25" t="s">
        <v>86</v>
      </c>
      <c r="G179" s="34" t="s">
        <v>829</v>
      </c>
      <c r="H179" s="34" t="s">
        <v>830</v>
      </c>
      <c r="I179" s="35"/>
    </row>
    <row r="180" spans="2:9">
      <c r="B180" s="23"/>
      <c r="C180" s="34" t="s">
        <v>299</v>
      </c>
      <c r="D180" s="34" t="s">
        <v>1087</v>
      </c>
      <c r="E180" s="34" t="s">
        <v>828</v>
      </c>
      <c r="F180" s="24" t="s">
        <v>23</v>
      </c>
      <c r="G180" s="34" t="s">
        <v>829</v>
      </c>
      <c r="H180" s="34" t="s">
        <v>830</v>
      </c>
      <c r="I180" s="35"/>
    </row>
    <row r="181" spans="2:9">
      <c r="B181" s="23"/>
      <c r="C181" s="34" t="s">
        <v>1088</v>
      </c>
      <c r="D181" s="34" t="s">
        <v>1089</v>
      </c>
      <c r="E181" s="34" t="s">
        <v>828</v>
      </c>
      <c r="F181" s="24" t="s">
        <v>23</v>
      </c>
      <c r="G181" s="34" t="s">
        <v>829</v>
      </c>
      <c r="H181" s="34" t="s">
        <v>830</v>
      </c>
      <c r="I181" s="35"/>
    </row>
    <row r="182" spans="2:9">
      <c r="B182" s="23"/>
      <c r="C182" s="34" t="s">
        <v>301</v>
      </c>
      <c r="D182" s="34" t="s">
        <v>1090</v>
      </c>
      <c r="E182" s="34" t="s">
        <v>828</v>
      </c>
      <c r="F182" s="24" t="s">
        <v>23</v>
      </c>
      <c r="G182" s="34" t="s">
        <v>829</v>
      </c>
      <c r="H182" s="34" t="s">
        <v>830</v>
      </c>
      <c r="I182" s="35"/>
    </row>
    <row r="183" spans="2:9">
      <c r="B183" s="23"/>
      <c r="C183" s="34" t="s">
        <v>1091</v>
      </c>
      <c r="D183" s="34" t="s">
        <v>1092</v>
      </c>
      <c r="E183" s="34" t="s">
        <v>828</v>
      </c>
      <c r="F183" s="24" t="s">
        <v>23</v>
      </c>
      <c r="G183" s="34" t="s">
        <v>829</v>
      </c>
      <c r="H183" s="34" t="s">
        <v>830</v>
      </c>
      <c r="I183" s="35"/>
    </row>
    <row r="184" spans="2:9">
      <c r="B184" s="23"/>
      <c r="C184" s="34" t="s">
        <v>304</v>
      </c>
      <c r="D184" s="34" t="s">
        <v>1093</v>
      </c>
      <c r="E184" s="34" t="s">
        <v>828</v>
      </c>
      <c r="F184" s="24" t="s">
        <v>23</v>
      </c>
      <c r="G184" s="34" t="s">
        <v>829</v>
      </c>
      <c r="H184" s="34" t="s">
        <v>830</v>
      </c>
      <c r="I184" s="35"/>
    </row>
    <row r="185" spans="2:9">
      <c r="B185" s="23"/>
      <c r="C185" s="34" t="s">
        <v>306</v>
      </c>
      <c r="D185" s="34" t="s">
        <v>1094</v>
      </c>
      <c r="E185" s="34" t="s">
        <v>828</v>
      </c>
      <c r="F185" s="24" t="s">
        <v>23</v>
      </c>
      <c r="G185" s="34" t="s">
        <v>829</v>
      </c>
      <c r="H185" s="34" t="s">
        <v>830</v>
      </c>
      <c r="I185" s="35"/>
    </row>
    <row r="186" spans="2:9">
      <c r="B186" s="23"/>
      <c r="C186" s="34" t="s">
        <v>1095</v>
      </c>
      <c r="D186" s="34" t="s">
        <v>1096</v>
      </c>
      <c r="E186" s="34" t="s">
        <v>828</v>
      </c>
      <c r="F186" s="25" t="s">
        <v>86</v>
      </c>
      <c r="G186" s="34" t="s">
        <v>829</v>
      </c>
      <c r="H186" s="34" t="s">
        <v>830</v>
      </c>
      <c r="I186" s="35"/>
    </row>
    <row r="187" spans="2:9">
      <c r="B187" s="23"/>
      <c r="C187" s="34" t="s">
        <v>1097</v>
      </c>
      <c r="D187" s="34" t="s">
        <v>1098</v>
      </c>
      <c r="E187" s="34" t="s">
        <v>839</v>
      </c>
      <c r="F187" s="25" t="s">
        <v>86</v>
      </c>
      <c r="G187" s="34" t="s">
        <v>829</v>
      </c>
      <c r="H187" s="34" t="s">
        <v>830</v>
      </c>
      <c r="I187" s="35"/>
    </row>
    <row r="188" spans="2:9">
      <c r="B188" s="23"/>
      <c r="C188" s="34" t="s">
        <v>1099</v>
      </c>
      <c r="D188" s="34" t="s">
        <v>1100</v>
      </c>
      <c r="E188" s="34" t="s">
        <v>828</v>
      </c>
      <c r="F188" s="26" t="s">
        <v>82</v>
      </c>
      <c r="G188" s="34" t="s">
        <v>829</v>
      </c>
      <c r="H188" s="34" t="s">
        <v>830</v>
      </c>
      <c r="I188" s="35"/>
    </row>
    <row r="189" spans="2:9">
      <c r="B189" s="23"/>
      <c r="C189" s="34" t="s">
        <v>1101</v>
      </c>
      <c r="D189" s="34" t="s">
        <v>1102</v>
      </c>
      <c r="E189" s="34" t="s">
        <v>839</v>
      </c>
      <c r="F189" s="25" t="s">
        <v>86</v>
      </c>
      <c r="G189" s="34" t="s">
        <v>829</v>
      </c>
      <c r="H189" s="34" t="s">
        <v>830</v>
      </c>
      <c r="I189" s="35"/>
    </row>
    <row r="190" spans="2:9">
      <c r="B190" s="23"/>
      <c r="C190" s="34" t="s">
        <v>308</v>
      </c>
      <c r="D190" s="34" t="s">
        <v>1103</v>
      </c>
      <c r="E190" s="34" t="s">
        <v>828</v>
      </c>
      <c r="F190" s="24" t="s">
        <v>23</v>
      </c>
      <c r="G190" s="34" t="s">
        <v>829</v>
      </c>
      <c r="H190" s="34" t="s">
        <v>830</v>
      </c>
      <c r="I190" s="35"/>
    </row>
    <row r="191" spans="2:9">
      <c r="B191" s="23"/>
      <c r="C191" s="34" t="s">
        <v>310</v>
      </c>
      <c r="D191" s="34" t="s">
        <v>1104</v>
      </c>
      <c r="E191" s="34" t="s">
        <v>828</v>
      </c>
      <c r="F191" s="24" t="s">
        <v>23</v>
      </c>
      <c r="G191" s="34" t="s">
        <v>829</v>
      </c>
      <c r="H191" s="34" t="s">
        <v>830</v>
      </c>
      <c r="I191" s="35"/>
    </row>
    <row r="192" spans="2:9">
      <c r="B192" s="23"/>
      <c r="C192" s="34" t="s">
        <v>1105</v>
      </c>
      <c r="D192" s="34" t="s">
        <v>1106</v>
      </c>
      <c r="E192" s="34" t="s">
        <v>828</v>
      </c>
      <c r="F192" s="24" t="s">
        <v>23</v>
      </c>
      <c r="G192" s="34" t="s">
        <v>829</v>
      </c>
      <c r="H192" s="34" t="s">
        <v>830</v>
      </c>
      <c r="I192" s="35"/>
    </row>
    <row r="193" spans="2:9">
      <c r="B193" s="23"/>
      <c r="C193" s="34" t="s">
        <v>313</v>
      </c>
      <c r="D193" s="34" t="s">
        <v>1107</v>
      </c>
      <c r="E193" s="34" t="s">
        <v>828</v>
      </c>
      <c r="F193" s="24" t="s">
        <v>23</v>
      </c>
      <c r="G193" s="34" t="s">
        <v>829</v>
      </c>
      <c r="H193" s="34" t="s">
        <v>830</v>
      </c>
      <c r="I193" s="35"/>
    </row>
    <row r="194" spans="2:9">
      <c r="B194" s="23"/>
      <c r="C194" s="34" t="s">
        <v>1108</v>
      </c>
      <c r="D194" s="34" t="s">
        <v>1109</v>
      </c>
      <c r="E194" s="34" t="s">
        <v>828</v>
      </c>
      <c r="F194" s="26" t="s">
        <v>82</v>
      </c>
      <c r="G194" s="34" t="s">
        <v>829</v>
      </c>
      <c r="H194" s="34" t="s">
        <v>830</v>
      </c>
      <c r="I194" s="35"/>
    </row>
    <row r="195" spans="2:9">
      <c r="B195" s="23"/>
      <c r="C195" s="34" t="s">
        <v>315</v>
      </c>
      <c r="D195" s="34" t="s">
        <v>1110</v>
      </c>
      <c r="E195" s="34" t="s">
        <v>828</v>
      </c>
      <c r="F195" s="24" t="s">
        <v>23</v>
      </c>
      <c r="G195" s="34" t="s">
        <v>829</v>
      </c>
      <c r="H195" s="34" t="s">
        <v>830</v>
      </c>
      <c r="I195" s="35"/>
    </row>
    <row r="196" spans="2:9">
      <c r="B196" s="23"/>
      <c r="C196" s="34" t="s">
        <v>317</v>
      </c>
      <c r="D196" s="34" t="s">
        <v>1111</v>
      </c>
      <c r="E196" s="34" t="s">
        <v>828</v>
      </c>
      <c r="F196" s="24" t="s">
        <v>23</v>
      </c>
      <c r="G196" s="34" t="s">
        <v>829</v>
      </c>
      <c r="H196" s="34" t="s">
        <v>830</v>
      </c>
      <c r="I196" s="35"/>
    </row>
    <row r="197" spans="2:9">
      <c r="B197" s="23"/>
      <c r="C197" s="34" t="s">
        <v>1112</v>
      </c>
      <c r="D197" s="34" t="s">
        <v>1113</v>
      </c>
      <c r="E197" s="34" t="s">
        <v>828</v>
      </c>
      <c r="F197" s="24" t="s">
        <v>23</v>
      </c>
      <c r="G197" s="34" t="s">
        <v>829</v>
      </c>
      <c r="H197" s="34" t="s">
        <v>830</v>
      </c>
      <c r="I197" s="35"/>
    </row>
    <row r="198" spans="2:9">
      <c r="B198" s="23"/>
      <c r="C198" s="34" t="s">
        <v>1114</v>
      </c>
      <c r="D198" s="34" t="s">
        <v>1115</v>
      </c>
      <c r="E198" s="34" t="s">
        <v>828</v>
      </c>
      <c r="F198" s="26" t="s">
        <v>82</v>
      </c>
      <c r="G198" s="34" t="s">
        <v>829</v>
      </c>
      <c r="H198" s="34" t="s">
        <v>830</v>
      </c>
      <c r="I198" s="35"/>
    </row>
    <row r="199" spans="2:9">
      <c r="B199" s="23"/>
      <c r="C199" s="34" t="s">
        <v>319</v>
      </c>
      <c r="D199" s="34" t="s">
        <v>1116</v>
      </c>
      <c r="E199" s="34" t="s">
        <v>828</v>
      </c>
      <c r="F199" s="24" t="s">
        <v>23</v>
      </c>
      <c r="G199" s="34" t="s">
        <v>829</v>
      </c>
      <c r="H199" s="34" t="s">
        <v>830</v>
      </c>
      <c r="I199" s="35"/>
    </row>
    <row r="200" spans="2:9">
      <c r="B200" s="23"/>
      <c r="C200" s="34" t="s">
        <v>322</v>
      </c>
      <c r="D200" s="34" t="s">
        <v>1117</v>
      </c>
      <c r="E200" s="34" t="s">
        <v>828</v>
      </c>
      <c r="F200" s="24" t="s">
        <v>23</v>
      </c>
      <c r="G200" s="34" t="s">
        <v>829</v>
      </c>
      <c r="H200" s="34" t="s">
        <v>830</v>
      </c>
      <c r="I200" s="35"/>
    </row>
    <row r="201" spans="2:9">
      <c r="B201" s="23"/>
      <c r="C201" s="34" t="s">
        <v>1118</v>
      </c>
      <c r="D201" s="34" t="s">
        <v>1119</v>
      </c>
      <c r="E201" s="34" t="s">
        <v>828</v>
      </c>
      <c r="F201" s="24" t="s">
        <v>23</v>
      </c>
      <c r="G201" s="34" t="s">
        <v>829</v>
      </c>
      <c r="H201" s="34" t="s">
        <v>830</v>
      </c>
      <c r="I201" s="35"/>
    </row>
    <row r="202" spans="2:9">
      <c r="B202" s="27"/>
      <c r="C202" s="36" t="s">
        <v>1120</v>
      </c>
      <c r="D202" s="36" t="s">
        <v>1121</v>
      </c>
      <c r="E202" s="36" t="s">
        <v>828</v>
      </c>
      <c r="F202" s="29" t="s">
        <v>23</v>
      </c>
      <c r="G202" s="36" t="s">
        <v>829</v>
      </c>
      <c r="H202" s="36" t="s">
        <v>830</v>
      </c>
      <c r="I202" s="37"/>
    </row>
    <row r="203" spans="2:9">
      <c r="B203" s="23"/>
      <c r="C203" s="34" t="s">
        <v>1122</v>
      </c>
      <c r="D203" s="34" t="s">
        <v>1123</v>
      </c>
      <c r="E203" s="34" t="s">
        <v>828</v>
      </c>
      <c r="F203" s="26" t="s">
        <v>82</v>
      </c>
      <c r="G203" s="34" t="s">
        <v>829</v>
      </c>
      <c r="H203" s="34" t="s">
        <v>830</v>
      </c>
      <c r="I203" s="35"/>
    </row>
    <row r="204" spans="2:9">
      <c r="B204" s="23"/>
      <c r="C204" s="34" t="s">
        <v>1124</v>
      </c>
      <c r="D204" s="34" t="s">
        <v>1125</v>
      </c>
      <c r="E204" s="34" t="s">
        <v>828</v>
      </c>
      <c r="F204" s="24" t="s">
        <v>23</v>
      </c>
      <c r="G204" s="34" t="s">
        <v>829</v>
      </c>
      <c r="H204" s="34" t="s">
        <v>830</v>
      </c>
      <c r="I204" s="35"/>
    </row>
    <row r="205" spans="2:9">
      <c r="B205" s="23"/>
      <c r="C205" s="34" t="s">
        <v>325</v>
      </c>
      <c r="D205" s="34" t="s">
        <v>1126</v>
      </c>
      <c r="E205" s="34" t="s">
        <v>828</v>
      </c>
      <c r="F205" s="24" t="s">
        <v>23</v>
      </c>
      <c r="G205" s="34" t="s">
        <v>829</v>
      </c>
      <c r="H205" s="34" t="s">
        <v>830</v>
      </c>
      <c r="I205" s="35"/>
    </row>
    <row r="206" spans="2:9">
      <c r="B206" s="23"/>
      <c r="C206" s="34" t="s">
        <v>328</v>
      </c>
      <c r="D206" s="34" t="s">
        <v>1127</v>
      </c>
      <c r="E206" s="34" t="s">
        <v>828</v>
      </c>
      <c r="F206" s="24" t="s">
        <v>23</v>
      </c>
      <c r="G206" s="34" t="s">
        <v>829</v>
      </c>
      <c r="H206" s="34" t="s">
        <v>830</v>
      </c>
      <c r="I206" s="35"/>
    </row>
    <row r="207" spans="2:9">
      <c r="B207" s="23"/>
      <c r="C207" s="34" t="s">
        <v>331</v>
      </c>
      <c r="D207" s="34" t="s">
        <v>1128</v>
      </c>
      <c r="E207" s="34" t="s">
        <v>828</v>
      </c>
      <c r="F207" s="25" t="s">
        <v>86</v>
      </c>
      <c r="G207" s="34" t="s">
        <v>829</v>
      </c>
      <c r="H207" s="34" t="s">
        <v>830</v>
      </c>
      <c r="I207" s="35"/>
    </row>
    <row r="208" spans="2:9">
      <c r="B208" s="23"/>
      <c r="C208" s="34" t="s">
        <v>333</v>
      </c>
      <c r="D208" s="34" t="s">
        <v>1129</v>
      </c>
      <c r="E208" s="34" t="s">
        <v>828</v>
      </c>
      <c r="F208" s="24" t="s">
        <v>23</v>
      </c>
      <c r="G208" s="34" t="s">
        <v>829</v>
      </c>
      <c r="H208" s="34" t="s">
        <v>830</v>
      </c>
      <c r="I208" s="35"/>
    </row>
    <row r="209" spans="2:9">
      <c r="B209" s="23"/>
      <c r="C209" s="34" t="s">
        <v>335</v>
      </c>
      <c r="D209" s="34" t="s">
        <v>1130</v>
      </c>
      <c r="E209" s="34" t="s">
        <v>828</v>
      </c>
      <c r="F209" s="24" t="s">
        <v>23</v>
      </c>
      <c r="G209" s="34" t="s">
        <v>829</v>
      </c>
      <c r="H209" s="34" t="s">
        <v>830</v>
      </c>
      <c r="I209" s="35"/>
    </row>
    <row r="210" spans="2:9">
      <c r="B210" s="23"/>
      <c r="C210" s="34" t="s">
        <v>1131</v>
      </c>
      <c r="D210" s="34" t="s">
        <v>1132</v>
      </c>
      <c r="E210" s="34" t="s">
        <v>828</v>
      </c>
      <c r="F210" s="25" t="s">
        <v>86</v>
      </c>
      <c r="G210" s="34" t="s">
        <v>829</v>
      </c>
      <c r="H210" s="34" t="s">
        <v>830</v>
      </c>
      <c r="I210" s="35"/>
    </row>
    <row r="211" spans="2:9">
      <c r="B211" s="23"/>
      <c r="C211" s="34" t="s">
        <v>1133</v>
      </c>
      <c r="D211" s="34" t="s">
        <v>1134</v>
      </c>
      <c r="E211" s="34" t="s">
        <v>828</v>
      </c>
      <c r="F211" s="26" t="s">
        <v>82</v>
      </c>
      <c r="G211" s="34" t="s">
        <v>829</v>
      </c>
      <c r="H211" s="34" t="s">
        <v>830</v>
      </c>
      <c r="I211" s="35"/>
    </row>
    <row r="212" spans="2:9">
      <c r="B212" s="23"/>
      <c r="C212" s="34" t="s">
        <v>338</v>
      </c>
      <c r="D212" s="34" t="s">
        <v>1135</v>
      </c>
      <c r="E212" s="34" t="s">
        <v>828</v>
      </c>
      <c r="F212" s="24" t="s">
        <v>23</v>
      </c>
      <c r="G212" s="34" t="s">
        <v>829</v>
      </c>
      <c r="H212" s="34" t="s">
        <v>830</v>
      </c>
      <c r="I212" s="35"/>
    </row>
    <row r="213" spans="2:9">
      <c r="B213" s="23"/>
      <c r="C213" s="34" t="s">
        <v>1136</v>
      </c>
      <c r="D213" s="34" t="s">
        <v>1137</v>
      </c>
      <c r="E213" s="34" t="s">
        <v>839</v>
      </c>
      <c r="F213" s="25" t="s">
        <v>86</v>
      </c>
      <c r="G213" s="34" t="s">
        <v>829</v>
      </c>
      <c r="H213" s="34" t="s">
        <v>830</v>
      </c>
      <c r="I213" s="35"/>
    </row>
    <row r="214" spans="2:9">
      <c r="B214" s="23"/>
      <c r="C214" s="34" t="s">
        <v>340</v>
      </c>
      <c r="D214" s="34" t="s">
        <v>1138</v>
      </c>
      <c r="E214" s="34" t="s">
        <v>828</v>
      </c>
      <c r="F214" s="24" t="s">
        <v>23</v>
      </c>
      <c r="G214" s="34" t="s">
        <v>829</v>
      </c>
      <c r="H214" s="34" t="s">
        <v>830</v>
      </c>
      <c r="I214" s="35"/>
    </row>
    <row r="215" spans="2:9">
      <c r="B215" s="23"/>
      <c r="C215" s="34" t="s">
        <v>1139</v>
      </c>
      <c r="D215" s="34" t="s">
        <v>1140</v>
      </c>
      <c r="E215" s="34" t="s">
        <v>839</v>
      </c>
      <c r="F215" s="25" t="s">
        <v>86</v>
      </c>
      <c r="G215" s="34" t="s">
        <v>829</v>
      </c>
      <c r="H215" s="34" t="s">
        <v>1141</v>
      </c>
      <c r="I215" s="35"/>
    </row>
    <row r="216" spans="2:9">
      <c r="B216" s="23"/>
      <c r="C216" s="34" t="s">
        <v>1142</v>
      </c>
      <c r="D216" s="34" t="s">
        <v>1143</v>
      </c>
      <c r="E216" s="34" t="s">
        <v>828</v>
      </c>
      <c r="F216" s="30" t="s">
        <v>1000</v>
      </c>
      <c r="G216" s="34" t="s">
        <v>830</v>
      </c>
      <c r="H216" s="34" t="s">
        <v>830</v>
      </c>
      <c r="I216" s="35"/>
    </row>
    <row r="217" spans="2:9">
      <c r="B217" s="23"/>
      <c r="C217" s="34" t="s">
        <v>343</v>
      </c>
      <c r="D217" s="34" t="s">
        <v>1144</v>
      </c>
      <c r="E217" s="34" t="s">
        <v>828</v>
      </c>
      <c r="F217" s="24" t="s">
        <v>23</v>
      </c>
      <c r="G217" s="34" t="s">
        <v>829</v>
      </c>
      <c r="H217" s="34" t="s">
        <v>830</v>
      </c>
      <c r="I217" s="35"/>
    </row>
    <row r="218" spans="2:9">
      <c r="B218" s="23"/>
      <c r="C218" s="34" t="s">
        <v>345</v>
      </c>
      <c r="D218" s="34" t="s">
        <v>1145</v>
      </c>
      <c r="E218" s="34" t="s">
        <v>828</v>
      </c>
      <c r="F218" s="24" t="s">
        <v>23</v>
      </c>
      <c r="G218" s="34" t="s">
        <v>829</v>
      </c>
      <c r="H218" s="34" t="s">
        <v>830</v>
      </c>
      <c r="I218" s="35"/>
    </row>
    <row r="219" spans="2:9">
      <c r="B219" s="23"/>
      <c r="C219" s="34" t="s">
        <v>348</v>
      </c>
      <c r="D219" s="34" t="s">
        <v>1146</v>
      </c>
      <c r="E219" s="34" t="s">
        <v>828</v>
      </c>
      <c r="F219" s="24" t="s">
        <v>23</v>
      </c>
      <c r="G219" s="34" t="s">
        <v>829</v>
      </c>
      <c r="H219" s="34" t="s">
        <v>830</v>
      </c>
      <c r="I219" s="35"/>
    </row>
    <row r="220" spans="2:9">
      <c r="B220" s="23"/>
      <c r="C220" s="34" t="s">
        <v>351</v>
      </c>
      <c r="D220" s="34" t="s">
        <v>1147</v>
      </c>
      <c r="E220" s="34" t="s">
        <v>828</v>
      </c>
      <c r="F220" s="24" t="s">
        <v>23</v>
      </c>
      <c r="G220" s="34" t="s">
        <v>829</v>
      </c>
      <c r="H220" s="34" t="s">
        <v>830</v>
      </c>
      <c r="I220" s="35"/>
    </row>
    <row r="221" spans="2:9">
      <c r="B221" s="23"/>
      <c r="C221" s="34" t="s">
        <v>1148</v>
      </c>
      <c r="D221" s="34" t="s">
        <v>1149</v>
      </c>
      <c r="E221" s="34" t="s">
        <v>828</v>
      </c>
      <c r="F221" s="25" t="s">
        <v>86</v>
      </c>
      <c r="G221" s="34" t="s">
        <v>829</v>
      </c>
      <c r="H221" s="34" t="s">
        <v>830</v>
      </c>
      <c r="I221" s="35"/>
    </row>
    <row r="222" spans="2:9">
      <c r="B222" s="23"/>
      <c r="C222" s="34" t="s">
        <v>1150</v>
      </c>
      <c r="D222" s="34" t="s">
        <v>1151</v>
      </c>
      <c r="E222" s="34" t="s">
        <v>828</v>
      </c>
      <c r="F222" s="25" t="s">
        <v>86</v>
      </c>
      <c r="G222" s="34" t="s">
        <v>829</v>
      </c>
      <c r="H222" s="34" t="s">
        <v>830</v>
      </c>
      <c r="I222" s="35"/>
    </row>
    <row r="223" spans="2:9">
      <c r="B223" s="23"/>
      <c r="C223" s="34" t="s">
        <v>353</v>
      </c>
      <c r="D223" s="34" t="s">
        <v>1152</v>
      </c>
      <c r="E223" s="34" t="s">
        <v>828</v>
      </c>
      <c r="F223" s="24" t="s">
        <v>23</v>
      </c>
      <c r="G223" s="34" t="s">
        <v>829</v>
      </c>
      <c r="H223" s="34" t="s">
        <v>830</v>
      </c>
      <c r="I223" s="35"/>
    </row>
    <row r="224" spans="2:9">
      <c r="B224" s="23"/>
      <c r="C224" s="34" t="s">
        <v>1153</v>
      </c>
      <c r="D224" s="34" t="s">
        <v>1154</v>
      </c>
      <c r="E224" s="34" t="s">
        <v>828</v>
      </c>
      <c r="F224" s="25" t="s">
        <v>86</v>
      </c>
      <c r="G224" s="34" t="s">
        <v>829</v>
      </c>
      <c r="H224" s="34" t="s">
        <v>830</v>
      </c>
      <c r="I224" s="35"/>
    </row>
    <row r="225" spans="2:9">
      <c r="B225" s="23"/>
      <c r="C225" s="34" t="s">
        <v>355</v>
      </c>
      <c r="D225" s="34" t="s">
        <v>1155</v>
      </c>
      <c r="E225" s="34" t="s">
        <v>828</v>
      </c>
      <c r="F225" s="24" t="s">
        <v>23</v>
      </c>
      <c r="G225" s="34" t="s">
        <v>829</v>
      </c>
      <c r="H225" s="34" t="s">
        <v>830</v>
      </c>
      <c r="I225" s="35"/>
    </row>
    <row r="226" spans="2:9">
      <c r="B226" s="23"/>
      <c r="C226" s="34" t="s">
        <v>1156</v>
      </c>
      <c r="D226" s="34" t="s">
        <v>1157</v>
      </c>
      <c r="E226" s="34" t="s">
        <v>828</v>
      </c>
      <c r="F226" s="24" t="s">
        <v>23</v>
      </c>
      <c r="G226" s="34" t="s">
        <v>829</v>
      </c>
      <c r="H226" s="34" t="s">
        <v>830</v>
      </c>
      <c r="I226" s="35"/>
    </row>
    <row r="227" spans="2:9">
      <c r="B227" s="23"/>
      <c r="C227" s="34" t="s">
        <v>1158</v>
      </c>
      <c r="D227" s="34" t="s">
        <v>1159</v>
      </c>
      <c r="E227" s="34" t="s">
        <v>828</v>
      </c>
      <c r="F227" s="24" t="s">
        <v>23</v>
      </c>
      <c r="G227" s="34" t="s">
        <v>829</v>
      </c>
      <c r="H227" s="34" t="s">
        <v>830</v>
      </c>
      <c r="I227" s="35"/>
    </row>
    <row r="228" spans="2:9">
      <c r="B228" s="23"/>
      <c r="C228" s="34" t="s">
        <v>1160</v>
      </c>
      <c r="D228" s="34" t="s">
        <v>1161</v>
      </c>
      <c r="E228" s="34" t="s">
        <v>828</v>
      </c>
      <c r="F228" s="25" t="s">
        <v>86</v>
      </c>
      <c r="G228" s="34" t="s">
        <v>829</v>
      </c>
      <c r="H228" s="34" t="s">
        <v>830</v>
      </c>
      <c r="I228" s="35"/>
    </row>
    <row r="229" spans="2:9">
      <c r="B229" s="23"/>
      <c r="C229" s="34" t="s">
        <v>1162</v>
      </c>
      <c r="D229" s="34" t="s">
        <v>1163</v>
      </c>
      <c r="E229" s="34" t="s">
        <v>828</v>
      </c>
      <c r="F229" s="24" t="s">
        <v>23</v>
      </c>
      <c r="G229" s="34" t="s">
        <v>829</v>
      </c>
      <c r="H229" s="34" t="s">
        <v>830</v>
      </c>
      <c r="I229" s="35"/>
    </row>
    <row r="230" spans="2:9">
      <c r="B230" s="23"/>
      <c r="C230" s="34" t="s">
        <v>357</v>
      </c>
      <c r="D230" s="34" t="s">
        <v>1164</v>
      </c>
      <c r="E230" s="34" t="s">
        <v>828</v>
      </c>
      <c r="F230" s="24" t="s">
        <v>23</v>
      </c>
      <c r="G230" s="34" t="s">
        <v>829</v>
      </c>
      <c r="H230" s="34" t="s">
        <v>830</v>
      </c>
      <c r="I230" s="35"/>
    </row>
    <row r="231" spans="2:9">
      <c r="B231" s="23"/>
      <c r="C231" s="34" t="s">
        <v>359</v>
      </c>
      <c r="D231" s="34" t="s">
        <v>1165</v>
      </c>
      <c r="E231" s="34" t="s">
        <v>828</v>
      </c>
      <c r="F231" s="24" t="s">
        <v>23</v>
      </c>
      <c r="G231" s="34" t="s">
        <v>829</v>
      </c>
      <c r="H231" s="34" t="s">
        <v>830</v>
      </c>
      <c r="I231" s="35"/>
    </row>
    <row r="232" spans="2:9">
      <c r="B232" s="23"/>
      <c r="C232" s="34" t="s">
        <v>1166</v>
      </c>
      <c r="D232" s="34" t="s">
        <v>1167</v>
      </c>
      <c r="E232" s="34" t="s">
        <v>828</v>
      </c>
      <c r="F232" s="24" t="s">
        <v>23</v>
      </c>
      <c r="G232" s="34" t="s">
        <v>829</v>
      </c>
      <c r="H232" s="34" t="s">
        <v>830</v>
      </c>
      <c r="I232" s="35"/>
    </row>
    <row r="233" spans="2:9">
      <c r="B233" s="23"/>
      <c r="C233" s="34" t="s">
        <v>1168</v>
      </c>
      <c r="D233" s="34" t="s">
        <v>1169</v>
      </c>
      <c r="E233" s="34" t="s">
        <v>828</v>
      </c>
      <c r="F233" s="24" t="s">
        <v>23</v>
      </c>
      <c r="G233" s="34" t="s">
        <v>829</v>
      </c>
      <c r="H233" s="34" t="s">
        <v>830</v>
      </c>
      <c r="I233" s="35"/>
    </row>
    <row r="234" spans="2:9">
      <c r="B234" s="23"/>
      <c r="C234" s="34" t="s">
        <v>1170</v>
      </c>
      <c r="D234" s="34" t="s">
        <v>1171</v>
      </c>
      <c r="E234" s="34" t="s">
        <v>828</v>
      </c>
      <c r="F234" s="24" t="s">
        <v>23</v>
      </c>
      <c r="G234" s="34" t="s">
        <v>829</v>
      </c>
      <c r="H234" s="34" t="s">
        <v>830</v>
      </c>
      <c r="I234" s="35"/>
    </row>
    <row r="235" spans="2:9">
      <c r="B235" s="23"/>
      <c r="C235" s="34" t="s">
        <v>361</v>
      </c>
      <c r="D235" s="34" t="s">
        <v>1172</v>
      </c>
      <c r="E235" s="34" t="s">
        <v>828</v>
      </c>
      <c r="F235" s="24" t="s">
        <v>23</v>
      </c>
      <c r="G235" s="34" t="s">
        <v>829</v>
      </c>
      <c r="H235" s="34" t="s">
        <v>830</v>
      </c>
      <c r="I235" s="35"/>
    </row>
    <row r="236" spans="2:9">
      <c r="B236" s="23"/>
      <c r="C236" s="34" t="s">
        <v>1173</v>
      </c>
      <c r="D236" s="34" t="s">
        <v>1174</v>
      </c>
      <c r="E236" s="34" t="s">
        <v>828</v>
      </c>
      <c r="F236" s="26" t="s">
        <v>82</v>
      </c>
      <c r="G236" s="34" t="s">
        <v>829</v>
      </c>
      <c r="H236" s="34" t="s">
        <v>830</v>
      </c>
      <c r="I236" s="35"/>
    </row>
    <row r="237" spans="2:9">
      <c r="B237" s="23"/>
      <c r="C237" s="34" t="s">
        <v>1175</v>
      </c>
      <c r="D237" s="34" t="s">
        <v>1176</v>
      </c>
      <c r="E237" s="34" t="s">
        <v>828</v>
      </c>
      <c r="F237" s="24" t="s">
        <v>23</v>
      </c>
      <c r="G237" s="34" t="s">
        <v>829</v>
      </c>
      <c r="H237" s="34" t="s">
        <v>830</v>
      </c>
      <c r="I237" s="35"/>
    </row>
    <row r="238" spans="2:9">
      <c r="B238" s="23"/>
      <c r="C238" s="34" t="s">
        <v>363</v>
      </c>
      <c r="D238" s="34" t="s">
        <v>1177</v>
      </c>
      <c r="E238" s="34" t="s">
        <v>828</v>
      </c>
      <c r="F238" s="24" t="s">
        <v>23</v>
      </c>
      <c r="G238" s="34" t="s">
        <v>829</v>
      </c>
      <c r="H238" s="34" t="s">
        <v>830</v>
      </c>
      <c r="I238" s="35"/>
    </row>
    <row r="239" spans="2:9">
      <c r="B239" s="23"/>
      <c r="C239" s="34" t="s">
        <v>1178</v>
      </c>
      <c r="D239" s="34" t="s">
        <v>1179</v>
      </c>
      <c r="E239" s="34" t="s">
        <v>828</v>
      </c>
      <c r="F239" s="25" t="s">
        <v>86</v>
      </c>
      <c r="G239" s="34" t="s">
        <v>829</v>
      </c>
      <c r="H239" s="34" t="s">
        <v>830</v>
      </c>
      <c r="I239" s="35"/>
    </row>
    <row r="240" spans="2:9">
      <c r="B240" s="23"/>
      <c r="C240" s="34" t="s">
        <v>1180</v>
      </c>
      <c r="D240" s="34" t="s">
        <v>1181</v>
      </c>
      <c r="E240" s="34" t="s">
        <v>828</v>
      </c>
      <c r="F240" s="24" t="s">
        <v>23</v>
      </c>
      <c r="G240" s="34" t="s">
        <v>829</v>
      </c>
      <c r="H240" s="34" t="s">
        <v>830</v>
      </c>
      <c r="I240" s="35"/>
    </row>
    <row r="241" spans="2:9">
      <c r="B241" s="23"/>
      <c r="C241" s="34" t="s">
        <v>1182</v>
      </c>
      <c r="D241" s="34" t="s">
        <v>1183</v>
      </c>
      <c r="E241" s="34" t="s">
        <v>839</v>
      </c>
      <c r="F241" s="24" t="s">
        <v>23</v>
      </c>
      <c r="G241" s="34" t="s">
        <v>829</v>
      </c>
      <c r="H241" s="34" t="s">
        <v>830</v>
      </c>
      <c r="I241" s="35"/>
    </row>
    <row r="242" spans="2:9">
      <c r="B242" s="23"/>
      <c r="C242" s="34" t="s">
        <v>366</v>
      </c>
      <c r="D242" s="34" t="s">
        <v>1184</v>
      </c>
      <c r="E242" s="34" t="s">
        <v>828</v>
      </c>
      <c r="F242" s="24" t="s">
        <v>23</v>
      </c>
      <c r="G242" s="34" t="s">
        <v>829</v>
      </c>
      <c r="H242" s="34" t="s">
        <v>830</v>
      </c>
      <c r="I242" s="35"/>
    </row>
    <row r="243" spans="2:9">
      <c r="B243" s="23"/>
      <c r="C243" s="34" t="s">
        <v>1185</v>
      </c>
      <c r="D243" s="34" t="s">
        <v>1186</v>
      </c>
      <c r="E243" s="34" t="s">
        <v>828</v>
      </c>
      <c r="F243" s="24" t="s">
        <v>23</v>
      </c>
      <c r="G243" s="34" t="s">
        <v>829</v>
      </c>
      <c r="H243" s="34" t="s">
        <v>830</v>
      </c>
      <c r="I243" s="35"/>
    </row>
    <row r="244" spans="2:9">
      <c r="B244" s="23"/>
      <c r="C244" s="34" t="s">
        <v>1187</v>
      </c>
      <c r="D244" s="34" t="s">
        <v>1188</v>
      </c>
      <c r="E244" s="34" t="s">
        <v>828</v>
      </c>
      <c r="F244" s="24" t="s">
        <v>23</v>
      </c>
      <c r="G244" s="34" t="s">
        <v>829</v>
      </c>
      <c r="H244" s="34" t="s">
        <v>830</v>
      </c>
      <c r="I244" s="35"/>
    </row>
    <row r="245" spans="2:9">
      <c r="B245" s="23"/>
      <c r="C245" s="34" t="s">
        <v>1189</v>
      </c>
      <c r="D245" s="34" t="s">
        <v>1190</v>
      </c>
      <c r="E245" s="34" t="s">
        <v>828</v>
      </c>
      <c r="F245" s="25" t="s">
        <v>86</v>
      </c>
      <c r="G245" s="34" t="s">
        <v>829</v>
      </c>
      <c r="H245" s="34" t="s">
        <v>830</v>
      </c>
      <c r="I245" s="35"/>
    </row>
    <row r="246" spans="2:9">
      <c r="B246" s="23"/>
      <c r="C246" s="34" t="s">
        <v>1191</v>
      </c>
      <c r="D246" s="34" t="s">
        <v>1192</v>
      </c>
      <c r="E246" s="34" t="s">
        <v>828</v>
      </c>
      <c r="F246" s="25" t="s">
        <v>86</v>
      </c>
      <c r="G246" s="34" t="s">
        <v>829</v>
      </c>
      <c r="H246" s="34" t="s">
        <v>830</v>
      </c>
      <c r="I246" s="35"/>
    </row>
    <row r="247" spans="2:9">
      <c r="B247" s="23"/>
      <c r="C247" s="34" t="s">
        <v>368</v>
      </c>
      <c r="D247" s="34" t="s">
        <v>1193</v>
      </c>
      <c r="E247" s="34" t="s">
        <v>828</v>
      </c>
      <c r="F247" s="24" t="s">
        <v>23</v>
      </c>
      <c r="G247" s="34" t="s">
        <v>829</v>
      </c>
      <c r="H247" s="34" t="s">
        <v>830</v>
      </c>
      <c r="I247" s="35"/>
    </row>
    <row r="248" spans="2:9">
      <c r="B248" s="23"/>
      <c r="C248" s="34" t="s">
        <v>1194</v>
      </c>
      <c r="D248" s="34" t="s">
        <v>1195</v>
      </c>
      <c r="E248" s="34" t="s">
        <v>828</v>
      </c>
      <c r="F248" s="31" t="s">
        <v>1196</v>
      </c>
      <c r="G248" s="34" t="s">
        <v>829</v>
      </c>
      <c r="H248" s="34" t="s">
        <v>830</v>
      </c>
      <c r="I248" s="35"/>
    </row>
    <row r="249" spans="2:9">
      <c r="B249" s="23"/>
      <c r="C249" s="34" t="s">
        <v>1197</v>
      </c>
      <c r="D249" s="34" t="s">
        <v>1198</v>
      </c>
      <c r="E249" s="34" t="s">
        <v>828</v>
      </c>
      <c r="F249" s="24" t="s">
        <v>23</v>
      </c>
      <c r="G249" s="34" t="s">
        <v>829</v>
      </c>
      <c r="H249" s="34" t="s">
        <v>830</v>
      </c>
      <c r="I249" s="35"/>
    </row>
    <row r="250" spans="2:9">
      <c r="B250" s="23"/>
      <c r="C250" s="34" t="s">
        <v>1199</v>
      </c>
      <c r="D250" s="34" t="s">
        <v>1200</v>
      </c>
      <c r="E250" s="34" t="s">
        <v>828</v>
      </c>
      <c r="F250" s="25" t="s">
        <v>86</v>
      </c>
      <c r="G250" s="34" t="s">
        <v>829</v>
      </c>
      <c r="H250" s="34" t="s">
        <v>830</v>
      </c>
      <c r="I250" s="35"/>
    </row>
    <row r="251" spans="2:9">
      <c r="B251" s="23"/>
      <c r="C251" s="34" t="s">
        <v>1201</v>
      </c>
      <c r="D251" s="34" t="s">
        <v>1202</v>
      </c>
      <c r="E251" s="34" t="s">
        <v>828</v>
      </c>
      <c r="F251" s="24" t="s">
        <v>23</v>
      </c>
      <c r="G251" s="34" t="s">
        <v>829</v>
      </c>
      <c r="H251" s="34" t="s">
        <v>830</v>
      </c>
      <c r="I251" s="35"/>
    </row>
    <row r="252" spans="2:9">
      <c r="B252" s="23"/>
      <c r="C252" s="34" t="s">
        <v>1203</v>
      </c>
      <c r="D252" s="34" t="s">
        <v>1204</v>
      </c>
      <c r="E252" s="34" t="s">
        <v>828</v>
      </c>
      <c r="F252" s="24" t="s">
        <v>23</v>
      </c>
      <c r="G252" s="34" t="s">
        <v>829</v>
      </c>
      <c r="H252" s="34" t="s">
        <v>830</v>
      </c>
      <c r="I252" s="35"/>
    </row>
    <row r="253" spans="2:9">
      <c r="B253" s="23"/>
      <c r="C253" s="34" t="s">
        <v>1205</v>
      </c>
      <c r="D253" s="34" t="s">
        <v>1206</v>
      </c>
      <c r="E253" s="34" t="s">
        <v>828</v>
      </c>
      <c r="F253" s="24" t="s">
        <v>23</v>
      </c>
      <c r="G253" s="34" t="s">
        <v>829</v>
      </c>
      <c r="H253" s="34" t="s">
        <v>830</v>
      </c>
      <c r="I253" s="35"/>
    </row>
    <row r="254" spans="2:9">
      <c r="B254" s="23"/>
      <c r="C254" s="34" t="s">
        <v>371</v>
      </c>
      <c r="D254" s="34" t="s">
        <v>1207</v>
      </c>
      <c r="E254" s="34" t="s">
        <v>828</v>
      </c>
      <c r="F254" s="24" t="s">
        <v>23</v>
      </c>
      <c r="G254" s="34" t="s">
        <v>829</v>
      </c>
      <c r="H254" s="34" t="s">
        <v>830</v>
      </c>
      <c r="I254" s="35"/>
    </row>
    <row r="255" spans="2:9">
      <c r="B255" s="23"/>
      <c r="C255" s="34" t="s">
        <v>1208</v>
      </c>
      <c r="D255" s="34" t="s">
        <v>1209</v>
      </c>
      <c r="E255" s="34" t="s">
        <v>828</v>
      </c>
      <c r="F255" s="25" t="s">
        <v>86</v>
      </c>
      <c r="G255" s="34" t="s">
        <v>829</v>
      </c>
      <c r="H255" s="34" t="s">
        <v>830</v>
      </c>
      <c r="I255" s="35"/>
    </row>
    <row r="256" spans="2:9">
      <c r="B256" s="23"/>
      <c r="C256" s="34" t="s">
        <v>374</v>
      </c>
      <c r="D256" s="34" t="s">
        <v>1210</v>
      </c>
      <c r="E256" s="34" t="s">
        <v>828</v>
      </c>
      <c r="F256" s="24" t="s">
        <v>23</v>
      </c>
      <c r="G256" s="34" t="s">
        <v>829</v>
      </c>
      <c r="H256" s="34" t="s">
        <v>830</v>
      </c>
      <c r="I256" s="35"/>
    </row>
    <row r="257" spans="2:9">
      <c r="B257" s="23"/>
      <c r="C257" s="34" t="s">
        <v>376</v>
      </c>
      <c r="D257" s="34" t="s">
        <v>1211</v>
      </c>
      <c r="E257" s="34" t="s">
        <v>828</v>
      </c>
      <c r="F257" s="24" t="s">
        <v>23</v>
      </c>
      <c r="G257" s="34" t="s">
        <v>829</v>
      </c>
      <c r="H257" s="34" t="s">
        <v>830</v>
      </c>
      <c r="I257" s="35"/>
    </row>
    <row r="258" spans="2:9">
      <c r="B258" s="23"/>
      <c r="C258" s="34" t="s">
        <v>1212</v>
      </c>
      <c r="D258" s="34" t="s">
        <v>1213</v>
      </c>
      <c r="E258" s="34" t="s">
        <v>828</v>
      </c>
      <c r="F258" s="24" t="s">
        <v>23</v>
      </c>
      <c r="G258" s="34" t="s">
        <v>829</v>
      </c>
      <c r="H258" s="34" t="s">
        <v>830</v>
      </c>
      <c r="I258" s="35"/>
    </row>
    <row r="259" spans="2:9">
      <c r="B259" s="23"/>
      <c r="C259" s="34" t="s">
        <v>379</v>
      </c>
      <c r="D259" s="34" t="s">
        <v>1214</v>
      </c>
      <c r="E259" s="34" t="s">
        <v>828</v>
      </c>
      <c r="F259" s="24" t="s">
        <v>23</v>
      </c>
      <c r="G259" s="34" t="s">
        <v>829</v>
      </c>
      <c r="H259" s="34" t="s">
        <v>830</v>
      </c>
      <c r="I259" s="35"/>
    </row>
    <row r="260" spans="2:9">
      <c r="B260" s="23"/>
      <c r="C260" s="34" t="s">
        <v>381</v>
      </c>
      <c r="D260" s="34" t="s">
        <v>1215</v>
      </c>
      <c r="E260" s="34" t="s">
        <v>828</v>
      </c>
      <c r="F260" s="24" t="s">
        <v>23</v>
      </c>
      <c r="G260" s="34" t="s">
        <v>829</v>
      </c>
      <c r="H260" s="34" t="s">
        <v>830</v>
      </c>
      <c r="I260" s="35"/>
    </row>
    <row r="261" spans="2:9">
      <c r="B261" s="23"/>
      <c r="C261" s="34" t="s">
        <v>1216</v>
      </c>
      <c r="D261" s="34" t="s">
        <v>1217</v>
      </c>
      <c r="E261" s="34" t="s">
        <v>828</v>
      </c>
      <c r="F261" s="24" t="s">
        <v>23</v>
      </c>
      <c r="G261" s="34" t="s">
        <v>829</v>
      </c>
      <c r="H261" s="34" t="s">
        <v>830</v>
      </c>
      <c r="I261" s="35"/>
    </row>
    <row r="262" spans="2:9">
      <c r="B262" s="23"/>
      <c r="C262" s="34" t="s">
        <v>1218</v>
      </c>
      <c r="D262" s="34" t="s">
        <v>1219</v>
      </c>
      <c r="E262" s="34" t="s">
        <v>828</v>
      </c>
      <c r="F262" s="24" t="s">
        <v>23</v>
      </c>
      <c r="G262" s="34" t="s">
        <v>829</v>
      </c>
      <c r="H262" s="34" t="s">
        <v>830</v>
      </c>
      <c r="I262" s="35"/>
    </row>
    <row r="263" spans="2:9">
      <c r="B263" s="23"/>
      <c r="C263" s="34" t="s">
        <v>383</v>
      </c>
      <c r="D263" s="34" t="s">
        <v>1220</v>
      </c>
      <c r="E263" s="34" t="s">
        <v>828</v>
      </c>
      <c r="F263" s="24" t="s">
        <v>23</v>
      </c>
      <c r="G263" s="34" t="s">
        <v>829</v>
      </c>
      <c r="H263" s="34" t="s">
        <v>830</v>
      </c>
      <c r="I263" s="35"/>
    </row>
    <row r="264" spans="2:9">
      <c r="B264" s="23"/>
      <c r="C264" s="34" t="s">
        <v>1221</v>
      </c>
      <c r="D264" s="34" t="s">
        <v>1222</v>
      </c>
      <c r="E264" s="34" t="s">
        <v>828</v>
      </c>
      <c r="F264" s="24" t="s">
        <v>23</v>
      </c>
      <c r="G264" s="34" t="s">
        <v>829</v>
      </c>
      <c r="H264" s="34" t="s">
        <v>830</v>
      </c>
      <c r="I264" s="35"/>
    </row>
    <row r="265" spans="2:9">
      <c r="B265" s="23"/>
      <c r="C265" s="34" t="s">
        <v>1223</v>
      </c>
      <c r="D265" s="34" t="s">
        <v>1224</v>
      </c>
      <c r="E265" s="34" t="s">
        <v>828</v>
      </c>
      <c r="F265" s="26" t="s">
        <v>82</v>
      </c>
      <c r="G265" s="34" t="s">
        <v>829</v>
      </c>
      <c r="H265" s="34" t="s">
        <v>830</v>
      </c>
      <c r="I265" s="35"/>
    </row>
    <row r="266" spans="2:9">
      <c r="B266" s="23"/>
      <c r="C266" s="34" t="s">
        <v>385</v>
      </c>
      <c r="D266" s="34" t="s">
        <v>1225</v>
      </c>
      <c r="E266" s="34" t="s">
        <v>828</v>
      </c>
      <c r="F266" s="24" t="s">
        <v>23</v>
      </c>
      <c r="G266" s="34" t="s">
        <v>829</v>
      </c>
      <c r="H266" s="34" t="s">
        <v>830</v>
      </c>
      <c r="I266" s="35"/>
    </row>
    <row r="267" spans="2:9">
      <c r="B267" s="23"/>
      <c r="C267" s="34" t="s">
        <v>388</v>
      </c>
      <c r="D267" s="34" t="s">
        <v>1226</v>
      </c>
      <c r="E267" s="34" t="s">
        <v>828</v>
      </c>
      <c r="F267" s="24" t="s">
        <v>23</v>
      </c>
      <c r="G267" s="34" t="s">
        <v>829</v>
      </c>
      <c r="H267" s="34" t="s">
        <v>830</v>
      </c>
      <c r="I267" s="35"/>
    </row>
    <row r="268" spans="2:9">
      <c r="B268" s="23"/>
      <c r="C268" s="34" t="s">
        <v>391</v>
      </c>
      <c r="D268" s="34" t="s">
        <v>1227</v>
      </c>
      <c r="E268" s="34" t="s">
        <v>828</v>
      </c>
      <c r="F268" s="24" t="s">
        <v>23</v>
      </c>
      <c r="G268" s="34" t="s">
        <v>829</v>
      </c>
      <c r="H268" s="34" t="s">
        <v>830</v>
      </c>
      <c r="I268" s="35"/>
    </row>
    <row r="269" spans="2:9">
      <c r="B269" s="23"/>
      <c r="C269" s="34" t="s">
        <v>394</v>
      </c>
      <c r="D269" s="34" t="s">
        <v>1228</v>
      </c>
      <c r="E269" s="34" t="s">
        <v>828</v>
      </c>
      <c r="F269" s="24" t="s">
        <v>23</v>
      </c>
      <c r="G269" s="34" t="s">
        <v>829</v>
      </c>
      <c r="H269" s="34" t="s">
        <v>830</v>
      </c>
      <c r="I269" s="35"/>
    </row>
    <row r="270" spans="2:9">
      <c r="B270" s="23"/>
      <c r="C270" s="34" t="s">
        <v>1229</v>
      </c>
      <c r="D270" s="34" t="s">
        <v>1230</v>
      </c>
      <c r="E270" s="34" t="s">
        <v>828</v>
      </c>
      <c r="F270" s="24" t="s">
        <v>23</v>
      </c>
      <c r="G270" s="34" t="s">
        <v>829</v>
      </c>
      <c r="H270" s="34" t="s">
        <v>830</v>
      </c>
      <c r="I270" s="35"/>
    </row>
    <row r="271" spans="2:9">
      <c r="B271" s="23"/>
      <c r="C271" s="34" t="s">
        <v>397</v>
      </c>
      <c r="D271" s="34" t="s">
        <v>1231</v>
      </c>
      <c r="E271" s="34" t="s">
        <v>828</v>
      </c>
      <c r="F271" s="24" t="s">
        <v>23</v>
      </c>
      <c r="G271" s="34" t="s">
        <v>829</v>
      </c>
      <c r="H271" s="34" t="s">
        <v>830</v>
      </c>
      <c r="I271" s="35"/>
    </row>
    <row r="272" spans="2:9">
      <c r="B272" s="23"/>
      <c r="C272" s="34" t="s">
        <v>399</v>
      </c>
      <c r="D272" s="34" t="s">
        <v>1232</v>
      </c>
      <c r="E272" s="34" t="s">
        <v>828</v>
      </c>
      <c r="F272" s="24" t="s">
        <v>23</v>
      </c>
      <c r="G272" s="34" t="s">
        <v>829</v>
      </c>
      <c r="H272" s="34" t="s">
        <v>830</v>
      </c>
      <c r="I272" s="35"/>
    </row>
    <row r="273" spans="2:9">
      <c r="B273" s="23"/>
      <c r="C273" s="34" t="s">
        <v>1233</v>
      </c>
      <c r="D273" s="34" t="s">
        <v>1234</v>
      </c>
      <c r="E273" s="34" t="s">
        <v>828</v>
      </c>
      <c r="F273" s="26" t="s">
        <v>82</v>
      </c>
      <c r="G273" s="34" t="s">
        <v>829</v>
      </c>
      <c r="H273" s="34" t="s">
        <v>830</v>
      </c>
      <c r="I273" s="35"/>
    </row>
    <row r="274" spans="2:9">
      <c r="B274" s="23"/>
      <c r="C274" s="34" t="s">
        <v>1235</v>
      </c>
      <c r="D274" s="34" t="s">
        <v>1236</v>
      </c>
      <c r="E274" s="34" t="s">
        <v>828</v>
      </c>
      <c r="F274" s="24" t="s">
        <v>23</v>
      </c>
      <c r="G274" s="34" t="s">
        <v>829</v>
      </c>
      <c r="H274" s="34" t="s">
        <v>830</v>
      </c>
      <c r="I274" s="35"/>
    </row>
    <row r="275" spans="2:9">
      <c r="B275" s="23"/>
      <c r="C275" s="34" t="s">
        <v>1237</v>
      </c>
      <c r="D275" s="34" t="s">
        <v>1238</v>
      </c>
      <c r="E275" s="34" t="s">
        <v>828</v>
      </c>
      <c r="F275" s="24" t="s">
        <v>23</v>
      </c>
      <c r="G275" s="34" t="s">
        <v>829</v>
      </c>
      <c r="H275" s="34" t="s">
        <v>830</v>
      </c>
      <c r="I275" s="35"/>
    </row>
    <row r="276" spans="2:9">
      <c r="B276" s="23"/>
      <c r="C276" s="34" t="s">
        <v>1239</v>
      </c>
      <c r="D276" s="34" t="s">
        <v>1240</v>
      </c>
      <c r="E276" s="34" t="s">
        <v>828</v>
      </c>
      <c r="F276" s="25" t="s">
        <v>86</v>
      </c>
      <c r="G276" s="34" t="s">
        <v>829</v>
      </c>
      <c r="H276" s="34" t="s">
        <v>830</v>
      </c>
      <c r="I276" s="35"/>
    </row>
    <row r="277" spans="2:9">
      <c r="B277" s="23"/>
      <c r="C277" s="34" t="s">
        <v>1241</v>
      </c>
      <c r="D277" s="34" t="s">
        <v>1242</v>
      </c>
      <c r="E277" s="34" t="s">
        <v>828</v>
      </c>
      <c r="F277" s="24" t="s">
        <v>23</v>
      </c>
      <c r="G277" s="34" t="s">
        <v>829</v>
      </c>
      <c r="H277" s="34" t="s">
        <v>830</v>
      </c>
      <c r="I277" s="35"/>
    </row>
    <row r="278" spans="2:9">
      <c r="B278" s="23"/>
      <c r="C278" s="34" t="s">
        <v>401</v>
      </c>
      <c r="D278" s="34" t="s">
        <v>1243</v>
      </c>
      <c r="E278" s="34" t="s">
        <v>828</v>
      </c>
      <c r="F278" s="24" t="s">
        <v>23</v>
      </c>
      <c r="G278" s="34" t="s">
        <v>829</v>
      </c>
      <c r="H278" s="34" t="s">
        <v>830</v>
      </c>
      <c r="I278" s="35"/>
    </row>
    <row r="279" spans="2:9">
      <c r="B279" s="23"/>
      <c r="C279" s="34" t="s">
        <v>1244</v>
      </c>
      <c r="D279" s="34" t="s">
        <v>1245</v>
      </c>
      <c r="E279" s="34" t="s">
        <v>828</v>
      </c>
      <c r="F279" s="24" t="s">
        <v>23</v>
      </c>
      <c r="G279" s="34" t="s">
        <v>829</v>
      </c>
      <c r="H279" s="34" t="s">
        <v>830</v>
      </c>
      <c r="I279" s="35"/>
    </row>
    <row r="280" spans="2:9">
      <c r="B280" s="23"/>
      <c r="C280" s="34" t="s">
        <v>1246</v>
      </c>
      <c r="D280" s="34" t="s">
        <v>1247</v>
      </c>
      <c r="E280" s="34" t="s">
        <v>924</v>
      </c>
      <c r="F280" s="30" t="s">
        <v>1000</v>
      </c>
      <c r="G280" s="34" t="s">
        <v>830</v>
      </c>
      <c r="H280" s="34" t="s">
        <v>830</v>
      </c>
      <c r="I280" s="35"/>
    </row>
    <row r="281" spans="2:9">
      <c r="B281" s="23"/>
      <c r="C281" s="34" t="s">
        <v>1248</v>
      </c>
      <c r="D281" s="34" t="s">
        <v>1249</v>
      </c>
      <c r="E281" s="34" t="s">
        <v>828</v>
      </c>
      <c r="F281" s="24" t="s">
        <v>23</v>
      </c>
      <c r="G281" s="34" t="s">
        <v>829</v>
      </c>
      <c r="H281" s="34" t="s">
        <v>830</v>
      </c>
      <c r="I281" s="35"/>
    </row>
    <row r="282" spans="2:9">
      <c r="B282" s="23"/>
      <c r="C282" s="34" t="s">
        <v>1250</v>
      </c>
      <c r="D282" s="34" t="s">
        <v>1251</v>
      </c>
      <c r="E282" s="34" t="s">
        <v>828</v>
      </c>
      <c r="F282" s="25" t="s">
        <v>86</v>
      </c>
      <c r="G282" s="34" t="s">
        <v>829</v>
      </c>
      <c r="H282" s="34" t="s">
        <v>830</v>
      </c>
      <c r="I282" s="35"/>
    </row>
    <row r="283" spans="2:9">
      <c r="B283" s="23"/>
      <c r="C283" s="34" t="s">
        <v>403</v>
      </c>
      <c r="D283" s="34" t="s">
        <v>1252</v>
      </c>
      <c r="E283" s="34" t="s">
        <v>828</v>
      </c>
      <c r="F283" s="24" t="s">
        <v>23</v>
      </c>
      <c r="G283" s="34" t="s">
        <v>829</v>
      </c>
      <c r="H283" s="34" t="s">
        <v>830</v>
      </c>
      <c r="I283" s="35"/>
    </row>
    <row r="284" spans="2:9">
      <c r="B284" s="23"/>
      <c r="C284" s="34" t="s">
        <v>1253</v>
      </c>
      <c r="D284" s="34" t="s">
        <v>1254</v>
      </c>
      <c r="E284" s="34" t="s">
        <v>828</v>
      </c>
      <c r="F284" s="24" t="s">
        <v>23</v>
      </c>
      <c r="G284" s="34" t="s">
        <v>829</v>
      </c>
      <c r="H284" s="34" t="s">
        <v>830</v>
      </c>
      <c r="I284" s="35"/>
    </row>
    <row r="285" spans="2:9">
      <c r="B285" s="23"/>
      <c r="C285" s="34" t="s">
        <v>408</v>
      </c>
      <c r="D285" s="34" t="s">
        <v>1255</v>
      </c>
      <c r="E285" s="34" t="s">
        <v>828</v>
      </c>
      <c r="F285" s="24" t="s">
        <v>23</v>
      </c>
      <c r="G285" s="34" t="s">
        <v>829</v>
      </c>
      <c r="H285" s="34" t="s">
        <v>830</v>
      </c>
      <c r="I285" s="35"/>
    </row>
    <row r="286" spans="2:9">
      <c r="B286" s="23"/>
      <c r="C286" s="34" t="s">
        <v>410</v>
      </c>
      <c r="D286" s="34" t="s">
        <v>1256</v>
      </c>
      <c r="E286" s="34" t="s">
        <v>828</v>
      </c>
      <c r="F286" s="24" t="s">
        <v>23</v>
      </c>
      <c r="G286" s="34" t="s">
        <v>829</v>
      </c>
      <c r="H286" s="34" t="s">
        <v>830</v>
      </c>
      <c r="I286" s="35"/>
    </row>
    <row r="287" spans="2:9">
      <c r="B287" s="23"/>
      <c r="C287" s="34" t="s">
        <v>1257</v>
      </c>
      <c r="D287" s="34" t="s">
        <v>1258</v>
      </c>
      <c r="E287" s="34" t="s">
        <v>828</v>
      </c>
      <c r="F287" s="24" t="s">
        <v>23</v>
      </c>
      <c r="G287" s="34" t="s">
        <v>829</v>
      </c>
      <c r="H287" s="34" t="s">
        <v>830</v>
      </c>
      <c r="I287" s="35"/>
    </row>
    <row r="288" spans="2:9">
      <c r="B288" s="23"/>
      <c r="C288" s="34" t="s">
        <v>412</v>
      </c>
      <c r="D288" s="34" t="s">
        <v>1259</v>
      </c>
      <c r="E288" s="34" t="s">
        <v>828</v>
      </c>
      <c r="F288" s="24" t="s">
        <v>23</v>
      </c>
      <c r="G288" s="34" t="s">
        <v>829</v>
      </c>
      <c r="H288" s="34" t="s">
        <v>830</v>
      </c>
      <c r="I288" s="35"/>
    </row>
    <row r="289" spans="2:9">
      <c r="B289" s="23"/>
      <c r="C289" s="34" t="s">
        <v>415</v>
      </c>
      <c r="D289" s="34" t="s">
        <v>1260</v>
      </c>
      <c r="E289" s="34" t="s">
        <v>828</v>
      </c>
      <c r="F289" s="24" t="s">
        <v>23</v>
      </c>
      <c r="G289" s="34" t="s">
        <v>829</v>
      </c>
      <c r="H289" s="34" t="s">
        <v>830</v>
      </c>
      <c r="I289" s="35"/>
    </row>
    <row r="290" spans="2:9">
      <c r="B290" s="23"/>
      <c r="C290" s="34" t="s">
        <v>418</v>
      </c>
      <c r="D290" s="34" t="s">
        <v>1261</v>
      </c>
      <c r="E290" s="34" t="s">
        <v>828</v>
      </c>
      <c r="F290" s="24" t="s">
        <v>23</v>
      </c>
      <c r="G290" s="34" t="s">
        <v>829</v>
      </c>
      <c r="H290" s="34" t="s">
        <v>830</v>
      </c>
      <c r="I290" s="35"/>
    </row>
    <row r="291" spans="2:9">
      <c r="B291" s="23"/>
      <c r="C291" s="34" t="s">
        <v>420</v>
      </c>
      <c r="D291" s="34" t="s">
        <v>1262</v>
      </c>
      <c r="E291" s="34" t="s">
        <v>828</v>
      </c>
      <c r="F291" s="24" t="s">
        <v>23</v>
      </c>
      <c r="G291" s="34" t="s">
        <v>829</v>
      </c>
      <c r="H291" s="34" t="s">
        <v>830</v>
      </c>
      <c r="I291" s="35"/>
    </row>
    <row r="292" spans="2:9">
      <c r="B292" s="23"/>
      <c r="C292" s="34" t="s">
        <v>422</v>
      </c>
      <c r="D292" s="34" t="s">
        <v>1263</v>
      </c>
      <c r="E292" s="34" t="s">
        <v>828</v>
      </c>
      <c r="F292" s="24" t="s">
        <v>23</v>
      </c>
      <c r="G292" s="34" t="s">
        <v>829</v>
      </c>
      <c r="H292" s="34" t="s">
        <v>830</v>
      </c>
      <c r="I292" s="35"/>
    </row>
    <row r="293" spans="2:9">
      <c r="B293" s="23"/>
      <c r="C293" s="34" t="s">
        <v>425</v>
      </c>
      <c r="D293" s="34" t="s">
        <v>1264</v>
      </c>
      <c r="E293" s="34" t="s">
        <v>828</v>
      </c>
      <c r="F293" s="24" t="s">
        <v>23</v>
      </c>
      <c r="G293" s="34" t="s">
        <v>829</v>
      </c>
      <c r="H293" s="34" t="s">
        <v>830</v>
      </c>
      <c r="I293" s="35"/>
    </row>
    <row r="294" spans="2:9">
      <c r="B294" s="23"/>
      <c r="C294" s="34" t="s">
        <v>427</v>
      </c>
      <c r="D294" s="34" t="s">
        <v>1265</v>
      </c>
      <c r="E294" s="34" t="s">
        <v>828</v>
      </c>
      <c r="F294" s="24" t="s">
        <v>23</v>
      </c>
      <c r="G294" s="34" t="s">
        <v>829</v>
      </c>
      <c r="H294" s="34" t="s">
        <v>830</v>
      </c>
      <c r="I294" s="35"/>
    </row>
    <row r="295" spans="2:9">
      <c r="B295" s="23"/>
      <c r="C295" s="34" t="s">
        <v>430</v>
      </c>
      <c r="D295" s="34" t="s">
        <v>1266</v>
      </c>
      <c r="E295" s="34" t="s">
        <v>828</v>
      </c>
      <c r="F295" s="24" t="s">
        <v>23</v>
      </c>
      <c r="G295" s="34" t="s">
        <v>829</v>
      </c>
      <c r="H295" s="34" t="s">
        <v>830</v>
      </c>
      <c r="I295" s="35"/>
    </row>
    <row r="296" spans="2:9">
      <c r="B296" s="23"/>
      <c r="C296" s="34" t="s">
        <v>1267</v>
      </c>
      <c r="D296" s="34" t="s">
        <v>1268</v>
      </c>
      <c r="E296" s="34" t="s">
        <v>828</v>
      </c>
      <c r="F296" s="24" t="s">
        <v>23</v>
      </c>
      <c r="G296" s="34" t="s">
        <v>829</v>
      </c>
      <c r="H296" s="34" t="s">
        <v>830</v>
      </c>
      <c r="I296" s="35"/>
    </row>
    <row r="297" spans="2:9">
      <c r="B297" s="23"/>
      <c r="C297" s="34" t="s">
        <v>432</v>
      </c>
      <c r="D297" s="34" t="s">
        <v>1269</v>
      </c>
      <c r="E297" s="34" t="s">
        <v>828</v>
      </c>
      <c r="F297" s="24" t="s">
        <v>23</v>
      </c>
      <c r="G297" s="34" t="s">
        <v>829</v>
      </c>
      <c r="H297" s="34" t="s">
        <v>830</v>
      </c>
      <c r="I297" s="35"/>
    </row>
    <row r="298" spans="2:9">
      <c r="B298" s="23"/>
      <c r="C298" s="34" t="s">
        <v>1270</v>
      </c>
      <c r="D298" s="34" t="s">
        <v>1271</v>
      </c>
      <c r="E298" s="34" t="s">
        <v>828</v>
      </c>
      <c r="F298" s="31" t="s">
        <v>1272</v>
      </c>
      <c r="G298" s="34" t="s">
        <v>829</v>
      </c>
      <c r="H298" s="34" t="s">
        <v>830</v>
      </c>
      <c r="I298" s="35"/>
    </row>
    <row r="299" spans="2:9">
      <c r="B299" s="23"/>
      <c r="C299" s="34" t="s">
        <v>434</v>
      </c>
      <c r="D299" s="34" t="s">
        <v>1273</v>
      </c>
      <c r="E299" s="34" t="s">
        <v>828</v>
      </c>
      <c r="F299" s="24" t="s">
        <v>23</v>
      </c>
      <c r="G299" s="34" t="s">
        <v>829</v>
      </c>
      <c r="H299" s="34" t="s">
        <v>830</v>
      </c>
      <c r="I299" s="35"/>
    </row>
    <row r="300" spans="2:9">
      <c r="B300" s="23"/>
      <c r="C300" s="34" t="s">
        <v>1274</v>
      </c>
      <c r="D300" s="34" t="s">
        <v>1275</v>
      </c>
      <c r="E300" s="34" t="s">
        <v>828</v>
      </c>
      <c r="F300" s="24" t="s">
        <v>23</v>
      </c>
      <c r="G300" s="34" t="s">
        <v>829</v>
      </c>
      <c r="H300" s="34" t="s">
        <v>830</v>
      </c>
      <c r="I300" s="35"/>
    </row>
    <row r="301" spans="2:9">
      <c r="B301" s="23"/>
      <c r="C301" s="34" t="s">
        <v>436</v>
      </c>
      <c r="D301" s="34" t="s">
        <v>1276</v>
      </c>
      <c r="E301" s="34" t="s">
        <v>828</v>
      </c>
      <c r="F301" s="24" t="s">
        <v>23</v>
      </c>
      <c r="G301" s="34" t="s">
        <v>829</v>
      </c>
      <c r="H301" s="34" t="s">
        <v>830</v>
      </c>
      <c r="I301" s="35"/>
    </row>
    <row r="302" spans="2:9">
      <c r="B302" s="23"/>
      <c r="C302" s="34" t="s">
        <v>438</v>
      </c>
      <c r="D302" s="34" t="s">
        <v>1277</v>
      </c>
      <c r="E302" s="34" t="s">
        <v>828</v>
      </c>
      <c r="F302" s="24" t="s">
        <v>23</v>
      </c>
      <c r="G302" s="34" t="s">
        <v>829</v>
      </c>
      <c r="H302" s="34" t="s">
        <v>830</v>
      </c>
      <c r="I302" s="35"/>
    </row>
    <row r="303" spans="2:9">
      <c r="B303" s="23"/>
      <c r="C303" s="34" t="s">
        <v>441</v>
      </c>
      <c r="D303" s="34" t="s">
        <v>1278</v>
      </c>
      <c r="E303" s="34" t="s">
        <v>828</v>
      </c>
      <c r="F303" s="24" t="s">
        <v>23</v>
      </c>
      <c r="G303" s="34" t="s">
        <v>829</v>
      </c>
      <c r="H303" s="34" t="s">
        <v>830</v>
      </c>
      <c r="I303" s="35"/>
    </row>
    <row r="304" spans="2:9">
      <c r="B304" s="23"/>
      <c r="C304" s="34" t="s">
        <v>1279</v>
      </c>
      <c r="D304" s="34" t="s">
        <v>1280</v>
      </c>
      <c r="E304" s="34" t="s">
        <v>828</v>
      </c>
      <c r="F304" s="24" t="s">
        <v>23</v>
      </c>
      <c r="G304" s="34" t="s">
        <v>829</v>
      </c>
      <c r="H304" s="34" t="s">
        <v>830</v>
      </c>
      <c r="I304" s="35"/>
    </row>
    <row r="305" spans="2:9">
      <c r="B305" s="23"/>
      <c r="C305" s="34" t="s">
        <v>443</v>
      </c>
      <c r="D305" s="34" t="s">
        <v>1281</v>
      </c>
      <c r="E305" s="34" t="s">
        <v>828</v>
      </c>
      <c r="F305" s="24" t="s">
        <v>23</v>
      </c>
      <c r="G305" s="34" t="s">
        <v>829</v>
      </c>
      <c r="H305" s="34" t="s">
        <v>830</v>
      </c>
      <c r="I305" s="35"/>
    </row>
    <row r="306" spans="2:9">
      <c r="B306" s="23"/>
      <c r="C306" s="34" t="s">
        <v>445</v>
      </c>
      <c r="D306" s="34" t="s">
        <v>1282</v>
      </c>
      <c r="E306" s="34" t="s">
        <v>828</v>
      </c>
      <c r="F306" s="24" t="s">
        <v>23</v>
      </c>
      <c r="G306" s="34" t="s">
        <v>829</v>
      </c>
      <c r="H306" s="34" t="s">
        <v>830</v>
      </c>
      <c r="I306" s="35"/>
    </row>
    <row r="307" spans="2:9">
      <c r="B307" s="23"/>
      <c r="C307" s="34" t="s">
        <v>1283</v>
      </c>
      <c r="D307" s="34" t="s">
        <v>1284</v>
      </c>
      <c r="E307" s="34" t="s">
        <v>828</v>
      </c>
      <c r="F307" s="25" t="s">
        <v>86</v>
      </c>
      <c r="G307" s="34" t="s">
        <v>829</v>
      </c>
      <c r="H307" s="34" t="s">
        <v>830</v>
      </c>
      <c r="I307" s="35"/>
    </row>
    <row r="308" spans="2:9">
      <c r="B308" s="23"/>
      <c r="C308" s="34" t="s">
        <v>1285</v>
      </c>
      <c r="D308" s="34" t="s">
        <v>1286</v>
      </c>
      <c r="E308" s="34" t="s">
        <v>828</v>
      </c>
      <c r="F308" s="26" t="s">
        <v>82</v>
      </c>
      <c r="G308" s="34" t="s">
        <v>829</v>
      </c>
      <c r="H308" s="34" t="s">
        <v>830</v>
      </c>
      <c r="I308" s="35"/>
    </row>
    <row r="309" spans="2:9">
      <c r="B309" s="23"/>
      <c r="C309" s="34" t="s">
        <v>447</v>
      </c>
      <c r="D309" s="34" t="s">
        <v>1287</v>
      </c>
      <c r="E309" s="34" t="s">
        <v>828</v>
      </c>
      <c r="F309" s="24" t="s">
        <v>23</v>
      </c>
      <c r="G309" s="34" t="s">
        <v>829</v>
      </c>
      <c r="H309" s="34" t="s">
        <v>830</v>
      </c>
      <c r="I309" s="35"/>
    </row>
    <row r="310" spans="2:9">
      <c r="B310" s="23"/>
      <c r="C310" s="34" t="s">
        <v>450</v>
      </c>
      <c r="D310" s="34" t="s">
        <v>1288</v>
      </c>
      <c r="E310" s="34" t="s">
        <v>828</v>
      </c>
      <c r="F310" s="24" t="s">
        <v>23</v>
      </c>
      <c r="G310" s="34" t="s">
        <v>829</v>
      </c>
      <c r="H310" s="34" t="s">
        <v>830</v>
      </c>
      <c r="I310" s="35"/>
    </row>
    <row r="311" spans="2:9">
      <c r="B311" s="23"/>
      <c r="C311" s="34" t="s">
        <v>453</v>
      </c>
      <c r="D311" s="34" t="s">
        <v>1289</v>
      </c>
      <c r="E311" s="34" t="s">
        <v>828</v>
      </c>
      <c r="F311" s="24" t="s">
        <v>23</v>
      </c>
      <c r="G311" s="34" t="s">
        <v>829</v>
      </c>
      <c r="H311" s="34" t="s">
        <v>830</v>
      </c>
      <c r="I311" s="35"/>
    </row>
    <row r="312" spans="2:9">
      <c r="B312" s="23"/>
      <c r="C312" s="34" t="s">
        <v>456</v>
      </c>
      <c r="D312" s="34" t="s">
        <v>1290</v>
      </c>
      <c r="E312" s="34" t="s">
        <v>828</v>
      </c>
      <c r="F312" s="26" t="s">
        <v>82</v>
      </c>
      <c r="G312" s="34" t="s">
        <v>829</v>
      </c>
      <c r="H312" s="34" t="s">
        <v>830</v>
      </c>
      <c r="I312" s="35"/>
    </row>
    <row r="313" spans="2:9">
      <c r="B313" s="23"/>
      <c r="C313" s="34" t="s">
        <v>1291</v>
      </c>
      <c r="D313" s="34" t="s">
        <v>1292</v>
      </c>
      <c r="E313" s="34" t="s">
        <v>828</v>
      </c>
      <c r="F313" s="24" t="s">
        <v>23</v>
      </c>
      <c r="G313" s="34" t="s">
        <v>829</v>
      </c>
      <c r="H313" s="34" t="s">
        <v>830</v>
      </c>
      <c r="I313" s="35"/>
    </row>
    <row r="314" spans="2:9">
      <c r="B314" s="23"/>
      <c r="C314" s="34" t="s">
        <v>1293</v>
      </c>
      <c r="D314" s="34" t="s">
        <v>1294</v>
      </c>
      <c r="E314" s="34" t="s">
        <v>828</v>
      </c>
      <c r="F314" s="25" t="s">
        <v>86</v>
      </c>
      <c r="G314" s="34" t="s">
        <v>829</v>
      </c>
      <c r="H314" s="34" t="s">
        <v>830</v>
      </c>
      <c r="I314" s="35"/>
    </row>
    <row r="315" spans="2:9">
      <c r="B315" s="23"/>
      <c r="C315" s="34" t="s">
        <v>1295</v>
      </c>
      <c r="D315" s="34" t="s">
        <v>1296</v>
      </c>
      <c r="E315" s="34" t="s">
        <v>828</v>
      </c>
      <c r="F315" s="24" t="s">
        <v>23</v>
      </c>
      <c r="G315" s="34" t="s">
        <v>829</v>
      </c>
      <c r="H315" s="34" t="s">
        <v>830</v>
      </c>
      <c r="I315" s="35"/>
    </row>
    <row r="316" spans="2:9">
      <c r="B316" s="23"/>
      <c r="C316" s="34" t="s">
        <v>458</v>
      </c>
      <c r="D316" s="34" t="s">
        <v>1297</v>
      </c>
      <c r="E316" s="34" t="s">
        <v>828</v>
      </c>
      <c r="F316" s="24" t="s">
        <v>23</v>
      </c>
      <c r="G316" s="34" t="s">
        <v>829</v>
      </c>
      <c r="H316" s="34" t="s">
        <v>830</v>
      </c>
      <c r="I316" s="35"/>
    </row>
    <row r="317" spans="2:9">
      <c r="B317" s="23"/>
      <c r="C317" s="34" t="s">
        <v>1298</v>
      </c>
      <c r="D317" s="34" t="s">
        <v>1299</v>
      </c>
      <c r="E317" s="34" t="s">
        <v>828</v>
      </c>
      <c r="F317" s="24" t="s">
        <v>23</v>
      </c>
      <c r="G317" s="34" t="s">
        <v>829</v>
      </c>
      <c r="H317" s="34" t="s">
        <v>830</v>
      </c>
      <c r="I317" s="35"/>
    </row>
    <row r="318" spans="2:9">
      <c r="B318" s="23"/>
      <c r="C318" s="34" t="s">
        <v>460</v>
      </c>
      <c r="D318" s="34" t="s">
        <v>1300</v>
      </c>
      <c r="E318" s="34" t="s">
        <v>828</v>
      </c>
      <c r="F318" s="24" t="s">
        <v>23</v>
      </c>
      <c r="G318" s="34" t="s">
        <v>829</v>
      </c>
      <c r="H318" s="34" t="s">
        <v>830</v>
      </c>
      <c r="I318" s="35"/>
    </row>
    <row r="319" spans="2:9">
      <c r="B319" s="23"/>
      <c r="C319" s="34" t="s">
        <v>463</v>
      </c>
      <c r="D319" s="34" t="s">
        <v>1301</v>
      </c>
      <c r="E319" s="34" t="s">
        <v>828</v>
      </c>
      <c r="F319" s="24" t="s">
        <v>23</v>
      </c>
      <c r="G319" s="34" t="s">
        <v>829</v>
      </c>
      <c r="H319" s="34" t="s">
        <v>830</v>
      </c>
      <c r="I319" s="35"/>
    </row>
    <row r="320" spans="2:9">
      <c r="B320" s="23"/>
      <c r="C320" s="34" t="s">
        <v>465</v>
      </c>
      <c r="D320" s="34" t="s">
        <v>1302</v>
      </c>
      <c r="E320" s="34" t="s">
        <v>828</v>
      </c>
      <c r="F320" s="24" t="s">
        <v>23</v>
      </c>
      <c r="G320" s="34" t="s">
        <v>829</v>
      </c>
      <c r="H320" s="34" t="s">
        <v>830</v>
      </c>
      <c r="I320" s="35"/>
    </row>
    <row r="321" spans="2:9">
      <c r="B321" s="23"/>
      <c r="C321" s="34" t="s">
        <v>467</v>
      </c>
      <c r="D321" s="34" t="s">
        <v>1303</v>
      </c>
      <c r="E321" s="34" t="s">
        <v>828</v>
      </c>
      <c r="F321" s="24" t="s">
        <v>23</v>
      </c>
      <c r="G321" s="34" t="s">
        <v>829</v>
      </c>
      <c r="H321" s="34" t="s">
        <v>830</v>
      </c>
      <c r="I321" s="35"/>
    </row>
    <row r="322" spans="2:9">
      <c r="B322" s="23"/>
      <c r="C322" s="34" t="s">
        <v>469</v>
      </c>
      <c r="D322" s="34" t="s">
        <v>1304</v>
      </c>
      <c r="E322" s="34" t="s">
        <v>828</v>
      </c>
      <c r="F322" s="24" t="s">
        <v>23</v>
      </c>
      <c r="G322" s="34" t="s">
        <v>829</v>
      </c>
      <c r="H322" s="34" t="s">
        <v>830</v>
      </c>
      <c r="I322" s="35"/>
    </row>
    <row r="323" spans="2:9">
      <c r="B323" s="23"/>
      <c r="C323" s="34" t="s">
        <v>471</v>
      </c>
      <c r="D323" s="34" t="s">
        <v>1305</v>
      </c>
      <c r="E323" s="34" t="s">
        <v>828</v>
      </c>
      <c r="F323" s="24" t="s">
        <v>23</v>
      </c>
      <c r="G323" s="34" t="s">
        <v>829</v>
      </c>
      <c r="H323" s="34" t="s">
        <v>830</v>
      </c>
      <c r="I323" s="35"/>
    </row>
    <row r="324" spans="2:9">
      <c r="B324" s="23"/>
      <c r="C324" s="34" t="s">
        <v>1306</v>
      </c>
      <c r="D324" s="34" t="s">
        <v>1307</v>
      </c>
      <c r="E324" s="34" t="s">
        <v>828</v>
      </c>
      <c r="F324" s="24" t="s">
        <v>23</v>
      </c>
      <c r="G324" s="34" t="s">
        <v>829</v>
      </c>
      <c r="H324" s="34" t="s">
        <v>830</v>
      </c>
      <c r="I324" s="35"/>
    </row>
    <row r="325" spans="2:9">
      <c r="B325" s="23"/>
      <c r="C325" s="34" t="s">
        <v>473</v>
      </c>
      <c r="D325" s="34" t="s">
        <v>1308</v>
      </c>
      <c r="E325" s="34" t="s">
        <v>828</v>
      </c>
      <c r="F325" s="24" t="s">
        <v>23</v>
      </c>
      <c r="G325" s="34" t="s">
        <v>829</v>
      </c>
      <c r="H325" s="34" t="s">
        <v>830</v>
      </c>
      <c r="I325" s="35"/>
    </row>
    <row r="326" spans="2:9">
      <c r="B326" s="23"/>
      <c r="C326" s="34" t="s">
        <v>475</v>
      </c>
      <c r="D326" s="34" t="s">
        <v>1309</v>
      </c>
      <c r="E326" s="34" t="s">
        <v>828</v>
      </c>
      <c r="F326" s="24" t="s">
        <v>23</v>
      </c>
      <c r="G326" s="34" t="s">
        <v>829</v>
      </c>
      <c r="H326" s="34" t="s">
        <v>830</v>
      </c>
      <c r="I326" s="35"/>
    </row>
    <row r="327" spans="2:9">
      <c r="B327" s="23"/>
      <c r="C327" s="34" t="s">
        <v>1310</v>
      </c>
      <c r="D327" s="34" t="s">
        <v>1311</v>
      </c>
      <c r="E327" s="34" t="s">
        <v>828</v>
      </c>
      <c r="F327" s="24" t="s">
        <v>23</v>
      </c>
      <c r="G327" s="34" t="s">
        <v>829</v>
      </c>
      <c r="H327" s="34" t="s">
        <v>830</v>
      </c>
      <c r="I327" s="35"/>
    </row>
    <row r="328" spans="2:9">
      <c r="B328" s="23"/>
      <c r="C328" s="34" t="s">
        <v>1312</v>
      </c>
      <c r="D328" s="34" t="s">
        <v>1313</v>
      </c>
      <c r="E328" s="34" t="s">
        <v>828</v>
      </c>
      <c r="F328" s="25" t="s">
        <v>86</v>
      </c>
      <c r="G328" s="34" t="s">
        <v>829</v>
      </c>
      <c r="H328" s="34" t="s">
        <v>830</v>
      </c>
      <c r="I328" s="35"/>
    </row>
    <row r="329" spans="2:9">
      <c r="B329" s="23"/>
      <c r="C329" s="34" t="s">
        <v>477</v>
      </c>
      <c r="D329" s="34" t="s">
        <v>1314</v>
      </c>
      <c r="E329" s="34" t="s">
        <v>828</v>
      </c>
      <c r="F329" s="24" t="s">
        <v>23</v>
      </c>
      <c r="G329" s="34" t="s">
        <v>829</v>
      </c>
      <c r="H329" s="34" t="s">
        <v>830</v>
      </c>
      <c r="I329" s="35"/>
    </row>
    <row r="330" spans="2:9">
      <c r="B330" s="23"/>
      <c r="C330" s="34" t="s">
        <v>479</v>
      </c>
      <c r="D330" s="34" t="s">
        <v>1315</v>
      </c>
      <c r="E330" s="34" t="s">
        <v>828</v>
      </c>
      <c r="F330" s="24" t="s">
        <v>23</v>
      </c>
      <c r="G330" s="34" t="s">
        <v>829</v>
      </c>
      <c r="H330" s="34" t="s">
        <v>830</v>
      </c>
      <c r="I330" s="35"/>
    </row>
    <row r="331" spans="2:9">
      <c r="B331" s="23"/>
      <c r="C331" s="34" t="s">
        <v>482</v>
      </c>
      <c r="D331" s="34" t="s">
        <v>1316</v>
      </c>
      <c r="E331" s="34" t="s">
        <v>828</v>
      </c>
      <c r="F331" s="24" t="s">
        <v>23</v>
      </c>
      <c r="G331" s="34" t="s">
        <v>829</v>
      </c>
      <c r="H331" s="34" t="s">
        <v>830</v>
      </c>
      <c r="I331" s="35"/>
    </row>
    <row r="332" spans="2:9">
      <c r="B332" s="23"/>
      <c r="C332" s="34" t="s">
        <v>1317</v>
      </c>
      <c r="D332" s="34" t="s">
        <v>1318</v>
      </c>
      <c r="E332" s="34" t="s">
        <v>828</v>
      </c>
      <c r="F332" s="24" t="s">
        <v>23</v>
      </c>
      <c r="G332" s="34" t="s">
        <v>829</v>
      </c>
      <c r="H332" s="34" t="s">
        <v>830</v>
      </c>
      <c r="I332" s="35"/>
    </row>
    <row r="333" spans="2:9">
      <c r="B333" s="23"/>
      <c r="C333" s="34" t="s">
        <v>1319</v>
      </c>
      <c r="D333" s="34" t="s">
        <v>1320</v>
      </c>
      <c r="E333" s="34" t="s">
        <v>828</v>
      </c>
      <c r="F333" s="30" t="s">
        <v>1000</v>
      </c>
      <c r="G333" s="34" t="s">
        <v>830</v>
      </c>
      <c r="H333" s="34" t="s">
        <v>830</v>
      </c>
      <c r="I333" s="35"/>
    </row>
    <row r="334" spans="2:9">
      <c r="B334" s="23"/>
      <c r="C334" s="34" t="s">
        <v>1321</v>
      </c>
      <c r="D334" s="34" t="s">
        <v>1322</v>
      </c>
      <c r="E334" s="34" t="s">
        <v>924</v>
      </c>
      <c r="F334" s="25" t="s">
        <v>86</v>
      </c>
      <c r="G334" s="34" t="s">
        <v>829</v>
      </c>
      <c r="H334" s="34" t="s">
        <v>925</v>
      </c>
      <c r="I334" s="35"/>
    </row>
    <row r="335" spans="2:9">
      <c r="B335" s="23"/>
      <c r="C335" s="34" t="s">
        <v>1323</v>
      </c>
      <c r="D335" s="34" t="s">
        <v>1324</v>
      </c>
      <c r="E335" s="34" t="s">
        <v>828</v>
      </c>
      <c r="F335" s="24" t="s">
        <v>23</v>
      </c>
      <c r="G335" s="34" t="s">
        <v>829</v>
      </c>
      <c r="H335" s="34" t="s">
        <v>830</v>
      </c>
      <c r="I335" s="35"/>
    </row>
    <row r="336" spans="2:9">
      <c r="B336" s="23"/>
      <c r="C336" s="34" t="s">
        <v>1325</v>
      </c>
      <c r="D336" s="34" t="s">
        <v>1326</v>
      </c>
      <c r="E336" s="34" t="s">
        <v>828</v>
      </c>
      <c r="F336" s="24" t="s">
        <v>23</v>
      </c>
      <c r="G336" s="34" t="s">
        <v>829</v>
      </c>
      <c r="H336" s="34" t="s">
        <v>830</v>
      </c>
      <c r="I336" s="35"/>
    </row>
    <row r="337" spans="2:9">
      <c r="B337" s="23"/>
      <c r="C337" s="34" t="s">
        <v>1327</v>
      </c>
      <c r="D337" s="34" t="s">
        <v>1328</v>
      </c>
      <c r="E337" s="34" t="s">
        <v>828</v>
      </c>
      <c r="F337" s="24" t="s">
        <v>23</v>
      </c>
      <c r="G337" s="34" t="s">
        <v>829</v>
      </c>
      <c r="H337" s="34" t="s">
        <v>830</v>
      </c>
      <c r="I337" s="35"/>
    </row>
    <row r="338" spans="2:9">
      <c r="B338" s="23"/>
      <c r="C338" s="34" t="s">
        <v>1329</v>
      </c>
      <c r="D338" s="34" t="s">
        <v>1330</v>
      </c>
      <c r="E338" s="34" t="s">
        <v>828</v>
      </c>
      <c r="F338" s="25" t="s">
        <v>86</v>
      </c>
      <c r="G338" s="34" t="s">
        <v>829</v>
      </c>
      <c r="H338" s="34" t="s">
        <v>830</v>
      </c>
      <c r="I338" s="35"/>
    </row>
    <row r="339" spans="2:9">
      <c r="B339" s="23"/>
      <c r="C339" s="34" t="s">
        <v>484</v>
      </c>
      <c r="D339" s="34" t="s">
        <v>1331</v>
      </c>
      <c r="E339" s="34" t="s">
        <v>828</v>
      </c>
      <c r="F339" s="24" t="s">
        <v>23</v>
      </c>
      <c r="G339" s="34" t="s">
        <v>829</v>
      </c>
      <c r="H339" s="34" t="s">
        <v>830</v>
      </c>
      <c r="I339" s="35"/>
    </row>
    <row r="340" spans="2:9">
      <c r="B340" s="23"/>
      <c r="C340" s="34" t="s">
        <v>1332</v>
      </c>
      <c r="D340" s="34" t="s">
        <v>1333</v>
      </c>
      <c r="E340" s="34" t="s">
        <v>828</v>
      </c>
      <c r="F340" s="25" t="s">
        <v>86</v>
      </c>
      <c r="G340" s="34" t="s">
        <v>829</v>
      </c>
      <c r="H340" s="34" t="s">
        <v>830</v>
      </c>
      <c r="I340" s="35"/>
    </row>
    <row r="341" spans="2:9">
      <c r="B341" s="23"/>
      <c r="C341" s="34" t="s">
        <v>486</v>
      </c>
      <c r="D341" s="34" t="s">
        <v>1334</v>
      </c>
      <c r="E341" s="34" t="s">
        <v>828</v>
      </c>
      <c r="F341" s="24" t="s">
        <v>23</v>
      </c>
      <c r="G341" s="34" t="s">
        <v>829</v>
      </c>
      <c r="H341" s="34" t="s">
        <v>830</v>
      </c>
      <c r="I341" s="35"/>
    </row>
    <row r="342" spans="2:9">
      <c r="B342" s="23"/>
      <c r="C342" s="34" t="s">
        <v>1335</v>
      </c>
      <c r="D342" s="34" t="s">
        <v>1336</v>
      </c>
      <c r="E342" s="34" t="s">
        <v>828</v>
      </c>
      <c r="F342" s="24" t="s">
        <v>23</v>
      </c>
      <c r="G342" s="34" t="s">
        <v>829</v>
      </c>
      <c r="H342" s="34" t="s">
        <v>830</v>
      </c>
      <c r="I342" s="35"/>
    </row>
    <row r="343" spans="2:9">
      <c r="B343" s="23"/>
      <c r="C343" s="34" t="s">
        <v>1337</v>
      </c>
      <c r="D343" s="34" t="s">
        <v>1338</v>
      </c>
      <c r="E343" s="34" t="s">
        <v>828</v>
      </c>
      <c r="F343" s="24" t="s">
        <v>23</v>
      </c>
      <c r="G343" s="34" t="s">
        <v>829</v>
      </c>
      <c r="H343" s="34" t="s">
        <v>830</v>
      </c>
      <c r="I343" s="35"/>
    </row>
    <row r="344" spans="2:9">
      <c r="B344" s="23"/>
      <c r="C344" s="34" t="s">
        <v>488</v>
      </c>
      <c r="D344" s="34" t="s">
        <v>1339</v>
      </c>
      <c r="E344" s="34" t="s">
        <v>828</v>
      </c>
      <c r="F344" s="24" t="s">
        <v>23</v>
      </c>
      <c r="G344" s="34" t="s">
        <v>829</v>
      </c>
      <c r="H344" s="34" t="s">
        <v>830</v>
      </c>
      <c r="I344" s="35"/>
    </row>
    <row r="345" spans="2:9">
      <c r="B345" s="23"/>
      <c r="C345" s="34" t="s">
        <v>490</v>
      </c>
      <c r="D345" s="34" t="s">
        <v>1340</v>
      </c>
      <c r="E345" s="34" t="s">
        <v>839</v>
      </c>
      <c r="F345" s="24" t="s">
        <v>23</v>
      </c>
      <c r="G345" s="34" t="s">
        <v>829</v>
      </c>
      <c r="H345" s="34" t="s">
        <v>830</v>
      </c>
      <c r="I345" s="35"/>
    </row>
    <row r="346" spans="2:9">
      <c r="B346" s="23"/>
      <c r="C346" s="34" t="s">
        <v>493</v>
      </c>
      <c r="D346" s="34" t="s">
        <v>1341</v>
      </c>
      <c r="E346" s="34" t="s">
        <v>828</v>
      </c>
      <c r="F346" s="24" t="s">
        <v>23</v>
      </c>
      <c r="G346" s="34" t="s">
        <v>829</v>
      </c>
      <c r="H346" s="34" t="s">
        <v>830</v>
      </c>
      <c r="I346" s="35"/>
    </row>
    <row r="347" spans="2:9">
      <c r="B347" s="23"/>
      <c r="C347" s="34" t="s">
        <v>1342</v>
      </c>
      <c r="D347" s="34" t="s">
        <v>1343</v>
      </c>
      <c r="E347" s="34" t="s">
        <v>828</v>
      </c>
      <c r="F347" s="24" t="s">
        <v>23</v>
      </c>
      <c r="G347" s="34" t="s">
        <v>829</v>
      </c>
      <c r="H347" s="34" t="s">
        <v>830</v>
      </c>
      <c r="I347" s="35"/>
    </row>
    <row r="348" spans="2:9">
      <c r="B348" s="23"/>
      <c r="C348" s="34" t="s">
        <v>495</v>
      </c>
      <c r="D348" s="34" t="s">
        <v>1344</v>
      </c>
      <c r="E348" s="34" t="s">
        <v>828</v>
      </c>
      <c r="F348" s="24" t="s">
        <v>23</v>
      </c>
      <c r="G348" s="34" t="s">
        <v>829</v>
      </c>
      <c r="H348" s="34" t="s">
        <v>830</v>
      </c>
      <c r="I348" s="35"/>
    </row>
    <row r="349" spans="2:9">
      <c r="B349" s="23"/>
      <c r="C349" s="34" t="s">
        <v>1345</v>
      </c>
      <c r="D349" s="34" t="s">
        <v>1346</v>
      </c>
      <c r="E349" s="34" t="s">
        <v>828</v>
      </c>
      <c r="F349" s="25" t="s">
        <v>86</v>
      </c>
      <c r="G349" s="34" t="s">
        <v>829</v>
      </c>
      <c r="H349" s="34" t="s">
        <v>830</v>
      </c>
      <c r="I349" s="35"/>
    </row>
    <row r="350" spans="2:9">
      <c r="B350" s="23"/>
      <c r="C350" s="34" t="s">
        <v>498</v>
      </c>
      <c r="D350" s="34" t="s">
        <v>1347</v>
      </c>
      <c r="E350" s="34" t="s">
        <v>828</v>
      </c>
      <c r="F350" s="24" t="s">
        <v>23</v>
      </c>
      <c r="G350" s="34" t="s">
        <v>829</v>
      </c>
      <c r="H350" s="34" t="s">
        <v>830</v>
      </c>
      <c r="I350" s="35"/>
    </row>
    <row r="351" spans="2:9">
      <c r="B351" s="23"/>
      <c r="C351" s="34" t="s">
        <v>1348</v>
      </c>
      <c r="D351" s="34" t="s">
        <v>1349</v>
      </c>
      <c r="E351" s="34" t="s">
        <v>839</v>
      </c>
      <c r="F351" s="26" t="s">
        <v>82</v>
      </c>
      <c r="G351" s="34" t="s">
        <v>829</v>
      </c>
      <c r="H351" s="34" t="s">
        <v>830</v>
      </c>
      <c r="I351" s="35"/>
    </row>
    <row r="352" spans="2:9">
      <c r="B352" s="23"/>
      <c r="C352" s="34" t="s">
        <v>500</v>
      </c>
      <c r="D352" s="34" t="s">
        <v>1350</v>
      </c>
      <c r="E352" s="34" t="s">
        <v>828</v>
      </c>
      <c r="F352" s="24" t="s">
        <v>23</v>
      </c>
      <c r="G352" s="34" t="s">
        <v>829</v>
      </c>
      <c r="H352" s="34" t="s">
        <v>830</v>
      </c>
      <c r="I352" s="35"/>
    </row>
    <row r="353" spans="2:9">
      <c r="B353" s="23"/>
      <c r="C353" s="34" t="s">
        <v>1351</v>
      </c>
      <c r="D353" s="34" t="s">
        <v>1352</v>
      </c>
      <c r="E353" s="34" t="s">
        <v>828</v>
      </c>
      <c r="F353" s="25" t="s">
        <v>86</v>
      </c>
      <c r="G353" s="34" t="s">
        <v>829</v>
      </c>
      <c r="H353" s="34" t="s">
        <v>830</v>
      </c>
      <c r="I353" s="35"/>
    </row>
    <row r="354" spans="2:9">
      <c r="B354" s="23"/>
      <c r="C354" s="34" t="s">
        <v>503</v>
      </c>
      <c r="D354" s="34" t="s">
        <v>1353</v>
      </c>
      <c r="E354" s="34" t="s">
        <v>828</v>
      </c>
      <c r="F354" s="24" t="s">
        <v>23</v>
      </c>
      <c r="G354" s="34" t="s">
        <v>829</v>
      </c>
      <c r="H354" s="34" t="s">
        <v>830</v>
      </c>
      <c r="I354" s="35"/>
    </row>
    <row r="355" spans="2:9">
      <c r="B355" s="23"/>
      <c r="C355" s="34" t="s">
        <v>505</v>
      </c>
      <c r="D355" s="34" t="s">
        <v>1354</v>
      </c>
      <c r="E355" s="34" t="s">
        <v>828</v>
      </c>
      <c r="F355" s="24" t="s">
        <v>23</v>
      </c>
      <c r="G355" s="34" t="s">
        <v>829</v>
      </c>
      <c r="H355" s="34" t="s">
        <v>830</v>
      </c>
      <c r="I355" s="35"/>
    </row>
    <row r="356" spans="2:9">
      <c r="B356" s="23"/>
      <c r="C356" s="34" t="s">
        <v>1355</v>
      </c>
      <c r="D356" s="34" t="s">
        <v>1356</v>
      </c>
      <c r="E356" s="34" t="s">
        <v>828</v>
      </c>
      <c r="F356" s="24" t="s">
        <v>23</v>
      </c>
      <c r="G356" s="34" t="s">
        <v>829</v>
      </c>
      <c r="H356" s="34" t="s">
        <v>830</v>
      </c>
      <c r="I356" s="35"/>
    </row>
    <row r="357" spans="2:9">
      <c r="B357" s="23"/>
      <c r="C357" s="34" t="s">
        <v>507</v>
      </c>
      <c r="D357" s="34" t="s">
        <v>1357</v>
      </c>
      <c r="E357" s="34" t="s">
        <v>828</v>
      </c>
      <c r="F357" s="24" t="s">
        <v>23</v>
      </c>
      <c r="G357" s="34" t="s">
        <v>829</v>
      </c>
      <c r="H357" s="34" t="s">
        <v>830</v>
      </c>
      <c r="I357" s="35"/>
    </row>
    <row r="358" spans="2:9">
      <c r="B358" s="23"/>
      <c r="C358" s="34" t="s">
        <v>509</v>
      </c>
      <c r="D358" s="34" t="s">
        <v>1358</v>
      </c>
      <c r="E358" s="34" t="s">
        <v>828</v>
      </c>
      <c r="F358" s="24" t="s">
        <v>23</v>
      </c>
      <c r="G358" s="34" t="s">
        <v>829</v>
      </c>
      <c r="H358" s="34" t="s">
        <v>830</v>
      </c>
      <c r="I358" s="35"/>
    </row>
    <row r="359" spans="2:9">
      <c r="B359" s="23"/>
      <c r="C359" s="34" t="s">
        <v>1359</v>
      </c>
      <c r="D359" s="34" t="s">
        <v>1360</v>
      </c>
      <c r="E359" s="34" t="s">
        <v>828</v>
      </c>
      <c r="F359" s="26" t="s">
        <v>82</v>
      </c>
      <c r="G359" s="34" t="s">
        <v>829</v>
      </c>
      <c r="H359" s="34" t="s">
        <v>830</v>
      </c>
      <c r="I359" s="35"/>
    </row>
    <row r="360" spans="2:9">
      <c r="B360" s="23"/>
      <c r="C360" s="34" t="s">
        <v>511</v>
      </c>
      <c r="D360" s="34" t="s">
        <v>1361</v>
      </c>
      <c r="E360" s="34" t="s">
        <v>828</v>
      </c>
      <c r="F360" s="24" t="s">
        <v>23</v>
      </c>
      <c r="G360" s="34" t="s">
        <v>829</v>
      </c>
      <c r="H360" s="34" t="s">
        <v>830</v>
      </c>
      <c r="I360" s="35"/>
    </row>
    <row r="361" spans="2:9">
      <c r="B361" s="23"/>
      <c r="C361" s="34" t="s">
        <v>514</v>
      </c>
      <c r="D361" s="34" t="s">
        <v>1362</v>
      </c>
      <c r="E361" s="34" t="s">
        <v>828</v>
      </c>
      <c r="F361" s="24" t="s">
        <v>23</v>
      </c>
      <c r="G361" s="34" t="s">
        <v>829</v>
      </c>
      <c r="H361" s="34" t="s">
        <v>830</v>
      </c>
      <c r="I361" s="35"/>
    </row>
    <row r="362" spans="2:9">
      <c r="B362" s="23"/>
      <c r="C362" s="34" t="s">
        <v>36</v>
      </c>
      <c r="D362" s="34" t="s">
        <v>1363</v>
      </c>
      <c r="E362" s="34" t="s">
        <v>839</v>
      </c>
      <c r="F362" s="24" t="s">
        <v>23</v>
      </c>
      <c r="G362" s="34" t="s">
        <v>829</v>
      </c>
      <c r="H362" s="34" t="s">
        <v>830</v>
      </c>
      <c r="I362" s="35"/>
    </row>
    <row r="363" spans="2:9">
      <c r="B363" s="23"/>
      <c r="C363" s="34" t="s">
        <v>516</v>
      </c>
      <c r="D363" s="34" t="s">
        <v>1364</v>
      </c>
      <c r="E363" s="34" t="s">
        <v>839</v>
      </c>
      <c r="F363" s="24" t="s">
        <v>23</v>
      </c>
      <c r="G363" s="34" t="s">
        <v>829</v>
      </c>
      <c r="H363" s="34" t="s">
        <v>830</v>
      </c>
      <c r="I363" s="35"/>
    </row>
    <row r="364" spans="2:9">
      <c r="B364" s="23"/>
      <c r="C364" s="34" t="s">
        <v>519</v>
      </c>
      <c r="D364" s="34" t="s">
        <v>1365</v>
      </c>
      <c r="E364" s="34" t="s">
        <v>839</v>
      </c>
      <c r="F364" s="24" t="s">
        <v>23</v>
      </c>
      <c r="G364" s="34" t="s">
        <v>829</v>
      </c>
      <c r="H364" s="34" t="s">
        <v>830</v>
      </c>
      <c r="I364" s="35"/>
    </row>
    <row r="365" spans="2:9">
      <c r="B365" s="23"/>
      <c r="C365" s="34" t="s">
        <v>1366</v>
      </c>
      <c r="D365" s="34" t="s">
        <v>1367</v>
      </c>
      <c r="E365" s="34" t="s">
        <v>828</v>
      </c>
      <c r="F365" s="25" t="s">
        <v>86</v>
      </c>
      <c r="G365" s="34" t="s">
        <v>829</v>
      </c>
      <c r="H365" s="34" t="s">
        <v>830</v>
      </c>
      <c r="I365" s="35"/>
    </row>
    <row r="366" spans="2:9">
      <c r="B366" s="23"/>
      <c r="C366" s="34" t="s">
        <v>1368</v>
      </c>
      <c r="D366" s="34" t="s">
        <v>1369</v>
      </c>
      <c r="E366" s="34" t="s">
        <v>828</v>
      </c>
      <c r="F366" s="25" t="s">
        <v>86</v>
      </c>
      <c r="G366" s="34" t="s">
        <v>829</v>
      </c>
      <c r="H366" s="34" t="s">
        <v>830</v>
      </c>
      <c r="I366" s="35"/>
    </row>
    <row r="367" spans="2:9">
      <c r="B367" s="23"/>
      <c r="C367" s="34" t="s">
        <v>521</v>
      </c>
      <c r="D367" s="34" t="s">
        <v>1370</v>
      </c>
      <c r="E367" s="34" t="s">
        <v>828</v>
      </c>
      <c r="F367" s="24" t="s">
        <v>23</v>
      </c>
      <c r="G367" s="34" t="s">
        <v>829</v>
      </c>
      <c r="H367" s="34" t="s">
        <v>830</v>
      </c>
      <c r="I367" s="35"/>
    </row>
    <row r="368" spans="2:9">
      <c r="B368" s="23"/>
      <c r="C368" s="34" t="s">
        <v>524</v>
      </c>
      <c r="D368" s="34" t="s">
        <v>1371</v>
      </c>
      <c r="E368" s="34" t="s">
        <v>828</v>
      </c>
      <c r="F368" s="24" t="s">
        <v>23</v>
      </c>
      <c r="G368" s="34" t="s">
        <v>829</v>
      </c>
      <c r="H368" s="34" t="s">
        <v>830</v>
      </c>
      <c r="I368" s="35"/>
    </row>
    <row r="369" spans="2:9">
      <c r="B369" s="23"/>
      <c r="C369" s="34" t="s">
        <v>1372</v>
      </c>
      <c r="D369" s="34" t="s">
        <v>1373</v>
      </c>
      <c r="E369" s="34" t="s">
        <v>828</v>
      </c>
      <c r="F369" s="24" t="s">
        <v>23</v>
      </c>
      <c r="G369" s="34" t="s">
        <v>829</v>
      </c>
      <c r="H369" s="34" t="s">
        <v>830</v>
      </c>
      <c r="I369" s="35"/>
    </row>
    <row r="370" spans="2:9">
      <c r="B370" s="23"/>
      <c r="C370" s="34" t="s">
        <v>1374</v>
      </c>
      <c r="D370" s="34" t="s">
        <v>1375</v>
      </c>
      <c r="E370" s="34" t="s">
        <v>828</v>
      </c>
      <c r="F370" s="25" t="s">
        <v>86</v>
      </c>
      <c r="G370" s="34" t="s">
        <v>829</v>
      </c>
      <c r="H370" s="34" t="s">
        <v>830</v>
      </c>
      <c r="I370" s="35"/>
    </row>
    <row r="371" spans="2:9">
      <c r="B371" s="23"/>
      <c r="C371" s="34" t="s">
        <v>1376</v>
      </c>
      <c r="D371" s="34" t="s">
        <v>1377</v>
      </c>
      <c r="E371" s="34" t="s">
        <v>924</v>
      </c>
      <c r="F371" s="24" t="s">
        <v>23</v>
      </c>
      <c r="G371" s="34" t="s">
        <v>829</v>
      </c>
      <c r="H371" s="34" t="s">
        <v>925</v>
      </c>
      <c r="I371" s="35"/>
    </row>
    <row r="372" spans="2:9">
      <c r="B372" s="23"/>
      <c r="C372" s="34" t="s">
        <v>1378</v>
      </c>
      <c r="D372" s="34" t="s">
        <v>1379</v>
      </c>
      <c r="E372" s="34" t="s">
        <v>828</v>
      </c>
      <c r="F372" s="25" t="s">
        <v>86</v>
      </c>
      <c r="G372" s="34" t="s">
        <v>829</v>
      </c>
      <c r="H372" s="34" t="s">
        <v>830</v>
      </c>
      <c r="I372" s="35"/>
    </row>
    <row r="373" spans="2:9">
      <c r="B373" s="23"/>
      <c r="C373" s="34" t="s">
        <v>1380</v>
      </c>
      <c r="D373" s="34" t="s">
        <v>1381</v>
      </c>
      <c r="E373" s="34" t="s">
        <v>828</v>
      </c>
      <c r="F373" s="24" t="s">
        <v>23</v>
      </c>
      <c r="G373" s="34" t="s">
        <v>829</v>
      </c>
      <c r="H373" s="34" t="s">
        <v>830</v>
      </c>
      <c r="I373" s="35"/>
    </row>
    <row r="374" spans="2:9">
      <c r="B374" s="23"/>
      <c r="C374" s="34" t="s">
        <v>1382</v>
      </c>
      <c r="D374" s="34" t="s">
        <v>1383</v>
      </c>
      <c r="E374" s="34" t="s">
        <v>828</v>
      </c>
      <c r="F374" s="24" t="s">
        <v>23</v>
      </c>
      <c r="G374" s="34" t="s">
        <v>829</v>
      </c>
      <c r="H374" s="34" t="s">
        <v>830</v>
      </c>
      <c r="I374" s="35"/>
    </row>
    <row r="375" spans="2:9">
      <c r="B375" s="23"/>
      <c r="C375" s="34" t="s">
        <v>526</v>
      </c>
      <c r="D375" s="34" t="s">
        <v>1384</v>
      </c>
      <c r="E375" s="34" t="s">
        <v>828</v>
      </c>
      <c r="F375" s="24" t="s">
        <v>23</v>
      </c>
      <c r="G375" s="34" t="s">
        <v>829</v>
      </c>
      <c r="H375" s="34" t="s">
        <v>830</v>
      </c>
      <c r="I375" s="35"/>
    </row>
    <row r="376" spans="2:9">
      <c r="B376" s="23"/>
      <c r="C376" s="34" t="s">
        <v>1385</v>
      </c>
      <c r="D376" s="34" t="s">
        <v>1386</v>
      </c>
      <c r="E376" s="34" t="s">
        <v>828</v>
      </c>
      <c r="F376" s="24" t="s">
        <v>23</v>
      </c>
      <c r="G376" s="34" t="s">
        <v>829</v>
      </c>
      <c r="H376" s="34" t="s">
        <v>830</v>
      </c>
      <c r="I376" s="35"/>
    </row>
    <row r="377" spans="2:9">
      <c r="B377" s="23"/>
      <c r="C377" s="34" t="s">
        <v>528</v>
      </c>
      <c r="D377" s="34" t="s">
        <v>1387</v>
      </c>
      <c r="E377" s="34" t="s">
        <v>828</v>
      </c>
      <c r="F377" s="24" t="s">
        <v>23</v>
      </c>
      <c r="G377" s="34" t="s">
        <v>829</v>
      </c>
      <c r="H377" s="34" t="s">
        <v>830</v>
      </c>
      <c r="I377" s="35"/>
    </row>
    <row r="378" spans="2:9">
      <c r="B378" s="23"/>
      <c r="C378" s="34" t="s">
        <v>1388</v>
      </c>
      <c r="D378" s="34" t="s">
        <v>1389</v>
      </c>
      <c r="E378" s="34" t="s">
        <v>828</v>
      </c>
      <c r="F378" s="24" t="s">
        <v>23</v>
      </c>
      <c r="G378" s="34" t="s">
        <v>829</v>
      </c>
      <c r="H378" s="34" t="s">
        <v>830</v>
      </c>
      <c r="I378" s="35"/>
    </row>
    <row r="379" spans="2:9">
      <c r="B379" s="23"/>
      <c r="C379" s="34" t="s">
        <v>530</v>
      </c>
      <c r="D379" s="34" t="s">
        <v>1390</v>
      </c>
      <c r="E379" s="34" t="s">
        <v>828</v>
      </c>
      <c r="F379" s="24" t="s">
        <v>23</v>
      </c>
      <c r="G379" s="34" t="s">
        <v>829</v>
      </c>
      <c r="H379" s="34" t="s">
        <v>830</v>
      </c>
      <c r="I379" s="35"/>
    </row>
    <row r="380" spans="2:9">
      <c r="B380" s="23"/>
      <c r="C380" s="34" t="s">
        <v>1391</v>
      </c>
      <c r="D380" s="34" t="s">
        <v>1392</v>
      </c>
      <c r="E380" s="34" t="s">
        <v>828</v>
      </c>
      <c r="F380" s="25" t="s">
        <v>86</v>
      </c>
      <c r="G380" s="34" t="s">
        <v>829</v>
      </c>
      <c r="H380" s="34" t="s">
        <v>830</v>
      </c>
      <c r="I380" s="35"/>
    </row>
    <row r="381" spans="2:9">
      <c r="B381" s="23"/>
      <c r="C381" s="34" t="s">
        <v>532</v>
      </c>
      <c r="D381" s="34" t="s">
        <v>1393</v>
      </c>
      <c r="E381" s="34" t="s">
        <v>828</v>
      </c>
      <c r="F381" s="24" t="s">
        <v>23</v>
      </c>
      <c r="G381" s="34" t="s">
        <v>829</v>
      </c>
      <c r="H381" s="34" t="s">
        <v>830</v>
      </c>
      <c r="I381" s="35"/>
    </row>
    <row r="382" spans="2:9">
      <c r="B382" s="23"/>
      <c r="C382" s="34" t="s">
        <v>534</v>
      </c>
      <c r="D382" s="34" t="s">
        <v>1394</v>
      </c>
      <c r="E382" s="34" t="s">
        <v>828</v>
      </c>
      <c r="F382" s="24" t="s">
        <v>23</v>
      </c>
      <c r="G382" s="34" t="s">
        <v>829</v>
      </c>
      <c r="H382" s="34" t="s">
        <v>830</v>
      </c>
      <c r="I382" s="35"/>
    </row>
    <row r="383" spans="2:9">
      <c r="B383" s="23"/>
      <c r="C383" s="34" t="s">
        <v>536</v>
      </c>
      <c r="D383" s="34" t="s">
        <v>1395</v>
      </c>
      <c r="E383" s="34" t="s">
        <v>828</v>
      </c>
      <c r="F383" s="24" t="s">
        <v>23</v>
      </c>
      <c r="G383" s="34" t="s">
        <v>829</v>
      </c>
      <c r="H383" s="34" t="s">
        <v>830</v>
      </c>
      <c r="I383" s="35"/>
    </row>
    <row r="384" spans="2:9">
      <c r="B384" s="23"/>
      <c r="C384" s="34" t="s">
        <v>538</v>
      </c>
      <c r="D384" s="34" t="s">
        <v>1396</v>
      </c>
      <c r="E384" s="34" t="s">
        <v>828</v>
      </c>
      <c r="F384" s="24" t="s">
        <v>23</v>
      </c>
      <c r="G384" s="34" t="s">
        <v>829</v>
      </c>
      <c r="H384" s="34" t="s">
        <v>830</v>
      </c>
      <c r="I384" s="35"/>
    </row>
    <row r="385" spans="2:9">
      <c r="B385" s="23"/>
      <c r="C385" s="34" t="s">
        <v>541</v>
      </c>
      <c r="D385" s="34" t="s">
        <v>1397</v>
      </c>
      <c r="E385" s="34" t="s">
        <v>828</v>
      </c>
      <c r="F385" s="24" t="s">
        <v>23</v>
      </c>
      <c r="G385" s="34" t="s">
        <v>829</v>
      </c>
      <c r="H385" s="34" t="s">
        <v>830</v>
      </c>
      <c r="I385" s="35"/>
    </row>
    <row r="386" spans="2:9">
      <c r="B386" s="23"/>
      <c r="C386" s="34" t="s">
        <v>543</v>
      </c>
      <c r="D386" s="34" t="s">
        <v>1398</v>
      </c>
      <c r="E386" s="34" t="s">
        <v>828</v>
      </c>
      <c r="F386" s="24" t="s">
        <v>23</v>
      </c>
      <c r="G386" s="34" t="s">
        <v>829</v>
      </c>
      <c r="H386" s="34" t="s">
        <v>830</v>
      </c>
      <c r="I386" s="35"/>
    </row>
    <row r="387" spans="2:9">
      <c r="B387" s="23"/>
      <c r="C387" s="34" t="s">
        <v>1399</v>
      </c>
      <c r="D387" s="34" t="s">
        <v>1400</v>
      </c>
      <c r="E387" s="34" t="s">
        <v>828</v>
      </c>
      <c r="F387" s="25" t="s">
        <v>86</v>
      </c>
      <c r="G387" s="34" t="s">
        <v>829</v>
      </c>
      <c r="H387" s="34" t="s">
        <v>830</v>
      </c>
      <c r="I387" s="35"/>
    </row>
    <row r="388" spans="2:9">
      <c r="B388" s="23"/>
      <c r="C388" s="34" t="s">
        <v>545</v>
      </c>
      <c r="D388" s="34" t="s">
        <v>1401</v>
      </c>
      <c r="E388" s="34" t="s">
        <v>828</v>
      </c>
      <c r="F388" s="24" t="s">
        <v>23</v>
      </c>
      <c r="G388" s="34" t="s">
        <v>829</v>
      </c>
      <c r="H388" s="34" t="s">
        <v>830</v>
      </c>
      <c r="I388" s="35"/>
    </row>
    <row r="389" spans="2:9">
      <c r="B389" s="23"/>
      <c r="C389" s="34" t="s">
        <v>547</v>
      </c>
      <c r="D389" s="34" t="s">
        <v>1402</v>
      </c>
      <c r="E389" s="34" t="s">
        <v>828</v>
      </c>
      <c r="F389" s="24" t="s">
        <v>23</v>
      </c>
      <c r="G389" s="34" t="s">
        <v>829</v>
      </c>
      <c r="H389" s="34" t="s">
        <v>830</v>
      </c>
      <c r="I389" s="35"/>
    </row>
    <row r="390" spans="2:9">
      <c r="B390" s="23"/>
      <c r="C390" s="34" t="s">
        <v>549</v>
      </c>
      <c r="D390" s="34" t="s">
        <v>1403</v>
      </c>
      <c r="E390" s="34" t="s">
        <v>828</v>
      </c>
      <c r="F390" s="24" t="s">
        <v>23</v>
      </c>
      <c r="G390" s="34" t="s">
        <v>829</v>
      </c>
      <c r="H390" s="34" t="s">
        <v>830</v>
      </c>
      <c r="I390" s="35"/>
    </row>
    <row r="391" spans="2:9">
      <c r="B391" s="23"/>
      <c r="C391" s="34" t="s">
        <v>552</v>
      </c>
      <c r="D391" s="34" t="s">
        <v>1404</v>
      </c>
      <c r="E391" s="34" t="s">
        <v>828</v>
      </c>
      <c r="F391" s="24" t="s">
        <v>23</v>
      </c>
      <c r="G391" s="34" t="s">
        <v>829</v>
      </c>
      <c r="H391" s="34" t="s">
        <v>830</v>
      </c>
      <c r="I391" s="35"/>
    </row>
    <row r="392" spans="2:9">
      <c r="B392" s="23"/>
      <c r="C392" s="34" t="s">
        <v>1405</v>
      </c>
      <c r="D392" s="34" t="s">
        <v>1406</v>
      </c>
      <c r="E392" s="34" t="s">
        <v>828</v>
      </c>
      <c r="F392" s="24" t="s">
        <v>23</v>
      </c>
      <c r="G392" s="34" t="s">
        <v>829</v>
      </c>
      <c r="H392" s="34" t="s">
        <v>830</v>
      </c>
      <c r="I392" s="35"/>
    </row>
    <row r="393" spans="2:9">
      <c r="B393" s="23"/>
      <c r="C393" s="34" t="s">
        <v>1407</v>
      </c>
      <c r="D393" s="34" t="s">
        <v>1408</v>
      </c>
      <c r="E393" s="34" t="s">
        <v>828</v>
      </c>
      <c r="F393" s="24" t="s">
        <v>23</v>
      </c>
      <c r="G393" s="34" t="s">
        <v>829</v>
      </c>
      <c r="H393" s="34" t="s">
        <v>830</v>
      </c>
      <c r="I393" s="35"/>
    </row>
    <row r="394" spans="2:9">
      <c r="B394" s="23"/>
      <c r="C394" s="34" t="s">
        <v>1409</v>
      </c>
      <c r="D394" s="34" t="s">
        <v>1410</v>
      </c>
      <c r="E394" s="34" t="s">
        <v>828</v>
      </c>
      <c r="F394" s="25" t="s">
        <v>86</v>
      </c>
      <c r="G394" s="34" t="s">
        <v>829</v>
      </c>
      <c r="H394" s="34" t="s">
        <v>830</v>
      </c>
      <c r="I394" s="35"/>
    </row>
    <row r="395" spans="2:9">
      <c r="B395" s="23"/>
      <c r="C395" s="34" t="s">
        <v>554</v>
      </c>
      <c r="D395" s="34" t="s">
        <v>1411</v>
      </c>
      <c r="E395" s="34" t="s">
        <v>828</v>
      </c>
      <c r="F395" s="24" t="s">
        <v>23</v>
      </c>
      <c r="G395" s="34" t="s">
        <v>829</v>
      </c>
      <c r="H395" s="34" t="s">
        <v>830</v>
      </c>
      <c r="I395" s="35"/>
    </row>
    <row r="396" spans="2:9">
      <c r="B396" s="23"/>
      <c r="C396" s="34" t="s">
        <v>1412</v>
      </c>
      <c r="D396" s="34" t="s">
        <v>1413</v>
      </c>
      <c r="E396" s="34" t="s">
        <v>828</v>
      </c>
      <c r="F396" s="24" t="s">
        <v>23</v>
      </c>
      <c r="G396" s="34" t="s">
        <v>829</v>
      </c>
      <c r="H396" s="34" t="s">
        <v>830</v>
      </c>
      <c r="I396" s="35"/>
    </row>
    <row r="397" spans="2:9">
      <c r="B397" s="23"/>
      <c r="C397" s="34" t="s">
        <v>1414</v>
      </c>
      <c r="D397" s="34" t="s">
        <v>1415</v>
      </c>
      <c r="E397" s="34" t="s">
        <v>828</v>
      </c>
      <c r="F397" s="24" t="s">
        <v>23</v>
      </c>
      <c r="G397" s="34" t="s">
        <v>829</v>
      </c>
      <c r="H397" s="34" t="s">
        <v>830</v>
      </c>
      <c r="I397" s="35"/>
    </row>
    <row r="398" spans="2:9">
      <c r="B398" s="23"/>
      <c r="C398" s="34" t="s">
        <v>1416</v>
      </c>
      <c r="D398" s="34" t="s">
        <v>1417</v>
      </c>
      <c r="E398" s="34" t="s">
        <v>828</v>
      </c>
      <c r="F398" s="24" t="s">
        <v>23</v>
      </c>
      <c r="G398" s="34" t="s">
        <v>829</v>
      </c>
      <c r="H398" s="34" t="s">
        <v>830</v>
      </c>
      <c r="I398" s="35"/>
    </row>
    <row r="399" spans="2:9">
      <c r="B399" s="23"/>
      <c r="C399" s="34" t="s">
        <v>556</v>
      </c>
      <c r="D399" s="34" t="s">
        <v>1418</v>
      </c>
      <c r="E399" s="34" t="s">
        <v>828</v>
      </c>
      <c r="F399" s="24" t="s">
        <v>23</v>
      </c>
      <c r="G399" s="34" t="s">
        <v>829</v>
      </c>
      <c r="H399" s="34" t="s">
        <v>830</v>
      </c>
      <c r="I399" s="35"/>
    </row>
    <row r="400" spans="2:9">
      <c r="B400" s="23"/>
      <c r="C400" s="34" t="s">
        <v>558</v>
      </c>
      <c r="D400" s="34" t="s">
        <v>1419</v>
      </c>
      <c r="E400" s="34" t="s">
        <v>828</v>
      </c>
      <c r="F400" s="24" t="s">
        <v>23</v>
      </c>
      <c r="G400" s="34" t="s">
        <v>829</v>
      </c>
      <c r="H400" s="34" t="s">
        <v>830</v>
      </c>
      <c r="I400" s="35"/>
    </row>
    <row r="401" spans="2:9">
      <c r="B401" s="23"/>
      <c r="C401" s="34" t="s">
        <v>1420</v>
      </c>
      <c r="D401" s="34" t="s">
        <v>1421</v>
      </c>
      <c r="E401" s="34" t="s">
        <v>828</v>
      </c>
      <c r="F401" s="25" t="s">
        <v>86</v>
      </c>
      <c r="G401" s="34" t="s">
        <v>829</v>
      </c>
      <c r="H401" s="34" t="s">
        <v>830</v>
      </c>
      <c r="I401" s="35"/>
    </row>
    <row r="402" spans="2:9">
      <c r="B402" s="23"/>
      <c r="C402" s="34" t="s">
        <v>560</v>
      </c>
      <c r="D402" s="34" t="s">
        <v>1422</v>
      </c>
      <c r="E402" s="34" t="s">
        <v>828</v>
      </c>
      <c r="F402" s="24" t="s">
        <v>23</v>
      </c>
      <c r="G402" s="34" t="s">
        <v>829</v>
      </c>
      <c r="H402" s="34" t="s">
        <v>830</v>
      </c>
      <c r="I402" s="35"/>
    </row>
    <row r="403" spans="2:9">
      <c r="B403" s="23"/>
      <c r="C403" s="34" t="s">
        <v>1423</v>
      </c>
      <c r="D403" s="34" t="s">
        <v>1424</v>
      </c>
      <c r="E403" s="34" t="s">
        <v>828</v>
      </c>
      <c r="F403" s="24" t="s">
        <v>23</v>
      </c>
      <c r="G403" s="34" t="s">
        <v>829</v>
      </c>
      <c r="H403" s="34" t="s">
        <v>830</v>
      </c>
      <c r="I403" s="35"/>
    </row>
    <row r="404" spans="2:9">
      <c r="B404" s="23"/>
      <c r="C404" s="34" t="s">
        <v>562</v>
      </c>
      <c r="D404" s="34" t="s">
        <v>1425</v>
      </c>
      <c r="E404" s="34" t="s">
        <v>828</v>
      </c>
      <c r="F404" s="24" t="s">
        <v>23</v>
      </c>
      <c r="G404" s="34" t="s">
        <v>829</v>
      </c>
      <c r="H404" s="34" t="s">
        <v>830</v>
      </c>
      <c r="I404" s="35"/>
    </row>
    <row r="405" spans="2:9">
      <c r="B405" s="23"/>
      <c r="C405" s="34" t="s">
        <v>565</v>
      </c>
      <c r="D405" s="34" t="s">
        <v>1426</v>
      </c>
      <c r="E405" s="34" t="s">
        <v>828</v>
      </c>
      <c r="F405" s="24" t="s">
        <v>23</v>
      </c>
      <c r="G405" s="34" t="s">
        <v>829</v>
      </c>
      <c r="H405" s="34" t="s">
        <v>830</v>
      </c>
      <c r="I405" s="35"/>
    </row>
    <row r="406" spans="2:9">
      <c r="B406" s="23"/>
      <c r="C406" s="34" t="s">
        <v>1427</v>
      </c>
      <c r="D406" s="34" t="s">
        <v>1428</v>
      </c>
      <c r="E406" s="34" t="s">
        <v>828</v>
      </c>
      <c r="F406" s="24" t="s">
        <v>23</v>
      </c>
      <c r="G406" s="34" t="s">
        <v>829</v>
      </c>
      <c r="H406" s="34" t="s">
        <v>830</v>
      </c>
      <c r="I406" s="35"/>
    </row>
    <row r="407" spans="2:9">
      <c r="B407" s="23"/>
      <c r="C407" s="34" t="s">
        <v>1429</v>
      </c>
      <c r="D407" s="34" t="s">
        <v>1430</v>
      </c>
      <c r="E407" s="34" t="s">
        <v>828</v>
      </c>
      <c r="F407" s="24" t="s">
        <v>23</v>
      </c>
      <c r="G407" s="34" t="s">
        <v>829</v>
      </c>
      <c r="H407" s="34" t="s">
        <v>830</v>
      </c>
      <c r="I407" s="35"/>
    </row>
    <row r="408" spans="2:9">
      <c r="B408" s="23"/>
      <c r="C408" s="34" t="s">
        <v>567</v>
      </c>
      <c r="D408" s="34" t="s">
        <v>1431</v>
      </c>
      <c r="E408" s="34" t="s">
        <v>828</v>
      </c>
      <c r="F408" s="24" t="s">
        <v>23</v>
      </c>
      <c r="G408" s="34" t="s">
        <v>829</v>
      </c>
      <c r="H408" s="34" t="s">
        <v>830</v>
      </c>
      <c r="I408" s="35"/>
    </row>
    <row r="409" spans="2:9">
      <c r="B409" s="23"/>
      <c r="C409" s="34" t="s">
        <v>570</v>
      </c>
      <c r="D409" s="34" t="s">
        <v>1432</v>
      </c>
      <c r="E409" s="34" t="s">
        <v>828</v>
      </c>
      <c r="F409" s="24" t="s">
        <v>23</v>
      </c>
      <c r="G409" s="34" t="s">
        <v>829</v>
      </c>
      <c r="H409" s="34" t="s">
        <v>830</v>
      </c>
      <c r="I409" s="35"/>
    </row>
    <row r="410" spans="2:9">
      <c r="B410" s="23"/>
      <c r="C410" s="34" t="s">
        <v>572</v>
      </c>
      <c r="D410" s="34" t="s">
        <v>1433</v>
      </c>
      <c r="E410" s="34" t="s">
        <v>828</v>
      </c>
      <c r="F410" s="24" t="s">
        <v>23</v>
      </c>
      <c r="G410" s="34" t="s">
        <v>829</v>
      </c>
      <c r="H410" s="34" t="s">
        <v>830</v>
      </c>
      <c r="I410" s="35"/>
    </row>
    <row r="411" spans="2:9">
      <c r="B411" s="23"/>
      <c r="C411" s="34" t="s">
        <v>574</v>
      </c>
      <c r="D411" s="34" t="s">
        <v>1434</v>
      </c>
      <c r="E411" s="34" t="s">
        <v>828</v>
      </c>
      <c r="F411" s="24" t="s">
        <v>23</v>
      </c>
      <c r="G411" s="34" t="s">
        <v>829</v>
      </c>
      <c r="H411" s="34" t="s">
        <v>830</v>
      </c>
      <c r="I411" s="35"/>
    </row>
    <row r="412" spans="2:9">
      <c r="B412" s="23"/>
      <c r="C412" s="34" t="s">
        <v>1435</v>
      </c>
      <c r="D412" s="34" t="s">
        <v>1436</v>
      </c>
      <c r="E412" s="34" t="s">
        <v>828</v>
      </c>
      <c r="F412" s="25" t="s">
        <v>86</v>
      </c>
      <c r="G412" s="34" t="s">
        <v>829</v>
      </c>
      <c r="H412" s="34" t="s">
        <v>830</v>
      </c>
      <c r="I412" s="35"/>
    </row>
    <row r="413" spans="2:9">
      <c r="B413" s="23"/>
      <c r="C413" s="34" t="s">
        <v>1437</v>
      </c>
      <c r="D413" s="34" t="s">
        <v>1438</v>
      </c>
      <c r="E413" s="34" t="s">
        <v>839</v>
      </c>
      <c r="F413" s="25" t="s">
        <v>86</v>
      </c>
      <c r="G413" s="34" t="s">
        <v>829</v>
      </c>
      <c r="H413" s="34" t="s">
        <v>830</v>
      </c>
      <c r="I413" s="35"/>
    </row>
    <row r="414" spans="2:9">
      <c r="B414" s="23"/>
      <c r="C414" s="34" t="s">
        <v>577</v>
      </c>
      <c r="D414" s="34" t="s">
        <v>1439</v>
      </c>
      <c r="E414" s="34" t="s">
        <v>828</v>
      </c>
      <c r="F414" s="24" t="s">
        <v>23</v>
      </c>
      <c r="G414" s="34" t="s">
        <v>829</v>
      </c>
      <c r="H414" s="34" t="s">
        <v>830</v>
      </c>
      <c r="I414" s="35"/>
    </row>
    <row r="415" spans="2:9">
      <c r="B415" s="23"/>
      <c r="C415" s="34" t="s">
        <v>1440</v>
      </c>
      <c r="D415" s="34" t="s">
        <v>1441</v>
      </c>
      <c r="E415" s="34" t="s">
        <v>828</v>
      </c>
      <c r="F415" s="24" t="s">
        <v>23</v>
      </c>
      <c r="G415" s="34" t="s">
        <v>829</v>
      </c>
      <c r="H415" s="34" t="s">
        <v>830</v>
      </c>
      <c r="I415" s="35"/>
    </row>
    <row r="416" spans="2:9">
      <c r="B416" s="23"/>
      <c r="C416" s="34" t="s">
        <v>1442</v>
      </c>
      <c r="D416" s="34" t="s">
        <v>1443</v>
      </c>
      <c r="E416" s="34" t="s">
        <v>839</v>
      </c>
      <c r="F416" s="25" t="s">
        <v>86</v>
      </c>
      <c r="G416" s="34" t="s">
        <v>829</v>
      </c>
      <c r="H416" s="34" t="s">
        <v>830</v>
      </c>
      <c r="I416" s="35"/>
    </row>
    <row r="417" spans="2:9">
      <c r="B417" s="23"/>
      <c r="C417" s="34" t="s">
        <v>580</v>
      </c>
      <c r="D417" s="34" t="s">
        <v>1444</v>
      </c>
      <c r="E417" s="34" t="s">
        <v>828</v>
      </c>
      <c r="F417" s="24" t="s">
        <v>23</v>
      </c>
      <c r="G417" s="34" t="s">
        <v>829</v>
      </c>
      <c r="H417" s="34" t="s">
        <v>830</v>
      </c>
      <c r="I417" s="35"/>
    </row>
    <row r="418" spans="2:9">
      <c r="B418" s="23"/>
      <c r="C418" s="34" t="s">
        <v>583</v>
      </c>
      <c r="D418" s="34" t="s">
        <v>1445</v>
      </c>
      <c r="E418" s="34" t="s">
        <v>839</v>
      </c>
      <c r="F418" s="24" t="s">
        <v>23</v>
      </c>
      <c r="G418" s="34" t="s">
        <v>829</v>
      </c>
      <c r="H418" s="34" t="s">
        <v>830</v>
      </c>
      <c r="I418" s="35"/>
    </row>
    <row r="419" spans="2:9">
      <c r="B419" s="23"/>
      <c r="C419" s="34" t="s">
        <v>585</v>
      </c>
      <c r="D419" s="34" t="s">
        <v>1446</v>
      </c>
      <c r="E419" s="34" t="s">
        <v>828</v>
      </c>
      <c r="F419" s="24" t="s">
        <v>23</v>
      </c>
      <c r="G419" s="34" t="s">
        <v>829</v>
      </c>
      <c r="H419" s="34" t="s">
        <v>830</v>
      </c>
      <c r="I419" s="35"/>
    </row>
    <row r="420" spans="2:9">
      <c r="B420" s="23"/>
      <c r="C420" s="34" t="s">
        <v>587</v>
      </c>
      <c r="D420" s="34" t="s">
        <v>1447</v>
      </c>
      <c r="E420" s="34" t="s">
        <v>828</v>
      </c>
      <c r="F420" s="24" t="s">
        <v>23</v>
      </c>
      <c r="G420" s="34" t="s">
        <v>829</v>
      </c>
      <c r="H420" s="34" t="s">
        <v>830</v>
      </c>
      <c r="I420" s="35"/>
    </row>
    <row r="421" spans="2:9">
      <c r="B421" s="23"/>
      <c r="C421" s="34" t="s">
        <v>1448</v>
      </c>
      <c r="D421" s="34" t="s">
        <v>1449</v>
      </c>
      <c r="E421" s="34" t="s">
        <v>828</v>
      </c>
      <c r="F421" s="25" t="s">
        <v>86</v>
      </c>
      <c r="G421" s="34" t="s">
        <v>829</v>
      </c>
      <c r="H421" s="34" t="s">
        <v>830</v>
      </c>
      <c r="I421" s="35"/>
    </row>
    <row r="422" spans="2:9">
      <c r="B422" s="23"/>
      <c r="C422" s="34" t="s">
        <v>1450</v>
      </c>
      <c r="D422" s="34" t="s">
        <v>1451</v>
      </c>
      <c r="E422" s="34" t="s">
        <v>828</v>
      </c>
      <c r="F422" s="24" t="s">
        <v>23</v>
      </c>
      <c r="G422" s="34" t="s">
        <v>829</v>
      </c>
      <c r="H422" s="34" t="s">
        <v>830</v>
      </c>
      <c r="I422" s="35"/>
    </row>
    <row r="423" spans="2:9">
      <c r="B423" s="23"/>
      <c r="C423" s="34" t="s">
        <v>590</v>
      </c>
      <c r="D423" s="34" t="s">
        <v>1452</v>
      </c>
      <c r="E423" s="34" t="s">
        <v>828</v>
      </c>
      <c r="F423" s="24" t="s">
        <v>23</v>
      </c>
      <c r="G423" s="34" t="s">
        <v>829</v>
      </c>
      <c r="H423" s="34" t="s">
        <v>830</v>
      </c>
      <c r="I423" s="35"/>
    </row>
    <row r="424" spans="2:9">
      <c r="B424" s="23"/>
      <c r="C424" s="34" t="s">
        <v>592</v>
      </c>
      <c r="D424" s="34" t="s">
        <v>1453</v>
      </c>
      <c r="E424" s="34" t="s">
        <v>828</v>
      </c>
      <c r="F424" s="24" t="s">
        <v>23</v>
      </c>
      <c r="G424" s="34" t="s">
        <v>829</v>
      </c>
      <c r="H424" s="34" t="s">
        <v>830</v>
      </c>
      <c r="I424" s="35"/>
    </row>
    <row r="425" spans="2:9">
      <c r="B425" s="23"/>
      <c r="C425" s="34" t="s">
        <v>1454</v>
      </c>
      <c r="D425" s="34" t="s">
        <v>1455</v>
      </c>
      <c r="E425" s="34" t="s">
        <v>828</v>
      </c>
      <c r="F425" s="24" t="s">
        <v>23</v>
      </c>
      <c r="G425" s="34" t="s">
        <v>829</v>
      </c>
      <c r="H425" s="34" t="s">
        <v>830</v>
      </c>
      <c r="I425" s="35"/>
    </row>
    <row r="426" spans="2:9">
      <c r="B426" s="23"/>
      <c r="C426" s="34" t="s">
        <v>1456</v>
      </c>
      <c r="D426" s="34" t="s">
        <v>1457</v>
      </c>
      <c r="E426" s="34" t="s">
        <v>828</v>
      </c>
      <c r="F426" s="25" t="s">
        <v>86</v>
      </c>
      <c r="G426" s="34" t="s">
        <v>829</v>
      </c>
      <c r="H426" s="34" t="s">
        <v>830</v>
      </c>
      <c r="I426" s="35"/>
    </row>
    <row r="427" spans="2:9">
      <c r="B427" s="23"/>
      <c r="C427" s="34" t="s">
        <v>1458</v>
      </c>
      <c r="D427" s="34" t="s">
        <v>1459</v>
      </c>
      <c r="E427" s="34" t="s">
        <v>828</v>
      </c>
      <c r="F427" s="24" t="s">
        <v>23</v>
      </c>
      <c r="G427" s="34" t="s">
        <v>829</v>
      </c>
      <c r="H427" s="34" t="s">
        <v>830</v>
      </c>
      <c r="I427" s="35"/>
    </row>
    <row r="428" spans="2:9">
      <c r="B428" s="23"/>
      <c r="C428" s="34" t="s">
        <v>595</v>
      </c>
      <c r="D428" s="34" t="s">
        <v>1460</v>
      </c>
      <c r="E428" s="34" t="s">
        <v>828</v>
      </c>
      <c r="F428" s="24" t="s">
        <v>23</v>
      </c>
      <c r="G428" s="34" t="s">
        <v>829</v>
      </c>
      <c r="H428" s="34" t="s">
        <v>830</v>
      </c>
      <c r="I428" s="35"/>
    </row>
    <row r="429" spans="2:9">
      <c r="B429" s="23"/>
      <c r="C429" s="34" t="s">
        <v>597</v>
      </c>
      <c r="D429" s="34" t="s">
        <v>1461</v>
      </c>
      <c r="E429" s="34" t="s">
        <v>828</v>
      </c>
      <c r="F429" s="24" t="s">
        <v>23</v>
      </c>
      <c r="G429" s="34" t="s">
        <v>829</v>
      </c>
      <c r="H429" s="34" t="s">
        <v>830</v>
      </c>
      <c r="I429" s="35"/>
    </row>
    <row r="430" spans="2:9">
      <c r="B430" s="23"/>
      <c r="C430" s="34" t="s">
        <v>1462</v>
      </c>
      <c r="D430" s="34" t="s">
        <v>1463</v>
      </c>
      <c r="E430" s="34" t="s">
        <v>828</v>
      </c>
      <c r="F430" s="24" t="s">
        <v>23</v>
      </c>
      <c r="G430" s="34" t="s">
        <v>829</v>
      </c>
      <c r="H430" s="34" t="s">
        <v>830</v>
      </c>
      <c r="I430" s="35"/>
    </row>
    <row r="431" spans="2:9">
      <c r="B431" s="23"/>
      <c r="C431" s="34" t="s">
        <v>600</v>
      </c>
      <c r="D431" s="34" t="s">
        <v>1464</v>
      </c>
      <c r="E431" s="34" t="s">
        <v>828</v>
      </c>
      <c r="F431" s="24" t="s">
        <v>23</v>
      </c>
      <c r="G431" s="34" t="s">
        <v>829</v>
      </c>
      <c r="H431" s="34" t="s">
        <v>830</v>
      </c>
      <c r="I431" s="35"/>
    </row>
    <row r="432" spans="2:9">
      <c r="B432" s="23"/>
      <c r="C432" s="34" t="s">
        <v>603</v>
      </c>
      <c r="D432" s="34" t="s">
        <v>1465</v>
      </c>
      <c r="E432" s="34" t="s">
        <v>828</v>
      </c>
      <c r="F432" s="24" t="s">
        <v>23</v>
      </c>
      <c r="G432" s="34" t="s">
        <v>829</v>
      </c>
      <c r="H432" s="34" t="s">
        <v>830</v>
      </c>
      <c r="I432" s="35"/>
    </row>
    <row r="433" spans="2:9">
      <c r="B433" s="23"/>
      <c r="C433" s="34" t="s">
        <v>1466</v>
      </c>
      <c r="D433" s="34" t="s">
        <v>1467</v>
      </c>
      <c r="E433" s="34" t="s">
        <v>924</v>
      </c>
      <c r="F433" s="25" t="s">
        <v>86</v>
      </c>
      <c r="G433" s="34" t="s">
        <v>829</v>
      </c>
      <c r="H433" s="34" t="s">
        <v>925</v>
      </c>
      <c r="I433" s="35"/>
    </row>
    <row r="434" spans="2:9">
      <c r="B434" s="23"/>
      <c r="C434" s="34" t="s">
        <v>605</v>
      </c>
      <c r="D434" s="34" t="s">
        <v>1468</v>
      </c>
      <c r="E434" s="34" t="s">
        <v>828</v>
      </c>
      <c r="F434" s="24" t="s">
        <v>23</v>
      </c>
      <c r="G434" s="34" t="s">
        <v>829</v>
      </c>
      <c r="H434" s="34" t="s">
        <v>830</v>
      </c>
      <c r="I434" s="35"/>
    </row>
    <row r="435" spans="2:9">
      <c r="B435" s="23"/>
      <c r="C435" s="34" t="s">
        <v>1469</v>
      </c>
      <c r="D435" s="34" t="s">
        <v>1470</v>
      </c>
      <c r="E435" s="34" t="s">
        <v>828</v>
      </c>
      <c r="F435" s="24" t="s">
        <v>23</v>
      </c>
      <c r="G435" s="34" t="s">
        <v>829</v>
      </c>
      <c r="H435" s="34" t="s">
        <v>830</v>
      </c>
      <c r="I435" s="35"/>
    </row>
    <row r="436" spans="2:9">
      <c r="B436" s="23"/>
      <c r="C436" s="34" t="s">
        <v>607</v>
      </c>
      <c r="D436" s="34" t="s">
        <v>1471</v>
      </c>
      <c r="E436" s="34" t="s">
        <v>828</v>
      </c>
      <c r="F436" s="24" t="s">
        <v>23</v>
      </c>
      <c r="G436" s="34" t="s">
        <v>829</v>
      </c>
      <c r="H436" s="34" t="s">
        <v>830</v>
      </c>
      <c r="I436" s="35"/>
    </row>
    <row r="437" spans="2:9">
      <c r="B437" s="23"/>
      <c r="C437" s="34" t="s">
        <v>1472</v>
      </c>
      <c r="D437" s="34" t="s">
        <v>1473</v>
      </c>
      <c r="E437" s="34" t="s">
        <v>828</v>
      </c>
      <c r="F437" s="24" t="s">
        <v>23</v>
      </c>
      <c r="G437" s="34" t="s">
        <v>829</v>
      </c>
      <c r="H437" s="34" t="s">
        <v>830</v>
      </c>
      <c r="I437" s="35"/>
    </row>
    <row r="438" spans="2:9">
      <c r="B438" s="23"/>
      <c r="C438" s="34" t="s">
        <v>609</v>
      </c>
      <c r="D438" s="34" t="s">
        <v>1474</v>
      </c>
      <c r="E438" s="34" t="s">
        <v>828</v>
      </c>
      <c r="F438" s="24" t="s">
        <v>23</v>
      </c>
      <c r="G438" s="34" t="s">
        <v>829</v>
      </c>
      <c r="H438" s="34" t="s">
        <v>830</v>
      </c>
      <c r="I438" s="35"/>
    </row>
    <row r="439" spans="2:9">
      <c r="B439" s="23"/>
      <c r="C439" s="34" t="s">
        <v>1475</v>
      </c>
      <c r="D439" s="34" t="s">
        <v>1476</v>
      </c>
      <c r="E439" s="34" t="s">
        <v>828</v>
      </c>
      <c r="F439" s="24" t="s">
        <v>23</v>
      </c>
      <c r="G439" s="34" t="s">
        <v>829</v>
      </c>
      <c r="H439" s="34" t="s">
        <v>830</v>
      </c>
      <c r="I439" s="35"/>
    </row>
    <row r="440" spans="2:9">
      <c r="B440" s="23"/>
      <c r="C440" s="34" t="s">
        <v>612</v>
      </c>
      <c r="D440" s="34" t="s">
        <v>1477</v>
      </c>
      <c r="E440" s="34" t="s">
        <v>828</v>
      </c>
      <c r="F440" s="24" t="s">
        <v>23</v>
      </c>
      <c r="G440" s="34" t="s">
        <v>829</v>
      </c>
      <c r="H440" s="34" t="s">
        <v>830</v>
      </c>
      <c r="I440" s="35"/>
    </row>
    <row r="441" spans="2:9">
      <c r="B441" s="23"/>
      <c r="C441" s="34" t="s">
        <v>1478</v>
      </c>
      <c r="D441" s="34" t="s">
        <v>1479</v>
      </c>
      <c r="E441" s="34" t="s">
        <v>828</v>
      </c>
      <c r="F441" s="25" t="s">
        <v>86</v>
      </c>
      <c r="G441" s="34" t="s">
        <v>829</v>
      </c>
      <c r="H441" s="34" t="s">
        <v>830</v>
      </c>
      <c r="I441" s="35"/>
    </row>
    <row r="442" spans="2:9">
      <c r="B442" s="23"/>
      <c r="C442" s="34" t="s">
        <v>1480</v>
      </c>
      <c r="D442" s="34" t="s">
        <v>1481</v>
      </c>
      <c r="E442" s="34" t="s">
        <v>828</v>
      </c>
      <c r="F442" s="25" t="s">
        <v>86</v>
      </c>
      <c r="G442" s="34" t="s">
        <v>829</v>
      </c>
      <c r="H442" s="34" t="s">
        <v>830</v>
      </c>
      <c r="I442" s="35"/>
    </row>
    <row r="443" spans="2:9">
      <c r="B443" s="23"/>
      <c r="C443" s="34" t="s">
        <v>614</v>
      </c>
      <c r="D443" s="34" t="s">
        <v>1482</v>
      </c>
      <c r="E443" s="34" t="s">
        <v>828</v>
      </c>
      <c r="F443" s="24" t="s">
        <v>23</v>
      </c>
      <c r="G443" s="34" t="s">
        <v>829</v>
      </c>
      <c r="H443" s="34" t="s">
        <v>830</v>
      </c>
      <c r="I443" s="35"/>
    </row>
    <row r="444" spans="2:9">
      <c r="B444" s="23"/>
      <c r="C444" s="34" t="s">
        <v>1483</v>
      </c>
      <c r="D444" s="34" t="s">
        <v>1484</v>
      </c>
      <c r="E444" s="34" t="s">
        <v>828</v>
      </c>
      <c r="F444" s="24" t="s">
        <v>23</v>
      </c>
      <c r="G444" s="34" t="s">
        <v>829</v>
      </c>
      <c r="H444" s="34" t="s">
        <v>830</v>
      </c>
      <c r="I444" s="35"/>
    </row>
    <row r="445" spans="2:9">
      <c r="B445" s="23"/>
      <c r="C445" s="34" t="s">
        <v>1485</v>
      </c>
      <c r="D445" s="34" t="s">
        <v>1486</v>
      </c>
      <c r="E445" s="34" t="s">
        <v>828</v>
      </c>
      <c r="F445" s="24" t="s">
        <v>23</v>
      </c>
      <c r="G445" s="34" t="s">
        <v>829</v>
      </c>
      <c r="H445" s="34" t="s">
        <v>830</v>
      </c>
      <c r="I445" s="35"/>
    </row>
    <row r="446" spans="2:9">
      <c r="B446" s="23"/>
      <c r="C446" s="34" t="s">
        <v>616</v>
      </c>
      <c r="D446" s="34" t="s">
        <v>1487</v>
      </c>
      <c r="E446" s="34" t="s">
        <v>828</v>
      </c>
      <c r="F446" s="24" t="s">
        <v>23</v>
      </c>
      <c r="G446" s="34" t="s">
        <v>829</v>
      </c>
      <c r="H446" s="34" t="s">
        <v>830</v>
      </c>
      <c r="I446" s="35"/>
    </row>
    <row r="447" spans="2:9">
      <c r="B447" s="23"/>
      <c r="C447" s="34" t="s">
        <v>618</v>
      </c>
      <c r="D447" s="34" t="s">
        <v>1488</v>
      </c>
      <c r="E447" s="34" t="s">
        <v>828</v>
      </c>
      <c r="F447" s="24" t="s">
        <v>23</v>
      </c>
      <c r="G447" s="34" t="s">
        <v>829</v>
      </c>
      <c r="H447" s="34" t="s">
        <v>830</v>
      </c>
      <c r="I447" s="35"/>
    </row>
    <row r="448" spans="2:9">
      <c r="B448" s="23"/>
      <c r="C448" s="34" t="s">
        <v>1489</v>
      </c>
      <c r="D448" s="34" t="s">
        <v>1490</v>
      </c>
      <c r="E448" s="34" t="s">
        <v>828</v>
      </c>
      <c r="F448" s="24" t="s">
        <v>23</v>
      </c>
      <c r="G448" s="34" t="s">
        <v>829</v>
      </c>
      <c r="H448" s="34" t="s">
        <v>830</v>
      </c>
      <c r="I448" s="35"/>
    </row>
    <row r="449" spans="2:9">
      <c r="B449" s="23"/>
      <c r="C449" s="34" t="s">
        <v>1491</v>
      </c>
      <c r="D449" s="34" t="s">
        <v>1492</v>
      </c>
      <c r="E449" s="34" t="s">
        <v>828</v>
      </c>
      <c r="F449" s="24" t="s">
        <v>23</v>
      </c>
      <c r="G449" s="34" t="s">
        <v>829</v>
      </c>
      <c r="H449" s="34" t="s">
        <v>830</v>
      </c>
      <c r="I449" s="35"/>
    </row>
    <row r="450" spans="2:9">
      <c r="B450" s="23"/>
      <c r="C450" s="34" t="s">
        <v>1493</v>
      </c>
      <c r="D450" s="34" t="s">
        <v>1494</v>
      </c>
      <c r="E450" s="34" t="s">
        <v>828</v>
      </c>
      <c r="F450" s="31" t="s">
        <v>1196</v>
      </c>
      <c r="G450" s="34" t="s">
        <v>829</v>
      </c>
      <c r="H450" s="34" t="s">
        <v>830</v>
      </c>
      <c r="I450" s="35"/>
    </row>
    <row r="451" spans="2:9">
      <c r="B451" s="23"/>
      <c r="C451" s="34" t="s">
        <v>620</v>
      </c>
      <c r="D451" s="34" t="s">
        <v>1495</v>
      </c>
      <c r="E451" s="34" t="s">
        <v>828</v>
      </c>
      <c r="F451" s="24" t="s">
        <v>23</v>
      </c>
      <c r="G451" s="34" t="s">
        <v>829</v>
      </c>
      <c r="H451" s="34" t="s">
        <v>830</v>
      </c>
      <c r="I451" s="35"/>
    </row>
    <row r="452" spans="2:9">
      <c r="B452" s="27"/>
      <c r="C452" s="36" t="s">
        <v>1496</v>
      </c>
      <c r="D452" s="36" t="s">
        <v>1497</v>
      </c>
      <c r="E452" s="36" t="s">
        <v>828</v>
      </c>
      <c r="F452" s="29" t="s">
        <v>23</v>
      </c>
      <c r="G452" s="36" t="s">
        <v>829</v>
      </c>
      <c r="H452" s="36" t="s">
        <v>830</v>
      </c>
      <c r="I452" s="37"/>
    </row>
    <row r="453" spans="2:9">
      <c r="B453" s="23"/>
      <c r="C453" s="34" t="s">
        <v>623</v>
      </c>
      <c r="D453" s="34" t="s">
        <v>1498</v>
      </c>
      <c r="E453" s="34" t="s">
        <v>828</v>
      </c>
      <c r="F453" s="24" t="s">
        <v>23</v>
      </c>
      <c r="G453" s="34" t="s">
        <v>829</v>
      </c>
      <c r="H453" s="34" t="s">
        <v>830</v>
      </c>
      <c r="I453" s="35"/>
    </row>
    <row r="454" spans="2:9">
      <c r="B454" s="23"/>
      <c r="C454" s="34" t="s">
        <v>626</v>
      </c>
      <c r="D454" s="34" t="s">
        <v>1499</v>
      </c>
      <c r="E454" s="34" t="s">
        <v>828</v>
      </c>
      <c r="F454" s="24" t="s">
        <v>23</v>
      </c>
      <c r="G454" s="34" t="s">
        <v>829</v>
      </c>
      <c r="H454" s="34" t="s">
        <v>830</v>
      </c>
      <c r="I454" s="35"/>
    </row>
    <row r="455" spans="2:9">
      <c r="B455" s="23"/>
      <c r="C455" s="34" t="s">
        <v>1500</v>
      </c>
      <c r="D455" s="34" t="s">
        <v>1501</v>
      </c>
      <c r="E455" s="34" t="s">
        <v>828</v>
      </c>
      <c r="F455" s="24" t="s">
        <v>23</v>
      </c>
      <c r="G455" s="34" t="s">
        <v>829</v>
      </c>
      <c r="H455" s="34" t="s">
        <v>830</v>
      </c>
      <c r="I455" s="35"/>
    </row>
    <row r="456" spans="2:9">
      <c r="B456" s="23"/>
      <c r="C456" s="34" t="s">
        <v>1502</v>
      </c>
      <c r="D456" s="34" t="s">
        <v>1503</v>
      </c>
      <c r="E456" s="34" t="s">
        <v>828</v>
      </c>
      <c r="F456" s="24" t="s">
        <v>23</v>
      </c>
      <c r="G456" s="34" t="s">
        <v>829</v>
      </c>
      <c r="H456" s="34" t="s">
        <v>830</v>
      </c>
      <c r="I456" s="35"/>
    </row>
    <row r="457" spans="2:9">
      <c r="B457" s="23"/>
      <c r="C457" s="34" t="s">
        <v>629</v>
      </c>
      <c r="D457" s="34" t="s">
        <v>1504</v>
      </c>
      <c r="E457" s="34" t="s">
        <v>828</v>
      </c>
      <c r="F457" s="24" t="s">
        <v>23</v>
      </c>
      <c r="G457" s="34" t="s">
        <v>829</v>
      </c>
      <c r="H457" s="34" t="s">
        <v>830</v>
      </c>
      <c r="I457" s="35"/>
    </row>
    <row r="458" spans="2:9">
      <c r="B458" s="23"/>
      <c r="C458" s="34" t="s">
        <v>631</v>
      </c>
      <c r="D458" s="34" t="s">
        <v>1505</v>
      </c>
      <c r="E458" s="34" t="s">
        <v>828</v>
      </c>
      <c r="F458" s="24" t="s">
        <v>23</v>
      </c>
      <c r="G458" s="34" t="s">
        <v>829</v>
      </c>
      <c r="H458" s="34" t="s">
        <v>830</v>
      </c>
      <c r="I458" s="35"/>
    </row>
    <row r="459" spans="2:9">
      <c r="B459" s="23"/>
      <c r="C459" s="34" t="s">
        <v>1506</v>
      </c>
      <c r="D459" s="34" t="s">
        <v>1507</v>
      </c>
      <c r="E459" s="34" t="s">
        <v>828</v>
      </c>
      <c r="F459" s="24" t="s">
        <v>23</v>
      </c>
      <c r="G459" s="34" t="s">
        <v>829</v>
      </c>
      <c r="H459" s="34" t="s">
        <v>830</v>
      </c>
      <c r="I459" s="35"/>
    </row>
    <row r="460" spans="2:9">
      <c r="B460" s="23"/>
      <c r="C460" s="34" t="s">
        <v>1508</v>
      </c>
      <c r="D460" s="34" t="s">
        <v>1509</v>
      </c>
      <c r="E460" s="34" t="s">
        <v>828</v>
      </c>
      <c r="F460" s="24" t="s">
        <v>23</v>
      </c>
      <c r="G460" s="34" t="s">
        <v>829</v>
      </c>
      <c r="H460" s="34" t="s">
        <v>830</v>
      </c>
      <c r="I460" s="35"/>
    </row>
    <row r="461" spans="2:9">
      <c r="B461" s="23"/>
      <c r="C461" s="34" t="s">
        <v>1510</v>
      </c>
      <c r="D461" s="34" t="s">
        <v>1511</v>
      </c>
      <c r="E461" s="34" t="s">
        <v>828</v>
      </c>
      <c r="F461" s="24" t="s">
        <v>23</v>
      </c>
      <c r="G461" s="34" t="s">
        <v>829</v>
      </c>
      <c r="H461" s="34" t="s">
        <v>830</v>
      </c>
      <c r="I461" s="35"/>
    </row>
    <row r="462" spans="2:9">
      <c r="B462" s="23"/>
      <c r="C462" s="34" t="s">
        <v>633</v>
      </c>
      <c r="D462" s="34" t="s">
        <v>1512</v>
      </c>
      <c r="E462" s="34" t="s">
        <v>828</v>
      </c>
      <c r="F462" s="24" t="s">
        <v>23</v>
      </c>
      <c r="G462" s="34" t="s">
        <v>829</v>
      </c>
      <c r="H462" s="34" t="s">
        <v>830</v>
      </c>
      <c r="I462" s="35"/>
    </row>
    <row r="463" spans="2:9">
      <c r="B463" s="23"/>
      <c r="C463" s="34" t="s">
        <v>635</v>
      </c>
      <c r="D463" s="34" t="s">
        <v>1513</v>
      </c>
      <c r="E463" s="34" t="s">
        <v>828</v>
      </c>
      <c r="F463" s="24" t="s">
        <v>23</v>
      </c>
      <c r="G463" s="34" t="s">
        <v>829</v>
      </c>
      <c r="H463" s="34" t="s">
        <v>830</v>
      </c>
      <c r="I463" s="35"/>
    </row>
    <row r="464" spans="2:9">
      <c r="B464" s="23"/>
      <c r="C464" s="34" t="s">
        <v>637</v>
      </c>
      <c r="D464" s="34" t="s">
        <v>1514</v>
      </c>
      <c r="E464" s="34" t="s">
        <v>828</v>
      </c>
      <c r="F464" s="24" t="s">
        <v>23</v>
      </c>
      <c r="G464" s="34" t="s">
        <v>829</v>
      </c>
      <c r="H464" s="34" t="s">
        <v>830</v>
      </c>
      <c r="I464" s="35"/>
    </row>
    <row r="465" spans="2:9">
      <c r="B465" s="23"/>
      <c r="C465" s="34" t="s">
        <v>639</v>
      </c>
      <c r="D465" s="34" t="s">
        <v>1515</v>
      </c>
      <c r="E465" s="34" t="s">
        <v>828</v>
      </c>
      <c r="F465" s="24" t="s">
        <v>23</v>
      </c>
      <c r="G465" s="34" t="s">
        <v>829</v>
      </c>
      <c r="H465" s="34" t="s">
        <v>830</v>
      </c>
      <c r="I465" s="35"/>
    </row>
    <row r="466" spans="2:9">
      <c r="B466" s="23"/>
      <c r="C466" s="34" t="s">
        <v>1516</v>
      </c>
      <c r="D466" s="34" t="s">
        <v>1517</v>
      </c>
      <c r="E466" s="34" t="s">
        <v>828</v>
      </c>
      <c r="F466" s="25" t="s">
        <v>86</v>
      </c>
      <c r="G466" s="34" t="s">
        <v>829</v>
      </c>
      <c r="H466" s="34" t="s">
        <v>830</v>
      </c>
      <c r="I466" s="35"/>
    </row>
    <row r="467" spans="2:9">
      <c r="B467" s="23"/>
      <c r="C467" s="34" t="s">
        <v>641</v>
      </c>
      <c r="D467" s="34" t="s">
        <v>1518</v>
      </c>
      <c r="E467" s="34" t="s">
        <v>828</v>
      </c>
      <c r="F467" s="24" t="s">
        <v>23</v>
      </c>
      <c r="G467" s="34" t="s">
        <v>829</v>
      </c>
      <c r="H467" s="34" t="s">
        <v>830</v>
      </c>
      <c r="I467" s="35"/>
    </row>
    <row r="468" spans="2:9">
      <c r="B468" s="23"/>
      <c r="C468" s="34" t="s">
        <v>1519</v>
      </c>
      <c r="D468" s="34" t="s">
        <v>1520</v>
      </c>
      <c r="E468" s="34" t="s">
        <v>828</v>
      </c>
      <c r="F468" s="25" t="s">
        <v>86</v>
      </c>
      <c r="G468" s="34" t="s">
        <v>829</v>
      </c>
      <c r="H468" s="34" t="s">
        <v>830</v>
      </c>
      <c r="I468" s="35"/>
    </row>
    <row r="469" spans="2:9">
      <c r="B469" s="23"/>
      <c r="C469" s="34" t="s">
        <v>643</v>
      </c>
      <c r="D469" s="34" t="s">
        <v>1521</v>
      </c>
      <c r="E469" s="34" t="s">
        <v>828</v>
      </c>
      <c r="F469" s="24" t="s">
        <v>23</v>
      </c>
      <c r="G469" s="34" t="s">
        <v>829</v>
      </c>
      <c r="H469" s="34" t="s">
        <v>830</v>
      </c>
      <c r="I469" s="35"/>
    </row>
    <row r="470" spans="2:9">
      <c r="B470" s="23"/>
      <c r="C470" s="34" t="s">
        <v>645</v>
      </c>
      <c r="D470" s="34" t="s">
        <v>1522</v>
      </c>
      <c r="E470" s="34" t="s">
        <v>828</v>
      </c>
      <c r="F470" s="24" t="s">
        <v>23</v>
      </c>
      <c r="G470" s="34" t="s">
        <v>829</v>
      </c>
      <c r="H470" s="34" t="s">
        <v>830</v>
      </c>
      <c r="I470" s="35"/>
    </row>
    <row r="471" spans="2:9">
      <c r="B471" s="23"/>
      <c r="C471" s="34" t="s">
        <v>648</v>
      </c>
      <c r="D471" s="34" t="s">
        <v>1523</v>
      </c>
      <c r="E471" s="34" t="s">
        <v>828</v>
      </c>
      <c r="F471" s="24" t="s">
        <v>23</v>
      </c>
      <c r="G471" s="34" t="s">
        <v>829</v>
      </c>
      <c r="H471" s="34" t="s">
        <v>830</v>
      </c>
      <c r="I471" s="35"/>
    </row>
    <row r="472" spans="2:9">
      <c r="B472" s="23"/>
      <c r="C472" s="34" t="s">
        <v>650</v>
      </c>
      <c r="D472" s="34" t="s">
        <v>1524</v>
      </c>
      <c r="E472" s="34" t="s">
        <v>828</v>
      </c>
      <c r="F472" s="24" t="s">
        <v>23</v>
      </c>
      <c r="G472" s="34" t="s">
        <v>829</v>
      </c>
      <c r="H472" s="34" t="s">
        <v>830</v>
      </c>
      <c r="I472" s="35"/>
    </row>
    <row r="473" spans="2:9">
      <c r="B473" s="23"/>
      <c r="C473" s="34" t="s">
        <v>1525</v>
      </c>
      <c r="D473" s="34" t="s">
        <v>1526</v>
      </c>
      <c r="E473" s="34" t="s">
        <v>828</v>
      </c>
      <c r="F473" s="24" t="s">
        <v>23</v>
      </c>
      <c r="G473" s="34" t="s">
        <v>829</v>
      </c>
      <c r="H473" s="34" t="s">
        <v>830</v>
      </c>
      <c r="I473" s="35"/>
    </row>
    <row r="474" spans="2:9">
      <c r="B474" s="23"/>
      <c r="C474" s="34" t="s">
        <v>652</v>
      </c>
      <c r="D474" s="34" t="s">
        <v>1527</v>
      </c>
      <c r="E474" s="34" t="s">
        <v>828</v>
      </c>
      <c r="F474" s="24" t="s">
        <v>23</v>
      </c>
      <c r="G474" s="34" t="s">
        <v>829</v>
      </c>
      <c r="H474" s="34" t="s">
        <v>830</v>
      </c>
      <c r="I474" s="35"/>
    </row>
    <row r="475" spans="2:9">
      <c r="B475" s="23"/>
      <c r="C475" s="34" t="s">
        <v>1528</v>
      </c>
      <c r="D475" s="34" t="s">
        <v>1529</v>
      </c>
      <c r="E475" s="34" t="s">
        <v>828</v>
      </c>
      <c r="F475" s="24" t="s">
        <v>23</v>
      </c>
      <c r="G475" s="34" t="s">
        <v>829</v>
      </c>
      <c r="H475" s="34" t="s">
        <v>830</v>
      </c>
      <c r="I475" s="35"/>
    </row>
    <row r="476" spans="2:9">
      <c r="B476" s="23"/>
      <c r="C476" s="34" t="s">
        <v>1530</v>
      </c>
      <c r="D476" s="34" t="s">
        <v>1531</v>
      </c>
      <c r="E476" s="34" t="s">
        <v>828</v>
      </c>
      <c r="F476" s="24" t="s">
        <v>23</v>
      </c>
      <c r="G476" s="34" t="s">
        <v>829</v>
      </c>
      <c r="H476" s="34" t="s">
        <v>830</v>
      </c>
      <c r="I476" s="35"/>
    </row>
    <row r="477" spans="2:9">
      <c r="B477" s="23"/>
      <c r="C477" s="34" t="s">
        <v>654</v>
      </c>
      <c r="D477" s="34" t="s">
        <v>1532</v>
      </c>
      <c r="E477" s="34" t="s">
        <v>828</v>
      </c>
      <c r="F477" s="24" t="s">
        <v>23</v>
      </c>
      <c r="G477" s="34" t="s">
        <v>829</v>
      </c>
      <c r="H477" s="34" t="s">
        <v>830</v>
      </c>
      <c r="I477" s="35"/>
    </row>
    <row r="478" spans="2:9">
      <c r="B478" s="23"/>
      <c r="C478" s="34" t="s">
        <v>1533</v>
      </c>
      <c r="D478" s="34" t="s">
        <v>1534</v>
      </c>
      <c r="E478" s="34" t="s">
        <v>828</v>
      </c>
      <c r="F478" s="24" t="s">
        <v>23</v>
      </c>
      <c r="G478" s="34" t="s">
        <v>829</v>
      </c>
      <c r="H478" s="34" t="s">
        <v>830</v>
      </c>
      <c r="I478" s="35"/>
    </row>
    <row r="479" spans="2:9">
      <c r="B479" s="23"/>
      <c r="C479" s="34" t="s">
        <v>1535</v>
      </c>
      <c r="D479" s="34" t="s">
        <v>1536</v>
      </c>
      <c r="E479" s="34" t="s">
        <v>828</v>
      </c>
      <c r="F479" s="24" t="s">
        <v>23</v>
      </c>
      <c r="G479" s="34" t="s">
        <v>829</v>
      </c>
      <c r="H479" s="34" t="s">
        <v>830</v>
      </c>
      <c r="I479" s="35"/>
    </row>
    <row r="480" spans="2:9">
      <c r="B480" s="23"/>
      <c r="C480" s="34" t="s">
        <v>1537</v>
      </c>
      <c r="D480" s="34" t="s">
        <v>1538</v>
      </c>
      <c r="E480" s="34" t="s">
        <v>828</v>
      </c>
      <c r="F480" s="24" t="s">
        <v>23</v>
      </c>
      <c r="G480" s="34" t="s">
        <v>829</v>
      </c>
      <c r="H480" s="34" t="s">
        <v>830</v>
      </c>
      <c r="I480" s="35"/>
    </row>
    <row r="481" spans="2:9">
      <c r="B481" s="23"/>
      <c r="C481" s="34" t="s">
        <v>657</v>
      </c>
      <c r="D481" s="34" t="s">
        <v>1539</v>
      </c>
      <c r="E481" s="34" t="s">
        <v>828</v>
      </c>
      <c r="F481" s="24" t="s">
        <v>23</v>
      </c>
      <c r="G481" s="34" t="s">
        <v>829</v>
      </c>
      <c r="H481" s="34" t="s">
        <v>830</v>
      </c>
      <c r="I481" s="35"/>
    </row>
    <row r="482" spans="2:9">
      <c r="B482" s="23"/>
      <c r="C482" s="34" t="s">
        <v>1540</v>
      </c>
      <c r="D482" s="34" t="s">
        <v>1541</v>
      </c>
      <c r="E482" s="34" t="s">
        <v>924</v>
      </c>
      <c r="F482" s="25" t="s">
        <v>86</v>
      </c>
      <c r="G482" s="34" t="s">
        <v>829</v>
      </c>
      <c r="H482" s="34" t="s">
        <v>925</v>
      </c>
      <c r="I482" s="35"/>
    </row>
    <row r="483" spans="2:9">
      <c r="B483" s="23"/>
      <c r="C483" s="34" t="s">
        <v>1542</v>
      </c>
      <c r="D483" s="34" t="s">
        <v>1543</v>
      </c>
      <c r="E483" s="34" t="s">
        <v>828</v>
      </c>
      <c r="F483" s="24" t="s">
        <v>23</v>
      </c>
      <c r="G483" s="34" t="s">
        <v>829</v>
      </c>
      <c r="H483" s="34" t="s">
        <v>830</v>
      </c>
      <c r="I483" s="35"/>
    </row>
    <row r="484" spans="2:9">
      <c r="B484" s="23"/>
      <c r="C484" s="34" t="s">
        <v>660</v>
      </c>
      <c r="D484" s="34" t="s">
        <v>1544</v>
      </c>
      <c r="E484" s="34" t="s">
        <v>828</v>
      </c>
      <c r="F484" s="24" t="s">
        <v>23</v>
      </c>
      <c r="G484" s="34" t="s">
        <v>829</v>
      </c>
      <c r="H484" s="34" t="s">
        <v>830</v>
      </c>
      <c r="I484" s="35"/>
    </row>
    <row r="485" spans="2:9">
      <c r="B485" s="23"/>
      <c r="C485" s="34" t="s">
        <v>662</v>
      </c>
      <c r="D485" s="34" t="s">
        <v>1545</v>
      </c>
      <c r="E485" s="34" t="s">
        <v>828</v>
      </c>
      <c r="F485" s="24" t="s">
        <v>23</v>
      </c>
      <c r="G485" s="34" t="s">
        <v>829</v>
      </c>
      <c r="H485" s="34" t="s">
        <v>830</v>
      </c>
      <c r="I485" s="35"/>
    </row>
    <row r="486" spans="2:9">
      <c r="B486" s="23"/>
      <c r="C486" s="34" t="s">
        <v>1546</v>
      </c>
      <c r="D486" s="34" t="s">
        <v>1547</v>
      </c>
      <c r="E486" s="34" t="s">
        <v>828</v>
      </c>
      <c r="F486" s="24" t="s">
        <v>23</v>
      </c>
      <c r="G486" s="34" t="s">
        <v>829</v>
      </c>
      <c r="H486" s="34" t="s">
        <v>830</v>
      </c>
      <c r="I486" s="35"/>
    </row>
    <row r="487" spans="2:9">
      <c r="B487" s="23"/>
      <c r="C487" s="34" t="s">
        <v>666</v>
      </c>
      <c r="D487" s="34" t="s">
        <v>1548</v>
      </c>
      <c r="E487" s="34" t="s">
        <v>828</v>
      </c>
      <c r="F487" s="24" t="s">
        <v>23</v>
      </c>
      <c r="G487" s="34" t="s">
        <v>829</v>
      </c>
      <c r="H487" s="34" t="s">
        <v>830</v>
      </c>
      <c r="I487" s="35"/>
    </row>
    <row r="488" spans="2:9">
      <c r="B488" s="23"/>
      <c r="C488" s="34" t="s">
        <v>669</v>
      </c>
      <c r="D488" s="34" t="s">
        <v>1549</v>
      </c>
      <c r="E488" s="34" t="s">
        <v>828</v>
      </c>
      <c r="F488" s="24" t="s">
        <v>23</v>
      </c>
      <c r="G488" s="34" t="s">
        <v>829</v>
      </c>
      <c r="H488" s="34" t="s">
        <v>830</v>
      </c>
      <c r="I488" s="35"/>
    </row>
    <row r="489" spans="2:9">
      <c r="B489" s="23"/>
      <c r="C489" s="34" t="s">
        <v>1550</v>
      </c>
      <c r="D489" s="34" t="s">
        <v>1551</v>
      </c>
      <c r="E489" s="34" t="s">
        <v>828</v>
      </c>
      <c r="F489" s="25" t="s">
        <v>86</v>
      </c>
      <c r="G489" s="34" t="s">
        <v>829</v>
      </c>
      <c r="H489" s="34" t="s">
        <v>830</v>
      </c>
      <c r="I489" s="35"/>
    </row>
    <row r="490" spans="2:9">
      <c r="B490" s="23"/>
      <c r="C490" s="34" t="s">
        <v>1552</v>
      </c>
      <c r="D490" s="34" t="s">
        <v>1553</v>
      </c>
      <c r="E490" s="34" t="s">
        <v>828</v>
      </c>
      <c r="F490" s="25" t="s">
        <v>86</v>
      </c>
      <c r="G490" s="34" t="s">
        <v>829</v>
      </c>
      <c r="H490" s="34" t="s">
        <v>830</v>
      </c>
      <c r="I490" s="35"/>
    </row>
    <row r="491" spans="2:9">
      <c r="B491" s="23"/>
      <c r="C491" s="34" t="s">
        <v>671</v>
      </c>
      <c r="D491" s="34" t="s">
        <v>1554</v>
      </c>
      <c r="E491" s="34" t="s">
        <v>828</v>
      </c>
      <c r="F491" s="24" t="s">
        <v>23</v>
      </c>
      <c r="G491" s="34" t="s">
        <v>829</v>
      </c>
      <c r="H491" s="34" t="s">
        <v>830</v>
      </c>
      <c r="I491" s="35"/>
    </row>
    <row r="492" spans="2:9">
      <c r="B492" s="23"/>
      <c r="C492" s="34" t="s">
        <v>673</v>
      </c>
      <c r="D492" s="34" t="s">
        <v>1555</v>
      </c>
      <c r="E492" s="34" t="s">
        <v>828</v>
      </c>
      <c r="F492" s="24" t="s">
        <v>23</v>
      </c>
      <c r="G492" s="34" t="s">
        <v>829</v>
      </c>
      <c r="H492" s="34" t="s">
        <v>830</v>
      </c>
      <c r="I492" s="35"/>
    </row>
    <row r="493" spans="2:9">
      <c r="B493" s="23"/>
      <c r="C493" s="34" t="s">
        <v>675</v>
      </c>
      <c r="D493" s="34" t="s">
        <v>1556</v>
      </c>
      <c r="E493" s="34" t="s">
        <v>828</v>
      </c>
      <c r="F493" s="24" t="s">
        <v>23</v>
      </c>
      <c r="G493" s="34" t="s">
        <v>829</v>
      </c>
      <c r="H493" s="34" t="s">
        <v>830</v>
      </c>
      <c r="I493" s="35"/>
    </row>
    <row r="494" spans="2:9">
      <c r="B494" s="23"/>
      <c r="C494" s="34" t="s">
        <v>1557</v>
      </c>
      <c r="D494" s="34" t="s">
        <v>1558</v>
      </c>
      <c r="E494" s="34" t="s">
        <v>828</v>
      </c>
      <c r="F494" s="24" t="s">
        <v>23</v>
      </c>
      <c r="G494" s="34" t="s">
        <v>829</v>
      </c>
      <c r="H494" s="34" t="s">
        <v>830</v>
      </c>
      <c r="I494" s="35"/>
    </row>
    <row r="495" spans="2:9">
      <c r="B495" s="23"/>
      <c r="C495" s="34" t="s">
        <v>677</v>
      </c>
      <c r="D495" s="34" t="s">
        <v>1559</v>
      </c>
      <c r="E495" s="34" t="s">
        <v>828</v>
      </c>
      <c r="F495" s="24" t="s">
        <v>23</v>
      </c>
      <c r="G495" s="34" t="s">
        <v>829</v>
      </c>
      <c r="H495" s="34" t="s">
        <v>830</v>
      </c>
      <c r="I495" s="35"/>
    </row>
    <row r="496" spans="2:9">
      <c r="B496" s="23"/>
      <c r="C496" s="34" t="s">
        <v>1560</v>
      </c>
      <c r="D496" s="34" t="s">
        <v>1561</v>
      </c>
      <c r="E496" s="34" t="s">
        <v>828</v>
      </c>
      <c r="F496" s="26" t="s">
        <v>82</v>
      </c>
      <c r="G496" s="34" t="s">
        <v>829</v>
      </c>
      <c r="H496" s="34" t="s">
        <v>830</v>
      </c>
      <c r="I496" s="35"/>
    </row>
    <row r="497" spans="2:9">
      <c r="B497" s="23"/>
      <c r="C497" s="34" t="s">
        <v>1562</v>
      </c>
      <c r="D497" s="34" t="s">
        <v>1563</v>
      </c>
      <c r="E497" s="34" t="s">
        <v>828</v>
      </c>
      <c r="F497" s="24" t="s">
        <v>23</v>
      </c>
      <c r="G497" s="34" t="s">
        <v>829</v>
      </c>
      <c r="H497" s="34" t="s">
        <v>830</v>
      </c>
      <c r="I497" s="35"/>
    </row>
    <row r="498" spans="2:9">
      <c r="B498" s="23"/>
      <c r="C498" s="34" t="s">
        <v>679</v>
      </c>
      <c r="D498" s="34" t="s">
        <v>1564</v>
      </c>
      <c r="E498" s="34" t="s">
        <v>828</v>
      </c>
      <c r="F498" s="24" t="s">
        <v>23</v>
      </c>
      <c r="G498" s="34" t="s">
        <v>829</v>
      </c>
      <c r="H498" s="34" t="s">
        <v>830</v>
      </c>
      <c r="I498" s="35"/>
    </row>
    <row r="499" spans="2:9">
      <c r="B499" s="23"/>
      <c r="C499" s="34" t="s">
        <v>682</v>
      </c>
      <c r="D499" s="34" t="s">
        <v>1565</v>
      </c>
      <c r="E499" s="34" t="s">
        <v>828</v>
      </c>
      <c r="F499" s="24" t="s">
        <v>23</v>
      </c>
      <c r="G499" s="34" t="s">
        <v>829</v>
      </c>
      <c r="H499" s="34" t="s">
        <v>830</v>
      </c>
      <c r="I499" s="35"/>
    </row>
    <row r="500" spans="2:9">
      <c r="B500" s="23"/>
      <c r="C500" s="34" t="s">
        <v>1566</v>
      </c>
      <c r="D500" s="34" t="s">
        <v>1567</v>
      </c>
      <c r="E500" s="34" t="s">
        <v>828</v>
      </c>
      <c r="F500" s="26" t="s">
        <v>82</v>
      </c>
      <c r="G500" s="34" t="s">
        <v>829</v>
      </c>
      <c r="H500" s="34" t="s">
        <v>830</v>
      </c>
      <c r="I500" s="35"/>
    </row>
    <row r="501" spans="2:9">
      <c r="B501" s="23"/>
      <c r="C501" s="34" t="s">
        <v>1568</v>
      </c>
      <c r="D501" s="34" t="s">
        <v>1569</v>
      </c>
      <c r="E501" s="34" t="s">
        <v>828</v>
      </c>
      <c r="F501" s="24" t="s">
        <v>23</v>
      </c>
      <c r="G501" s="34" t="s">
        <v>829</v>
      </c>
      <c r="H501" s="34" t="s">
        <v>830</v>
      </c>
      <c r="I501" s="35"/>
    </row>
    <row r="502" spans="2:9">
      <c r="B502" s="23"/>
      <c r="C502" s="34" t="s">
        <v>684</v>
      </c>
      <c r="D502" s="34" t="s">
        <v>1570</v>
      </c>
      <c r="E502" s="34" t="s">
        <v>828</v>
      </c>
      <c r="F502" s="24" t="s">
        <v>23</v>
      </c>
      <c r="G502" s="34" t="s">
        <v>829</v>
      </c>
      <c r="H502" s="34" t="s">
        <v>830</v>
      </c>
      <c r="I502" s="35"/>
    </row>
    <row r="503" spans="2:9">
      <c r="B503" s="23"/>
      <c r="C503" s="34" t="s">
        <v>686</v>
      </c>
      <c r="D503" s="34" t="s">
        <v>1571</v>
      </c>
      <c r="E503" s="34" t="s">
        <v>828</v>
      </c>
      <c r="F503" s="24" t="s">
        <v>23</v>
      </c>
      <c r="G503" s="34" t="s">
        <v>829</v>
      </c>
      <c r="H503" s="34" t="s">
        <v>830</v>
      </c>
      <c r="I503" s="35"/>
    </row>
    <row r="504" spans="2:9">
      <c r="B504" s="23"/>
      <c r="C504" s="34" t="s">
        <v>688</v>
      </c>
      <c r="D504" s="34" t="s">
        <v>1572</v>
      </c>
      <c r="E504" s="34" t="s">
        <v>828</v>
      </c>
      <c r="F504" s="24" t="s">
        <v>23</v>
      </c>
      <c r="G504" s="34" t="s">
        <v>829</v>
      </c>
      <c r="H504" s="34" t="s">
        <v>830</v>
      </c>
      <c r="I504" s="35"/>
    </row>
    <row r="505" spans="2:9">
      <c r="B505" s="23"/>
      <c r="C505" s="34" t="s">
        <v>1573</v>
      </c>
      <c r="D505" s="34" t="s">
        <v>1574</v>
      </c>
      <c r="E505" s="34" t="s">
        <v>828</v>
      </c>
      <c r="F505" s="25" t="s">
        <v>86</v>
      </c>
      <c r="G505" s="34" t="s">
        <v>829</v>
      </c>
      <c r="H505" s="34" t="s">
        <v>830</v>
      </c>
      <c r="I505" s="35"/>
    </row>
    <row r="506" spans="2:9">
      <c r="B506" s="23"/>
      <c r="C506" s="34" t="s">
        <v>690</v>
      </c>
      <c r="D506" s="34" t="s">
        <v>1575</v>
      </c>
      <c r="E506" s="34" t="s">
        <v>828</v>
      </c>
      <c r="F506" s="24" t="s">
        <v>23</v>
      </c>
      <c r="G506" s="34" t="s">
        <v>829</v>
      </c>
      <c r="H506" s="34" t="s">
        <v>830</v>
      </c>
      <c r="I506" s="35"/>
    </row>
    <row r="507" spans="2:9">
      <c r="B507" s="23"/>
      <c r="C507" s="34" t="s">
        <v>1576</v>
      </c>
      <c r="D507" s="34" t="s">
        <v>1577</v>
      </c>
      <c r="E507" s="34" t="s">
        <v>828</v>
      </c>
      <c r="F507" s="24" t="s">
        <v>23</v>
      </c>
      <c r="G507" s="34" t="s">
        <v>829</v>
      </c>
      <c r="H507" s="34" t="s">
        <v>830</v>
      </c>
      <c r="I507" s="35"/>
    </row>
    <row r="508" spans="2:9">
      <c r="B508" s="23"/>
      <c r="C508" s="34" t="s">
        <v>1578</v>
      </c>
      <c r="D508" s="34" t="s">
        <v>1579</v>
      </c>
      <c r="E508" s="34" t="s">
        <v>828</v>
      </c>
      <c r="F508" s="24" t="s">
        <v>23</v>
      </c>
      <c r="G508" s="34" t="s">
        <v>829</v>
      </c>
      <c r="H508" s="34" t="s">
        <v>830</v>
      </c>
      <c r="I508" s="35"/>
    </row>
    <row r="509" spans="2:9">
      <c r="B509" s="23"/>
      <c r="C509" s="34" t="s">
        <v>1580</v>
      </c>
      <c r="D509" s="34" t="s">
        <v>1581</v>
      </c>
      <c r="E509" s="34" t="s">
        <v>828</v>
      </c>
      <c r="F509" s="24" t="s">
        <v>23</v>
      </c>
      <c r="G509" s="34" t="s">
        <v>829</v>
      </c>
      <c r="H509" s="34" t="s">
        <v>830</v>
      </c>
      <c r="I509" s="35"/>
    </row>
    <row r="510" spans="2:9">
      <c r="B510" s="23"/>
      <c r="C510" s="34" t="s">
        <v>693</v>
      </c>
      <c r="D510" s="34" t="s">
        <v>1582</v>
      </c>
      <c r="E510" s="34" t="s">
        <v>828</v>
      </c>
      <c r="F510" s="24" t="s">
        <v>23</v>
      </c>
      <c r="G510" s="34" t="s">
        <v>829</v>
      </c>
      <c r="H510" s="34" t="s">
        <v>830</v>
      </c>
      <c r="I510" s="35"/>
    </row>
    <row r="511" spans="2:9">
      <c r="B511" s="23"/>
      <c r="C511" s="34" t="s">
        <v>1583</v>
      </c>
      <c r="D511" s="34" t="s">
        <v>1584</v>
      </c>
      <c r="E511" s="34" t="s">
        <v>828</v>
      </c>
      <c r="F511" s="24" t="s">
        <v>23</v>
      </c>
      <c r="G511" s="34" t="s">
        <v>829</v>
      </c>
      <c r="H511" s="34" t="s">
        <v>830</v>
      </c>
      <c r="I511" s="35"/>
    </row>
    <row r="512" spans="2:9">
      <c r="B512" s="23"/>
      <c r="C512" s="34" t="s">
        <v>695</v>
      </c>
      <c r="D512" s="34" t="s">
        <v>1585</v>
      </c>
      <c r="E512" s="34" t="s">
        <v>828</v>
      </c>
      <c r="F512" s="24" t="s">
        <v>23</v>
      </c>
      <c r="G512" s="34" t="s">
        <v>829</v>
      </c>
      <c r="H512" s="34" t="s">
        <v>830</v>
      </c>
      <c r="I512" s="35"/>
    </row>
    <row r="513" spans="2:9">
      <c r="B513" s="23"/>
      <c r="C513" s="34" t="s">
        <v>697</v>
      </c>
      <c r="D513" s="34" t="s">
        <v>1586</v>
      </c>
      <c r="E513" s="34" t="s">
        <v>828</v>
      </c>
      <c r="F513" s="24" t="s">
        <v>23</v>
      </c>
      <c r="G513" s="34" t="s">
        <v>829</v>
      </c>
      <c r="H513" s="34" t="s">
        <v>830</v>
      </c>
      <c r="I513" s="35"/>
    </row>
    <row r="514" spans="2:9">
      <c r="B514" s="23"/>
      <c r="C514" s="34" t="s">
        <v>1587</v>
      </c>
      <c r="D514" s="34" t="s">
        <v>1588</v>
      </c>
      <c r="E514" s="34" t="s">
        <v>828</v>
      </c>
      <c r="F514" s="26" t="s">
        <v>82</v>
      </c>
      <c r="G514" s="34" t="s">
        <v>829</v>
      </c>
      <c r="H514" s="34" t="s">
        <v>830</v>
      </c>
      <c r="I514" s="35"/>
    </row>
    <row r="515" spans="2:9">
      <c r="B515" s="23"/>
      <c r="C515" s="34" t="s">
        <v>699</v>
      </c>
      <c r="D515" s="34" t="s">
        <v>1589</v>
      </c>
      <c r="E515" s="34" t="s">
        <v>828</v>
      </c>
      <c r="F515" s="24" t="s">
        <v>23</v>
      </c>
      <c r="G515" s="34" t="s">
        <v>829</v>
      </c>
      <c r="H515" s="34" t="s">
        <v>830</v>
      </c>
      <c r="I515" s="35"/>
    </row>
    <row r="516" spans="2:9">
      <c r="B516" s="23"/>
      <c r="C516" s="34" t="s">
        <v>701</v>
      </c>
      <c r="D516" s="34" t="s">
        <v>1590</v>
      </c>
      <c r="E516" s="34" t="s">
        <v>828</v>
      </c>
      <c r="F516" s="24" t="s">
        <v>23</v>
      </c>
      <c r="G516" s="34" t="s">
        <v>829</v>
      </c>
      <c r="H516" s="34" t="s">
        <v>830</v>
      </c>
      <c r="I516" s="35"/>
    </row>
    <row r="517" spans="2:9">
      <c r="B517" s="23"/>
      <c r="C517" s="34" t="s">
        <v>1591</v>
      </c>
      <c r="D517" s="34" t="s">
        <v>1592</v>
      </c>
      <c r="E517" s="34" t="s">
        <v>828</v>
      </c>
      <c r="F517" s="24" t="s">
        <v>23</v>
      </c>
      <c r="G517" s="34" t="s">
        <v>829</v>
      </c>
      <c r="H517" s="34" t="s">
        <v>830</v>
      </c>
      <c r="I517" s="35"/>
    </row>
    <row r="518" spans="2:9">
      <c r="B518" s="23"/>
      <c r="C518" s="34" t="s">
        <v>703</v>
      </c>
      <c r="D518" s="34" t="s">
        <v>1593</v>
      </c>
      <c r="E518" s="34" t="s">
        <v>828</v>
      </c>
      <c r="F518" s="24" t="s">
        <v>23</v>
      </c>
      <c r="G518" s="34" t="s">
        <v>829</v>
      </c>
      <c r="H518" s="34" t="s">
        <v>830</v>
      </c>
      <c r="I518" s="35"/>
    </row>
    <row r="519" spans="2:9">
      <c r="B519" s="23"/>
      <c r="C519" s="34" t="s">
        <v>705</v>
      </c>
      <c r="D519" s="34" t="s">
        <v>1594</v>
      </c>
      <c r="E519" s="34" t="s">
        <v>828</v>
      </c>
      <c r="F519" s="24" t="s">
        <v>23</v>
      </c>
      <c r="G519" s="34" t="s">
        <v>829</v>
      </c>
      <c r="H519" s="34" t="s">
        <v>830</v>
      </c>
      <c r="I519" s="35"/>
    </row>
    <row r="520" spans="2:9">
      <c r="B520" s="23"/>
      <c r="C520" s="34" t="s">
        <v>707</v>
      </c>
      <c r="D520" s="34" t="s">
        <v>1595</v>
      </c>
      <c r="E520" s="34" t="s">
        <v>828</v>
      </c>
      <c r="F520" s="24" t="s">
        <v>23</v>
      </c>
      <c r="G520" s="34" t="s">
        <v>829</v>
      </c>
      <c r="H520" s="34" t="s">
        <v>830</v>
      </c>
      <c r="I520" s="35"/>
    </row>
    <row r="521" spans="2:9">
      <c r="B521" s="23"/>
      <c r="C521" s="34" t="s">
        <v>1596</v>
      </c>
      <c r="D521" s="34" t="s">
        <v>1597</v>
      </c>
      <c r="E521" s="34" t="s">
        <v>828</v>
      </c>
      <c r="F521" s="25" t="s">
        <v>86</v>
      </c>
      <c r="G521" s="34" t="s">
        <v>829</v>
      </c>
      <c r="H521" s="34" t="s">
        <v>830</v>
      </c>
      <c r="I521" s="35"/>
    </row>
    <row r="522" spans="2:9">
      <c r="B522" s="23"/>
      <c r="C522" s="34" t="s">
        <v>1598</v>
      </c>
      <c r="D522" s="34" t="s">
        <v>1599</v>
      </c>
      <c r="E522" s="34" t="s">
        <v>828</v>
      </c>
      <c r="F522" s="25" t="s">
        <v>86</v>
      </c>
      <c r="G522" s="34" t="s">
        <v>829</v>
      </c>
      <c r="H522" s="34" t="s">
        <v>830</v>
      </c>
      <c r="I522" s="35"/>
    </row>
    <row r="523" spans="2:9">
      <c r="B523" s="23"/>
      <c r="C523" s="34" t="s">
        <v>709</v>
      </c>
      <c r="D523" s="34" t="s">
        <v>1600</v>
      </c>
      <c r="E523" s="34" t="s">
        <v>828</v>
      </c>
      <c r="F523" s="24" t="s">
        <v>23</v>
      </c>
      <c r="G523" s="34" t="s">
        <v>829</v>
      </c>
      <c r="H523" s="34" t="s">
        <v>830</v>
      </c>
      <c r="I523" s="35"/>
    </row>
    <row r="524" spans="2:9">
      <c r="B524" s="23"/>
      <c r="C524" s="34" t="s">
        <v>712</v>
      </c>
      <c r="D524" s="34" t="s">
        <v>1601</v>
      </c>
      <c r="E524" s="34" t="s">
        <v>828</v>
      </c>
      <c r="F524" s="24" t="s">
        <v>23</v>
      </c>
      <c r="G524" s="34" t="s">
        <v>829</v>
      </c>
      <c r="H524" s="34" t="s">
        <v>830</v>
      </c>
      <c r="I524" s="35"/>
    </row>
    <row r="525" spans="2:9">
      <c r="B525" s="23"/>
      <c r="C525" s="34" t="s">
        <v>715</v>
      </c>
      <c r="D525" s="34" t="s">
        <v>1602</v>
      </c>
      <c r="E525" s="34" t="s">
        <v>828</v>
      </c>
      <c r="F525" s="24" t="s">
        <v>23</v>
      </c>
      <c r="G525" s="34" t="s">
        <v>829</v>
      </c>
      <c r="H525" s="34" t="s">
        <v>830</v>
      </c>
      <c r="I525" s="35"/>
    </row>
    <row r="526" spans="2:9">
      <c r="B526" s="23"/>
      <c r="C526" s="34" t="s">
        <v>718</v>
      </c>
      <c r="D526" s="34" t="s">
        <v>1603</v>
      </c>
      <c r="E526" s="34" t="s">
        <v>828</v>
      </c>
      <c r="F526" s="24" t="s">
        <v>23</v>
      </c>
      <c r="G526" s="34" t="s">
        <v>829</v>
      </c>
      <c r="H526" s="34" t="s">
        <v>830</v>
      </c>
      <c r="I526" s="35"/>
    </row>
    <row r="527" spans="2:9">
      <c r="B527" s="23"/>
      <c r="C527" s="34" t="s">
        <v>721</v>
      </c>
      <c r="D527" s="34" t="s">
        <v>1604</v>
      </c>
      <c r="E527" s="34" t="s">
        <v>828</v>
      </c>
      <c r="F527" s="24" t="s">
        <v>23</v>
      </c>
      <c r="G527" s="34" t="s">
        <v>829</v>
      </c>
      <c r="H527" s="34" t="s">
        <v>830</v>
      </c>
      <c r="I527" s="35"/>
    </row>
    <row r="528" spans="2:9">
      <c r="B528" s="23"/>
      <c r="C528" s="34" t="s">
        <v>723</v>
      </c>
      <c r="D528" s="34" t="s">
        <v>1605</v>
      </c>
      <c r="E528" s="34" t="s">
        <v>828</v>
      </c>
      <c r="F528" s="24" t="s">
        <v>23</v>
      </c>
      <c r="G528" s="34" t="s">
        <v>829</v>
      </c>
      <c r="H528" s="34" t="s">
        <v>830</v>
      </c>
      <c r="I528" s="35"/>
    </row>
    <row r="529" spans="2:9">
      <c r="B529" s="23"/>
      <c r="C529" s="34" t="s">
        <v>22</v>
      </c>
      <c r="D529" s="34" t="s">
        <v>1606</v>
      </c>
      <c r="E529" s="34" t="s">
        <v>828</v>
      </c>
      <c r="F529" s="25" t="s">
        <v>86</v>
      </c>
      <c r="G529" s="34" t="s">
        <v>829</v>
      </c>
      <c r="H529" s="34" t="s">
        <v>830</v>
      </c>
      <c r="I529" s="35"/>
    </row>
    <row r="530" spans="2:9">
      <c r="B530" s="23"/>
      <c r="C530" s="34" t="s">
        <v>1607</v>
      </c>
      <c r="D530" s="34" t="s">
        <v>1608</v>
      </c>
      <c r="E530" s="34" t="s">
        <v>828</v>
      </c>
      <c r="F530" s="24" t="s">
        <v>23</v>
      </c>
      <c r="G530" s="34" t="s">
        <v>829</v>
      </c>
      <c r="H530" s="34" t="s">
        <v>925</v>
      </c>
      <c r="I530" s="35"/>
    </row>
    <row r="531" spans="2:9">
      <c r="B531" s="23"/>
      <c r="C531" s="34" t="s">
        <v>725</v>
      </c>
      <c r="D531" s="34" t="s">
        <v>1609</v>
      </c>
      <c r="E531" s="34" t="s">
        <v>828</v>
      </c>
      <c r="F531" s="24" t="s">
        <v>23</v>
      </c>
      <c r="G531" s="34" t="s">
        <v>829</v>
      </c>
      <c r="H531" s="34" t="s">
        <v>830</v>
      </c>
      <c r="I531" s="35"/>
    </row>
    <row r="532" spans="2:9">
      <c r="B532" s="23"/>
      <c r="C532" s="34" t="s">
        <v>727</v>
      </c>
      <c r="D532" s="34" t="s">
        <v>1610</v>
      </c>
      <c r="E532" s="34" t="s">
        <v>828</v>
      </c>
      <c r="F532" s="24" t="s">
        <v>23</v>
      </c>
      <c r="G532" s="34" t="s">
        <v>829</v>
      </c>
      <c r="H532" s="34" t="s">
        <v>830</v>
      </c>
      <c r="I532" s="35"/>
    </row>
    <row r="533" spans="2:9">
      <c r="B533" s="23"/>
      <c r="C533" s="34" t="s">
        <v>1611</v>
      </c>
      <c r="D533" s="34" t="s">
        <v>1612</v>
      </c>
      <c r="E533" s="34" t="s">
        <v>828</v>
      </c>
      <c r="F533" s="25" t="s">
        <v>86</v>
      </c>
      <c r="G533" s="34" t="s">
        <v>829</v>
      </c>
      <c r="H533" s="34" t="s">
        <v>830</v>
      </c>
      <c r="I533" s="35"/>
    </row>
    <row r="534" spans="2:9">
      <c r="B534" s="23"/>
      <c r="C534" s="34" t="s">
        <v>1613</v>
      </c>
      <c r="D534" s="34" t="s">
        <v>1614</v>
      </c>
      <c r="E534" s="34" t="s">
        <v>828</v>
      </c>
      <c r="F534" s="24" t="s">
        <v>23</v>
      </c>
      <c r="G534" s="34" t="s">
        <v>829</v>
      </c>
      <c r="H534" s="34" t="s">
        <v>830</v>
      </c>
      <c r="I534" s="35"/>
    </row>
    <row r="535" spans="2:9">
      <c r="B535" s="23"/>
      <c r="C535" s="34" t="s">
        <v>1615</v>
      </c>
      <c r="D535" s="34" t="s">
        <v>1616</v>
      </c>
      <c r="E535" s="34" t="s">
        <v>828</v>
      </c>
      <c r="F535" s="24" t="s">
        <v>23</v>
      </c>
      <c r="G535" s="34" t="s">
        <v>829</v>
      </c>
      <c r="H535" s="34" t="s">
        <v>830</v>
      </c>
      <c r="I535" s="35"/>
    </row>
    <row r="536" spans="2:9">
      <c r="B536" s="23"/>
      <c r="C536" s="34" t="s">
        <v>1617</v>
      </c>
      <c r="D536" s="34" t="s">
        <v>1618</v>
      </c>
      <c r="E536" s="34" t="s">
        <v>828</v>
      </c>
      <c r="F536" s="25" t="s">
        <v>86</v>
      </c>
      <c r="G536" s="34" t="s">
        <v>829</v>
      </c>
      <c r="H536" s="34" t="s">
        <v>830</v>
      </c>
      <c r="I536" s="35"/>
    </row>
    <row r="537" spans="2:9">
      <c r="B537" s="23"/>
      <c r="C537" s="34" t="s">
        <v>729</v>
      </c>
      <c r="D537" s="34" t="s">
        <v>1619</v>
      </c>
      <c r="E537" s="34" t="s">
        <v>828</v>
      </c>
      <c r="F537" s="24" t="s">
        <v>23</v>
      </c>
      <c r="G537" s="34" t="s">
        <v>829</v>
      </c>
      <c r="H537" s="34" t="s">
        <v>830</v>
      </c>
      <c r="I537" s="35"/>
    </row>
    <row r="538" spans="2:9">
      <c r="B538" s="23"/>
      <c r="C538" s="34" t="s">
        <v>731</v>
      </c>
      <c r="D538" s="34" t="s">
        <v>1620</v>
      </c>
      <c r="E538" s="34" t="s">
        <v>828</v>
      </c>
      <c r="F538" s="24" t="s">
        <v>23</v>
      </c>
      <c r="G538" s="34" t="s">
        <v>829</v>
      </c>
      <c r="H538" s="34" t="s">
        <v>830</v>
      </c>
      <c r="I538" s="35"/>
    </row>
    <row r="539" spans="2:9">
      <c r="B539" s="23"/>
      <c r="C539" s="34" t="s">
        <v>733</v>
      </c>
      <c r="D539" s="34" t="s">
        <v>1621</v>
      </c>
      <c r="E539" s="34" t="s">
        <v>828</v>
      </c>
      <c r="F539" s="25" t="s">
        <v>86</v>
      </c>
      <c r="G539" s="34" t="s">
        <v>829</v>
      </c>
      <c r="H539" s="34" t="s">
        <v>830</v>
      </c>
      <c r="I539" s="35"/>
    </row>
    <row r="540" spans="2:9">
      <c r="B540" s="23"/>
      <c r="C540" s="34" t="s">
        <v>736</v>
      </c>
      <c r="D540" s="34" t="s">
        <v>1622</v>
      </c>
      <c r="E540" s="34" t="s">
        <v>828</v>
      </c>
      <c r="F540" s="24" t="s">
        <v>23</v>
      </c>
      <c r="G540" s="34" t="s">
        <v>829</v>
      </c>
      <c r="H540" s="34" t="s">
        <v>830</v>
      </c>
      <c r="I540" s="35"/>
    </row>
    <row r="541" spans="2:9">
      <c r="B541" s="23"/>
      <c r="C541" s="34" t="s">
        <v>739</v>
      </c>
      <c r="D541" s="34" t="s">
        <v>1623</v>
      </c>
      <c r="E541" s="34" t="s">
        <v>828</v>
      </c>
      <c r="F541" s="24" t="s">
        <v>23</v>
      </c>
      <c r="G541" s="34" t="s">
        <v>829</v>
      </c>
      <c r="H541" s="34" t="s">
        <v>830</v>
      </c>
      <c r="I541" s="35"/>
    </row>
    <row r="542" spans="2:9">
      <c r="B542" s="23"/>
      <c r="C542" s="34" t="s">
        <v>741</v>
      </c>
      <c r="D542" s="34" t="s">
        <v>1624</v>
      </c>
      <c r="E542" s="34" t="s">
        <v>828</v>
      </c>
      <c r="F542" s="24" t="s">
        <v>23</v>
      </c>
      <c r="G542" s="34" t="s">
        <v>829</v>
      </c>
      <c r="H542" s="34" t="s">
        <v>830</v>
      </c>
      <c r="I542" s="35"/>
    </row>
    <row r="543" spans="2:9">
      <c r="B543" s="23"/>
      <c r="C543" s="34" t="s">
        <v>1625</v>
      </c>
      <c r="D543" s="34" t="s">
        <v>1626</v>
      </c>
      <c r="E543" s="34" t="s">
        <v>828</v>
      </c>
      <c r="F543" s="24" t="s">
        <v>23</v>
      </c>
      <c r="G543" s="34" t="s">
        <v>829</v>
      </c>
      <c r="H543" s="34" t="s">
        <v>830</v>
      </c>
      <c r="I543" s="35"/>
    </row>
    <row r="544" spans="2:9">
      <c r="B544" s="23"/>
      <c r="C544" s="34" t="s">
        <v>744</v>
      </c>
      <c r="D544" s="34" t="s">
        <v>1627</v>
      </c>
      <c r="E544" s="34" t="s">
        <v>828</v>
      </c>
      <c r="F544" s="24" t="s">
        <v>23</v>
      </c>
      <c r="G544" s="34" t="s">
        <v>829</v>
      </c>
      <c r="H544" s="34" t="s">
        <v>830</v>
      </c>
      <c r="I544" s="35"/>
    </row>
    <row r="545" spans="2:9">
      <c r="B545" s="23"/>
      <c r="C545" s="34" t="s">
        <v>746</v>
      </c>
      <c r="D545" s="34" t="s">
        <v>1628</v>
      </c>
      <c r="E545" s="34" t="s">
        <v>828</v>
      </c>
      <c r="F545" s="24" t="s">
        <v>23</v>
      </c>
      <c r="G545" s="34" t="s">
        <v>829</v>
      </c>
      <c r="H545" s="34" t="s">
        <v>830</v>
      </c>
      <c r="I545" s="35"/>
    </row>
    <row r="546" spans="2:9">
      <c r="B546" s="23"/>
      <c r="C546" s="34" t="s">
        <v>748</v>
      </c>
      <c r="D546" s="34" t="s">
        <v>1629</v>
      </c>
      <c r="E546" s="34" t="s">
        <v>828</v>
      </c>
      <c r="F546" s="24" t="s">
        <v>23</v>
      </c>
      <c r="G546" s="34" t="s">
        <v>829</v>
      </c>
      <c r="H546" s="34" t="s">
        <v>830</v>
      </c>
      <c r="I546" s="35"/>
    </row>
    <row r="547" spans="2:9">
      <c r="B547" s="23"/>
      <c r="C547" s="34" t="s">
        <v>751</v>
      </c>
      <c r="D547" s="34" t="s">
        <v>1630</v>
      </c>
      <c r="E547" s="34" t="s">
        <v>828</v>
      </c>
      <c r="F547" s="24" t="s">
        <v>23</v>
      </c>
      <c r="G547" s="34" t="s">
        <v>829</v>
      </c>
      <c r="H547" s="34" t="s">
        <v>830</v>
      </c>
      <c r="I547" s="35"/>
    </row>
    <row r="548" spans="2:9">
      <c r="B548" s="23"/>
      <c r="C548" s="34" t="s">
        <v>753</v>
      </c>
      <c r="D548" s="34" t="s">
        <v>1631</v>
      </c>
      <c r="E548" s="34" t="s">
        <v>828</v>
      </c>
      <c r="F548" s="24" t="s">
        <v>23</v>
      </c>
      <c r="G548" s="34" t="s">
        <v>829</v>
      </c>
      <c r="H548" s="34" t="s">
        <v>830</v>
      </c>
      <c r="I548" s="35"/>
    </row>
    <row r="549" spans="2:9">
      <c r="B549" s="23"/>
      <c r="C549" s="34" t="s">
        <v>1632</v>
      </c>
      <c r="D549" s="34" t="s">
        <v>1633</v>
      </c>
      <c r="E549" s="34" t="s">
        <v>924</v>
      </c>
      <c r="F549" s="25" t="s">
        <v>86</v>
      </c>
      <c r="G549" s="34" t="s">
        <v>829</v>
      </c>
      <c r="H549" s="34" t="s">
        <v>925</v>
      </c>
      <c r="I549" s="35"/>
    </row>
    <row r="550" spans="2:9">
      <c r="B550" s="23"/>
      <c r="C550" s="34" t="s">
        <v>1634</v>
      </c>
      <c r="D550" s="34" t="s">
        <v>1635</v>
      </c>
      <c r="E550" s="34" t="s">
        <v>828</v>
      </c>
      <c r="F550" s="24" t="s">
        <v>23</v>
      </c>
      <c r="G550" s="34" t="s">
        <v>829</v>
      </c>
      <c r="H550" s="34" t="s">
        <v>830</v>
      </c>
      <c r="I550" s="35"/>
    </row>
    <row r="551" spans="2:9">
      <c r="B551" s="23"/>
      <c r="C551" s="34" t="s">
        <v>1636</v>
      </c>
      <c r="D551" s="34" t="s">
        <v>1637</v>
      </c>
      <c r="E551" s="34" t="s">
        <v>828</v>
      </c>
      <c r="F551" s="24" t="s">
        <v>23</v>
      </c>
      <c r="G551" s="34" t="s">
        <v>829</v>
      </c>
      <c r="H551" s="34" t="s">
        <v>830</v>
      </c>
      <c r="I551" s="35"/>
    </row>
    <row r="552" spans="2:9">
      <c r="B552" s="23"/>
      <c r="C552" s="34" t="s">
        <v>755</v>
      </c>
      <c r="D552" s="34" t="s">
        <v>1638</v>
      </c>
      <c r="E552" s="34" t="s">
        <v>828</v>
      </c>
      <c r="F552" s="24" t="s">
        <v>23</v>
      </c>
      <c r="G552" s="34" t="s">
        <v>829</v>
      </c>
      <c r="H552" s="34" t="s">
        <v>830</v>
      </c>
      <c r="I552" s="35"/>
    </row>
    <row r="553" spans="2:9">
      <c r="B553" s="23"/>
      <c r="C553" s="34" t="s">
        <v>757</v>
      </c>
      <c r="D553" s="34" t="s">
        <v>1639</v>
      </c>
      <c r="E553" s="34" t="s">
        <v>828</v>
      </c>
      <c r="F553" s="24" t="s">
        <v>23</v>
      </c>
      <c r="G553" s="34" t="s">
        <v>829</v>
      </c>
      <c r="H553" s="34" t="s">
        <v>830</v>
      </c>
      <c r="I553" s="35"/>
    </row>
    <row r="554" spans="2:9">
      <c r="B554" s="23"/>
      <c r="C554" s="34" t="s">
        <v>759</v>
      </c>
      <c r="D554" s="34" t="s">
        <v>1640</v>
      </c>
      <c r="E554" s="34" t="s">
        <v>828</v>
      </c>
      <c r="F554" s="24" t="s">
        <v>23</v>
      </c>
      <c r="G554" s="34" t="s">
        <v>829</v>
      </c>
      <c r="H554" s="34" t="s">
        <v>830</v>
      </c>
      <c r="I554" s="35"/>
    </row>
    <row r="555" spans="2:9">
      <c r="B555" s="23"/>
      <c r="C555" s="34" t="s">
        <v>761</v>
      </c>
      <c r="D555" s="34" t="s">
        <v>1641</v>
      </c>
      <c r="E555" s="34" t="s">
        <v>828</v>
      </c>
      <c r="F555" s="24" t="s">
        <v>23</v>
      </c>
      <c r="G555" s="34" t="s">
        <v>829</v>
      </c>
      <c r="H555" s="34" t="s">
        <v>830</v>
      </c>
      <c r="I555" s="35"/>
    </row>
    <row r="556" spans="2:9">
      <c r="B556" s="23"/>
      <c r="C556" s="34" t="s">
        <v>1642</v>
      </c>
      <c r="D556" s="34" t="s">
        <v>1643</v>
      </c>
      <c r="E556" s="34" t="s">
        <v>828</v>
      </c>
      <c r="F556" s="25" t="s">
        <v>86</v>
      </c>
      <c r="G556" s="34" t="s">
        <v>829</v>
      </c>
      <c r="H556" s="34" t="s">
        <v>830</v>
      </c>
      <c r="I556" s="35"/>
    </row>
    <row r="557" spans="2:9">
      <c r="B557" s="23"/>
      <c r="C557" s="34" t="s">
        <v>1644</v>
      </c>
      <c r="D557" s="34" t="s">
        <v>1645</v>
      </c>
      <c r="E557" s="34" t="s">
        <v>828</v>
      </c>
      <c r="F557" s="24" t="s">
        <v>23</v>
      </c>
      <c r="G557" s="34" t="s">
        <v>829</v>
      </c>
      <c r="H557" s="34" t="s">
        <v>830</v>
      </c>
      <c r="I557" s="35"/>
    </row>
    <row r="558" spans="2:9">
      <c r="B558" s="23"/>
      <c r="C558" s="34" t="s">
        <v>1646</v>
      </c>
      <c r="D558" s="34" t="s">
        <v>1647</v>
      </c>
      <c r="E558" s="34" t="s">
        <v>839</v>
      </c>
      <c r="F558" s="25" t="s">
        <v>86</v>
      </c>
      <c r="G558" s="34" t="s">
        <v>829</v>
      </c>
      <c r="H558" s="34" t="s">
        <v>830</v>
      </c>
      <c r="I558" s="35"/>
    </row>
    <row r="559" spans="2:9">
      <c r="B559" s="23"/>
      <c r="C559" s="34" t="s">
        <v>763</v>
      </c>
      <c r="D559" s="34" t="s">
        <v>1648</v>
      </c>
      <c r="E559" s="34" t="s">
        <v>828</v>
      </c>
      <c r="F559" s="24" t="s">
        <v>23</v>
      </c>
      <c r="G559" s="34" t="s">
        <v>829</v>
      </c>
      <c r="H559" s="34" t="s">
        <v>830</v>
      </c>
      <c r="I559" s="35"/>
    </row>
    <row r="560" spans="2:9">
      <c r="B560" s="23"/>
      <c r="C560" s="34" t="s">
        <v>765</v>
      </c>
      <c r="D560" s="34" t="s">
        <v>1649</v>
      </c>
      <c r="E560" s="34" t="s">
        <v>828</v>
      </c>
      <c r="F560" s="24" t="s">
        <v>23</v>
      </c>
      <c r="G560" s="34" t="s">
        <v>829</v>
      </c>
      <c r="H560" s="34" t="s">
        <v>830</v>
      </c>
      <c r="I560" s="35"/>
    </row>
    <row r="561" spans="2:9">
      <c r="B561" s="23"/>
      <c r="C561" s="34" t="s">
        <v>768</v>
      </c>
      <c r="D561" s="34" t="s">
        <v>1650</v>
      </c>
      <c r="E561" s="34" t="s">
        <v>828</v>
      </c>
      <c r="F561" s="24" t="s">
        <v>23</v>
      </c>
      <c r="G561" s="34" t="s">
        <v>829</v>
      </c>
      <c r="H561" s="34" t="s">
        <v>830</v>
      </c>
      <c r="I561" s="35"/>
    </row>
    <row r="562" spans="2:9">
      <c r="B562" s="23"/>
      <c r="C562" s="34" t="s">
        <v>1651</v>
      </c>
      <c r="D562" s="34" t="s">
        <v>1652</v>
      </c>
      <c r="E562" s="34" t="s">
        <v>828</v>
      </c>
      <c r="F562" s="24" t="s">
        <v>23</v>
      </c>
      <c r="G562" s="34" t="s">
        <v>829</v>
      </c>
      <c r="H562" s="34" t="s">
        <v>830</v>
      </c>
      <c r="I562" s="35"/>
    </row>
    <row r="563" spans="2:9">
      <c r="B563" s="23"/>
      <c r="C563" s="34" t="s">
        <v>1653</v>
      </c>
      <c r="D563" s="34" t="s">
        <v>1654</v>
      </c>
      <c r="E563" s="34" t="s">
        <v>828</v>
      </c>
      <c r="F563" s="24" t="s">
        <v>23</v>
      </c>
      <c r="G563" s="34" t="s">
        <v>829</v>
      </c>
      <c r="H563" s="34" t="s">
        <v>830</v>
      </c>
      <c r="I563" s="35"/>
    </row>
    <row r="564" spans="2:9">
      <c r="B564" s="23"/>
      <c r="C564" s="34" t="s">
        <v>1655</v>
      </c>
      <c r="D564" s="34" t="s">
        <v>1656</v>
      </c>
      <c r="E564" s="34" t="s">
        <v>828</v>
      </c>
      <c r="F564" s="24" t="s">
        <v>23</v>
      </c>
      <c r="G564" s="34" t="s">
        <v>829</v>
      </c>
      <c r="H564" s="34" t="s">
        <v>830</v>
      </c>
      <c r="I564" s="35"/>
    </row>
    <row r="565" spans="2:9">
      <c r="B565" s="23"/>
      <c r="C565" s="34" t="s">
        <v>1657</v>
      </c>
      <c r="D565" s="34" t="s">
        <v>1658</v>
      </c>
      <c r="E565" s="34" t="s">
        <v>828</v>
      </c>
      <c r="F565" s="24" t="s">
        <v>23</v>
      </c>
      <c r="G565" s="34" t="s">
        <v>829</v>
      </c>
      <c r="H565" s="34" t="s">
        <v>830</v>
      </c>
      <c r="I565" s="35"/>
    </row>
    <row r="566" spans="2:9">
      <c r="B566" s="23"/>
      <c r="C566" s="34" t="s">
        <v>1659</v>
      </c>
      <c r="D566" s="34" t="s">
        <v>1660</v>
      </c>
      <c r="E566" s="34" t="s">
        <v>828</v>
      </c>
      <c r="F566" s="24" t="s">
        <v>23</v>
      </c>
      <c r="G566" s="34" t="s">
        <v>829</v>
      </c>
      <c r="H566" s="34" t="s">
        <v>830</v>
      </c>
      <c r="I566" s="35"/>
    </row>
    <row r="567" spans="2:9">
      <c r="B567" s="23"/>
      <c r="C567" s="34" t="s">
        <v>770</v>
      </c>
      <c r="D567" s="34" t="s">
        <v>1661</v>
      </c>
      <c r="E567" s="34" t="s">
        <v>828</v>
      </c>
      <c r="F567" s="24" t="s">
        <v>23</v>
      </c>
      <c r="G567" s="34" t="s">
        <v>829</v>
      </c>
      <c r="H567" s="34" t="s">
        <v>830</v>
      </c>
      <c r="I567" s="35"/>
    </row>
    <row r="568" spans="2:9">
      <c r="B568" s="23"/>
      <c r="C568" s="34" t="s">
        <v>772</v>
      </c>
      <c r="D568" s="34" t="s">
        <v>1662</v>
      </c>
      <c r="E568" s="34" t="s">
        <v>828</v>
      </c>
      <c r="F568" s="24" t="s">
        <v>23</v>
      </c>
      <c r="G568" s="34" t="s">
        <v>829</v>
      </c>
      <c r="H568" s="34" t="s">
        <v>830</v>
      </c>
      <c r="I568" s="35"/>
    </row>
    <row r="569" spans="2:9">
      <c r="B569" s="23"/>
      <c r="C569" s="34" t="s">
        <v>775</v>
      </c>
      <c r="D569" s="34" t="s">
        <v>1663</v>
      </c>
      <c r="E569" s="34" t="s">
        <v>828</v>
      </c>
      <c r="F569" s="24" t="s">
        <v>23</v>
      </c>
      <c r="G569" s="34" t="s">
        <v>829</v>
      </c>
      <c r="H569" s="34" t="s">
        <v>830</v>
      </c>
      <c r="I569" s="35"/>
    </row>
    <row r="570" spans="2:9">
      <c r="B570" s="23"/>
      <c r="C570" s="34" t="s">
        <v>1664</v>
      </c>
      <c r="D570" s="34" t="s">
        <v>1665</v>
      </c>
      <c r="E570" s="34" t="s">
        <v>828</v>
      </c>
      <c r="F570" s="24" t="s">
        <v>23</v>
      </c>
      <c r="G570" s="34" t="s">
        <v>829</v>
      </c>
      <c r="H570" s="34" t="s">
        <v>830</v>
      </c>
      <c r="I570" s="35"/>
    </row>
    <row r="571" spans="2:9">
      <c r="B571" s="23"/>
      <c r="C571" s="34" t="s">
        <v>1666</v>
      </c>
      <c r="D571" s="34" t="s">
        <v>1667</v>
      </c>
      <c r="E571" s="34" t="s">
        <v>828</v>
      </c>
      <c r="F571" s="24" t="s">
        <v>23</v>
      </c>
      <c r="G571" s="34" t="s">
        <v>829</v>
      </c>
      <c r="H571" s="34" t="s">
        <v>830</v>
      </c>
      <c r="I571" s="35"/>
    </row>
    <row r="572" spans="2:9">
      <c r="B572" s="23"/>
      <c r="C572" s="34" t="s">
        <v>1668</v>
      </c>
      <c r="D572" s="34" t="s">
        <v>1669</v>
      </c>
      <c r="E572" s="34" t="s">
        <v>828</v>
      </c>
      <c r="F572" s="25" t="s">
        <v>86</v>
      </c>
      <c r="G572" s="34" t="s">
        <v>829</v>
      </c>
      <c r="H572" s="34" t="s">
        <v>830</v>
      </c>
      <c r="I572" s="35"/>
    </row>
    <row r="573" spans="2:9">
      <c r="B573" s="23"/>
      <c r="C573" s="34" t="s">
        <v>778</v>
      </c>
      <c r="D573" s="34" t="s">
        <v>1670</v>
      </c>
      <c r="E573" s="34" t="s">
        <v>828</v>
      </c>
      <c r="F573" s="24" t="s">
        <v>23</v>
      </c>
      <c r="G573" s="34" t="s">
        <v>829</v>
      </c>
      <c r="H573" s="34" t="s">
        <v>830</v>
      </c>
      <c r="I573" s="35"/>
    </row>
    <row r="574" spans="2:9">
      <c r="B574" s="23"/>
      <c r="C574" s="34" t="s">
        <v>780</v>
      </c>
      <c r="D574" s="34" t="s">
        <v>1671</v>
      </c>
      <c r="E574" s="34" t="s">
        <v>828</v>
      </c>
      <c r="F574" s="24" t="s">
        <v>23</v>
      </c>
      <c r="G574" s="34" t="s">
        <v>829</v>
      </c>
      <c r="H574" s="34" t="s">
        <v>830</v>
      </c>
      <c r="I574" s="35"/>
    </row>
    <row r="575" spans="2:9">
      <c r="B575" s="23"/>
      <c r="C575" s="34" t="s">
        <v>1672</v>
      </c>
      <c r="D575" s="34" t="s">
        <v>1673</v>
      </c>
      <c r="E575" s="34" t="s">
        <v>828</v>
      </c>
      <c r="F575" s="24" t="s">
        <v>23</v>
      </c>
      <c r="G575" s="34" t="s">
        <v>829</v>
      </c>
      <c r="H575" s="34" t="s">
        <v>830</v>
      </c>
      <c r="I575" s="35"/>
    </row>
    <row r="576" spans="2:9">
      <c r="B576" s="23"/>
      <c r="C576" s="34" t="s">
        <v>783</v>
      </c>
      <c r="D576" s="34" t="s">
        <v>1674</v>
      </c>
      <c r="E576" s="34" t="s">
        <v>828</v>
      </c>
      <c r="F576" s="24" t="s">
        <v>23</v>
      </c>
      <c r="G576" s="34" t="s">
        <v>829</v>
      </c>
      <c r="H576" s="34" t="s">
        <v>830</v>
      </c>
      <c r="I576" s="35"/>
    </row>
    <row r="577" spans="2:9">
      <c r="B577" s="23"/>
      <c r="C577" s="34" t="s">
        <v>1675</v>
      </c>
      <c r="D577" s="34" t="s">
        <v>1676</v>
      </c>
      <c r="E577" s="34" t="s">
        <v>828</v>
      </c>
      <c r="F577" s="25" t="s">
        <v>86</v>
      </c>
      <c r="G577" s="34" t="s">
        <v>829</v>
      </c>
      <c r="H577" s="34" t="s">
        <v>830</v>
      </c>
      <c r="I577" s="35"/>
    </row>
    <row r="578" spans="2:9">
      <c r="B578" s="23"/>
      <c r="C578" s="34" t="s">
        <v>786</v>
      </c>
      <c r="D578" s="34" t="s">
        <v>1677</v>
      </c>
      <c r="E578" s="34" t="s">
        <v>828</v>
      </c>
      <c r="F578" s="24" t="s">
        <v>23</v>
      </c>
      <c r="G578" s="34" t="s">
        <v>829</v>
      </c>
      <c r="H578" s="34" t="s">
        <v>830</v>
      </c>
      <c r="I578" s="35"/>
    </row>
    <row r="579" spans="2:9">
      <c r="B579" s="23"/>
      <c r="C579" s="34" t="s">
        <v>1678</v>
      </c>
      <c r="D579" s="34" t="s">
        <v>1679</v>
      </c>
      <c r="E579" s="34" t="s">
        <v>828</v>
      </c>
      <c r="F579" s="25" t="s">
        <v>86</v>
      </c>
      <c r="G579" s="34" t="s">
        <v>829</v>
      </c>
      <c r="H579" s="34" t="s">
        <v>830</v>
      </c>
      <c r="I579" s="35"/>
    </row>
    <row r="580" spans="2:9">
      <c r="B580" s="23"/>
      <c r="C580" s="34" t="s">
        <v>788</v>
      </c>
      <c r="D580" s="34" t="s">
        <v>1680</v>
      </c>
      <c r="E580" s="34" t="s">
        <v>828</v>
      </c>
      <c r="F580" s="24" t="s">
        <v>23</v>
      </c>
      <c r="G580" s="34" t="s">
        <v>829</v>
      </c>
      <c r="H580" s="34" t="s">
        <v>830</v>
      </c>
      <c r="I580" s="35"/>
    </row>
    <row r="581" spans="2:9">
      <c r="B581" s="23"/>
      <c r="C581" s="34" t="s">
        <v>1681</v>
      </c>
      <c r="D581" s="34" t="s">
        <v>1682</v>
      </c>
      <c r="E581" s="34" t="s">
        <v>828</v>
      </c>
      <c r="F581" s="24" t="s">
        <v>23</v>
      </c>
      <c r="G581" s="34" t="s">
        <v>829</v>
      </c>
      <c r="H581" s="34" t="s">
        <v>830</v>
      </c>
      <c r="I581" s="35"/>
    </row>
    <row r="582" spans="2:9">
      <c r="B582" s="23"/>
      <c r="C582" s="34" t="s">
        <v>790</v>
      </c>
      <c r="D582" s="34" t="s">
        <v>1683</v>
      </c>
      <c r="E582" s="34" t="s">
        <v>828</v>
      </c>
      <c r="F582" s="24" t="s">
        <v>23</v>
      </c>
      <c r="G582" s="34" t="s">
        <v>829</v>
      </c>
      <c r="H582" s="34" t="s">
        <v>830</v>
      </c>
      <c r="I582" s="35"/>
    </row>
    <row r="583" spans="2:9">
      <c r="B583" s="23"/>
      <c r="C583" s="34" t="s">
        <v>792</v>
      </c>
      <c r="D583" s="34" t="s">
        <v>1684</v>
      </c>
      <c r="E583" s="34" t="s">
        <v>828</v>
      </c>
      <c r="F583" s="24" t="s">
        <v>23</v>
      </c>
      <c r="G583" s="34" t="s">
        <v>829</v>
      </c>
      <c r="H583" s="34" t="s">
        <v>830</v>
      </c>
      <c r="I583" s="35"/>
    </row>
    <row r="584" spans="2:9">
      <c r="B584" s="23"/>
      <c r="C584" s="34" t="s">
        <v>1685</v>
      </c>
      <c r="D584" s="34" t="s">
        <v>1686</v>
      </c>
      <c r="E584" s="34" t="s">
        <v>828</v>
      </c>
      <c r="F584" s="25" t="s">
        <v>86</v>
      </c>
      <c r="G584" s="34" t="s">
        <v>829</v>
      </c>
      <c r="H584" s="34" t="s">
        <v>830</v>
      </c>
      <c r="I584" s="35"/>
    </row>
    <row r="585" spans="2:9">
      <c r="B585" s="23"/>
      <c r="C585" s="34" t="s">
        <v>1687</v>
      </c>
      <c r="D585" s="34" t="s">
        <v>1688</v>
      </c>
      <c r="E585" s="34" t="s">
        <v>828</v>
      </c>
      <c r="F585" s="25" t="s">
        <v>86</v>
      </c>
      <c r="G585" s="34" t="s">
        <v>829</v>
      </c>
      <c r="H585" s="34" t="s">
        <v>830</v>
      </c>
      <c r="I585" s="35"/>
    </row>
    <row r="586" spans="2:9">
      <c r="B586" s="23"/>
      <c r="C586" s="34" t="s">
        <v>794</v>
      </c>
      <c r="D586" s="34" t="s">
        <v>1689</v>
      </c>
      <c r="E586" s="34" t="s">
        <v>828</v>
      </c>
      <c r="F586" s="24" t="s">
        <v>23</v>
      </c>
      <c r="G586" s="34" t="s">
        <v>829</v>
      </c>
      <c r="H586" s="34" t="s">
        <v>830</v>
      </c>
      <c r="I586" s="35"/>
    </row>
    <row r="587" spans="2:9">
      <c r="B587" s="23"/>
      <c r="C587" s="34" t="s">
        <v>796</v>
      </c>
      <c r="D587" s="34" t="s">
        <v>1690</v>
      </c>
      <c r="E587" s="34" t="s">
        <v>828</v>
      </c>
      <c r="F587" s="24" t="s">
        <v>23</v>
      </c>
      <c r="G587" s="34" t="s">
        <v>829</v>
      </c>
      <c r="H587" s="34" t="s">
        <v>830</v>
      </c>
      <c r="I587" s="35"/>
    </row>
    <row r="588" spans="2:9">
      <c r="B588" s="23"/>
      <c r="C588" s="34" t="s">
        <v>798</v>
      </c>
      <c r="D588" s="34" t="s">
        <v>1691</v>
      </c>
      <c r="E588" s="34" t="s">
        <v>828</v>
      </c>
      <c r="F588" s="24" t="s">
        <v>23</v>
      </c>
      <c r="G588" s="34" t="s">
        <v>829</v>
      </c>
      <c r="H588" s="34" t="s">
        <v>830</v>
      </c>
      <c r="I588" s="35"/>
    </row>
    <row r="589" spans="2:9">
      <c r="B589" s="23"/>
      <c r="C589" s="34" t="s">
        <v>800</v>
      </c>
      <c r="D589" s="34" t="s">
        <v>1692</v>
      </c>
      <c r="E589" s="34" t="s">
        <v>828</v>
      </c>
      <c r="F589" s="24" t="s">
        <v>23</v>
      </c>
      <c r="G589" s="34" t="s">
        <v>829</v>
      </c>
      <c r="H589" s="34" t="s">
        <v>830</v>
      </c>
      <c r="I589" s="35"/>
    </row>
    <row r="590" spans="2:9">
      <c r="B590" s="23"/>
      <c r="C590" s="34" t="s">
        <v>1693</v>
      </c>
      <c r="D590" s="34" t="s">
        <v>1694</v>
      </c>
      <c r="E590" s="34" t="s">
        <v>828</v>
      </c>
      <c r="F590" s="26" t="s">
        <v>82</v>
      </c>
      <c r="G590" s="34" t="s">
        <v>829</v>
      </c>
      <c r="H590" s="34" t="s">
        <v>830</v>
      </c>
      <c r="I590" s="35"/>
    </row>
    <row r="591" spans="2:9">
      <c r="B591" s="23"/>
      <c r="C591" s="34" t="s">
        <v>1695</v>
      </c>
      <c r="D591" s="34" t="s">
        <v>1696</v>
      </c>
      <c r="E591" s="34" t="s">
        <v>828</v>
      </c>
      <c r="F591" s="26" t="s">
        <v>82</v>
      </c>
      <c r="G591" s="34" t="s">
        <v>829</v>
      </c>
      <c r="H591" s="34" t="s">
        <v>830</v>
      </c>
      <c r="I591" s="35"/>
    </row>
    <row r="592" spans="2:9">
      <c r="B592" s="23"/>
      <c r="C592" s="34" t="s">
        <v>803</v>
      </c>
      <c r="D592" s="34" t="s">
        <v>1697</v>
      </c>
      <c r="E592" s="34" t="s">
        <v>828</v>
      </c>
      <c r="F592" s="24" t="s">
        <v>23</v>
      </c>
      <c r="G592" s="34" t="s">
        <v>829</v>
      </c>
      <c r="H592" s="34" t="s">
        <v>830</v>
      </c>
      <c r="I592" s="35"/>
    </row>
    <row r="593" spans="2:9">
      <c r="B593" s="23"/>
      <c r="C593" s="34" t="s">
        <v>1698</v>
      </c>
      <c r="D593" s="34" t="s">
        <v>1699</v>
      </c>
      <c r="E593" s="34" t="s">
        <v>828</v>
      </c>
      <c r="F593" s="25" t="s">
        <v>86</v>
      </c>
      <c r="G593" s="34" t="s">
        <v>829</v>
      </c>
      <c r="H593" s="34" t="s">
        <v>830</v>
      </c>
      <c r="I593" s="35"/>
    </row>
    <row r="594" spans="2:9">
      <c r="B594" s="23"/>
      <c r="C594" s="34" t="s">
        <v>806</v>
      </c>
      <c r="D594" s="34" t="s">
        <v>1700</v>
      </c>
      <c r="E594" s="34" t="s">
        <v>828</v>
      </c>
      <c r="F594" s="24" t="s">
        <v>23</v>
      </c>
      <c r="G594" s="34" t="s">
        <v>829</v>
      </c>
      <c r="H594" s="34" t="s">
        <v>830</v>
      </c>
      <c r="I594" s="35"/>
    </row>
    <row r="595" spans="2:9">
      <c r="B595" s="23"/>
      <c r="C595" s="34" t="s">
        <v>808</v>
      </c>
      <c r="D595" s="34" t="s">
        <v>1701</v>
      </c>
      <c r="E595" s="34" t="s">
        <v>828</v>
      </c>
      <c r="F595" s="24" t="s">
        <v>23</v>
      </c>
      <c r="G595" s="34" t="s">
        <v>829</v>
      </c>
      <c r="H595" s="34" t="s">
        <v>830</v>
      </c>
      <c r="I595" s="35"/>
    </row>
    <row r="596" spans="2:9">
      <c r="B596" s="23"/>
      <c r="C596" s="34" t="s">
        <v>1702</v>
      </c>
      <c r="D596" s="34" t="s">
        <v>1703</v>
      </c>
      <c r="E596" s="34" t="s">
        <v>828</v>
      </c>
      <c r="F596" s="24" t="s">
        <v>23</v>
      </c>
      <c r="G596" s="34" t="s">
        <v>829</v>
      </c>
      <c r="H596" s="34" t="s">
        <v>830</v>
      </c>
      <c r="I596" s="35"/>
    </row>
    <row r="597" spans="2:9">
      <c r="B597" s="23"/>
      <c r="C597" s="34" t="s">
        <v>810</v>
      </c>
      <c r="D597" s="34" t="s">
        <v>1704</v>
      </c>
      <c r="E597" s="34" t="s">
        <v>828</v>
      </c>
      <c r="F597" s="24" t="s">
        <v>23</v>
      </c>
      <c r="G597" s="34" t="s">
        <v>829</v>
      </c>
      <c r="H597" s="34" t="s">
        <v>830</v>
      </c>
      <c r="I597" s="35"/>
    </row>
    <row r="598" spans="2:9">
      <c r="B598" s="23"/>
      <c r="C598" s="34" t="s">
        <v>1705</v>
      </c>
      <c r="D598" s="34" t="s">
        <v>1706</v>
      </c>
      <c r="E598" s="34" t="s">
        <v>828</v>
      </c>
      <c r="F598" s="24" t="s">
        <v>23</v>
      </c>
      <c r="G598" s="34" t="s">
        <v>829</v>
      </c>
      <c r="H598" s="34" t="s">
        <v>830</v>
      </c>
      <c r="I598" s="35"/>
    </row>
    <row r="599" spans="2:9">
      <c r="B599" s="23"/>
      <c r="C599" s="34" t="s">
        <v>1707</v>
      </c>
      <c r="D599" s="34" t="s">
        <v>1708</v>
      </c>
      <c r="E599" s="34" t="s">
        <v>828</v>
      </c>
      <c r="F599" s="24" t="s">
        <v>23</v>
      </c>
      <c r="G599" s="34" t="s">
        <v>829</v>
      </c>
      <c r="H599" s="34" t="s">
        <v>830</v>
      </c>
      <c r="I599" s="35"/>
    </row>
    <row r="600" spans="2:9">
      <c r="B600" s="23"/>
      <c r="C600" s="34" t="s">
        <v>812</v>
      </c>
      <c r="D600" s="34" t="s">
        <v>1709</v>
      </c>
      <c r="E600" s="34" t="s">
        <v>828</v>
      </c>
      <c r="F600" s="24" t="s">
        <v>23</v>
      </c>
      <c r="G600" s="34" t="s">
        <v>829</v>
      </c>
      <c r="H600" s="34" t="s">
        <v>830</v>
      </c>
      <c r="I600" s="35"/>
    </row>
    <row r="601" spans="2:9">
      <c r="B601" s="23"/>
      <c r="C601" s="34" t="s">
        <v>1710</v>
      </c>
      <c r="D601" s="34" t="s">
        <v>1711</v>
      </c>
      <c r="E601" s="34" t="s">
        <v>828</v>
      </c>
      <c r="F601" s="24" t="s">
        <v>23</v>
      </c>
      <c r="G601" s="34" t="s">
        <v>829</v>
      </c>
      <c r="H601" s="34" t="s">
        <v>830</v>
      </c>
      <c r="I601" s="35"/>
    </row>
    <row r="602" spans="2:9">
      <c r="B602" s="23"/>
      <c r="C602" s="34" t="s">
        <v>1712</v>
      </c>
      <c r="D602" s="34" t="s">
        <v>1713</v>
      </c>
      <c r="E602" s="34" t="s">
        <v>828</v>
      </c>
      <c r="F602" s="24" t="s">
        <v>23</v>
      </c>
      <c r="G602" s="34" t="s">
        <v>829</v>
      </c>
      <c r="H602" s="34" t="s">
        <v>830</v>
      </c>
      <c r="I602" s="35"/>
    </row>
    <row r="603" spans="2:9">
      <c r="B603" s="23"/>
      <c r="C603" s="34" t="s">
        <v>815</v>
      </c>
      <c r="D603" s="34" t="s">
        <v>1714</v>
      </c>
      <c r="E603" s="34" t="s">
        <v>828</v>
      </c>
      <c r="F603" s="24" t="s">
        <v>23</v>
      </c>
      <c r="G603" s="34" t="s">
        <v>829</v>
      </c>
      <c r="H603" s="34" t="s">
        <v>830</v>
      </c>
      <c r="I603" s="35"/>
    </row>
    <row r="604" spans="2:9">
      <c r="B604" s="23"/>
      <c r="C604" s="34" t="s">
        <v>817</v>
      </c>
      <c r="D604" s="34" t="s">
        <v>1715</v>
      </c>
      <c r="E604" s="34" t="s">
        <v>828</v>
      </c>
      <c r="F604" s="24" t="s">
        <v>23</v>
      </c>
      <c r="G604" s="34" t="s">
        <v>829</v>
      </c>
      <c r="H604" s="34" t="s">
        <v>830</v>
      </c>
      <c r="I604" s="35"/>
    </row>
    <row r="605" spans="2:9">
      <c r="B605" s="23"/>
      <c r="C605" s="34" t="s">
        <v>1716</v>
      </c>
      <c r="D605" s="34" t="s">
        <v>1717</v>
      </c>
      <c r="E605" s="34" t="s">
        <v>828</v>
      </c>
      <c r="F605" s="26" t="s">
        <v>82</v>
      </c>
      <c r="G605" s="34" t="s">
        <v>829</v>
      </c>
      <c r="H605" s="34" t="s">
        <v>830</v>
      </c>
      <c r="I605" s="35"/>
    </row>
    <row r="606" spans="2:9">
      <c r="B606" s="23"/>
      <c r="C606" s="34" t="s">
        <v>1718</v>
      </c>
      <c r="D606" s="34" t="s">
        <v>1719</v>
      </c>
      <c r="E606" s="34" t="s">
        <v>828</v>
      </c>
      <c r="F606" s="24" t="s">
        <v>23</v>
      </c>
      <c r="G606" s="34" t="s">
        <v>829</v>
      </c>
      <c r="H606" s="34" t="s">
        <v>830</v>
      </c>
      <c r="I606" s="35"/>
    </row>
    <row r="607" spans="2:9">
      <c r="B607" s="23"/>
      <c r="C607" s="34" t="s">
        <v>1720</v>
      </c>
      <c r="D607" s="34" t="s">
        <v>1721</v>
      </c>
      <c r="E607" s="34" t="s">
        <v>828</v>
      </c>
      <c r="F607" s="24" t="s">
        <v>23</v>
      </c>
      <c r="G607" s="34" t="s">
        <v>829</v>
      </c>
      <c r="H607" s="34" t="s">
        <v>830</v>
      </c>
      <c r="I607" s="35"/>
    </row>
  </sheetData>
  <hyperlinks>
    <hyperlink ref="B3" r:id="rId1" display="https://amp.vexpenses.com/settings/membros-de-equipe/895944" xr:uid="{F6219CAC-8F4B-4ECE-AF17-5FE7AEE73F33}"/>
    <hyperlink ref="B4" r:id="rId2" display="https://amp.vexpenses.com/settings/membros-de-equipe/923558" xr:uid="{F6E2B6CB-E5D6-4DC5-8CC5-963E7CFBFB19}"/>
    <hyperlink ref="B5" r:id="rId3" display="https://amp.vexpenses.com/settings/membros-de-equipe/895945" xr:uid="{9E390788-7933-43A1-A261-CBDC3774A949}"/>
    <hyperlink ref="B6" r:id="rId4" display="https://amp.vexpenses.com/settings/membros-de-equipe/895946" xr:uid="{D4EF73ED-D217-448F-92C9-8236D037EB0E}"/>
    <hyperlink ref="B7" r:id="rId5" display="https://amp.vexpenses.com/settings/membros-de-equipe/1071869" xr:uid="{52E5B9FB-0006-4152-BACF-AFD05784A050}"/>
    <hyperlink ref="B8" r:id="rId6" display="https://amp.vexpenses.com/settings/membros-de-equipe/895947" xr:uid="{F0CB30E0-F29B-4D3C-843F-949B0895FA17}"/>
    <hyperlink ref="B9" r:id="rId7" display="https://amp.vexpenses.com/settings/membros-de-equipe/895948" xr:uid="{60CBA7C7-1EC8-4E61-AFED-0022AB682738}"/>
    <hyperlink ref="B10" r:id="rId8" display="https://amp.vexpenses.com/settings/membros-de-equipe/895949" xr:uid="{CCC0C196-05E1-4775-B1D8-658984B4F4B5}"/>
    <hyperlink ref="B11" r:id="rId9" display="https://amp.vexpenses.com/settings/membros-de-equipe/978182" xr:uid="{64A209C2-2B42-4E72-B8C3-71B4EA87F731}"/>
    <hyperlink ref="B12" r:id="rId10" display="https://amp.vexpenses.com/settings/membros-de-equipe/895950" xr:uid="{F9C83542-1315-4335-B94C-C26B4C2C9192}"/>
    <hyperlink ref="B13" r:id="rId11" display="https://amp.vexpenses.com/settings/membros-de-equipe/895951" xr:uid="{29FF5631-9351-4800-B772-CA2E12AAFB43}"/>
    <hyperlink ref="B14" r:id="rId12" display="https://amp.vexpenses.com/settings/membros-de-equipe/895952" xr:uid="{0AD3690D-1C15-4046-A397-F3085DA9C896}"/>
    <hyperlink ref="B15" r:id="rId13" display="https://amp.vexpenses.com/settings/membros-de-equipe/895954" xr:uid="{697CBDCF-5879-42AD-8810-D8357C1A0DE9}"/>
    <hyperlink ref="B16" r:id="rId14" display="https://amp.vexpenses.com/settings/membros-de-equipe/895955" xr:uid="{9A5A2BEB-478F-4E46-BDC7-CBE30D796201}"/>
    <hyperlink ref="B17" r:id="rId15" display="https://amp.vexpenses.com/settings/membros-de-equipe/895956" xr:uid="{1948A303-D5A3-4CD9-A40F-B4915CC77ADE}"/>
    <hyperlink ref="B18" r:id="rId16" display="https://amp.vexpenses.com/settings/membros-de-equipe/985870" xr:uid="{ABC80EC4-D4F6-460C-AFCB-5A082A96F181}"/>
    <hyperlink ref="B19" r:id="rId17" display="https://amp.vexpenses.com/settings/membros-de-equipe/916910" xr:uid="{0009915B-E89A-4E24-9D3F-A37E57B968A1}"/>
    <hyperlink ref="B20" r:id="rId18" display="https://amp.vexpenses.com/settings/membros-de-equipe/895957" xr:uid="{9B76244B-A854-48D1-9427-C734309E43FE}"/>
    <hyperlink ref="B21" r:id="rId19" display="https://amp.vexpenses.com/settings/membros-de-equipe/929763" xr:uid="{1B43E0B3-D44B-4DF6-98C3-13038DB1F9E6}"/>
    <hyperlink ref="B22" r:id="rId20" display="https://amp.vexpenses.com/settings/membros-de-equipe/895959" xr:uid="{45A79649-2BF9-48AA-B86F-8B98B4464823}"/>
    <hyperlink ref="B23" r:id="rId21" display="https://amp.vexpenses.com/settings/membros-de-equipe/895961" xr:uid="{6757200E-D17F-4E6A-82ED-D9D3B6107092}"/>
    <hyperlink ref="B24" r:id="rId22" display="https://amp.vexpenses.com/settings/membros-de-equipe/895962" xr:uid="{5C71AA22-2BD5-448C-A4C8-8ECF1E87B9D4}"/>
    <hyperlink ref="B25" r:id="rId23" display="https://amp.vexpenses.com/settings/membros-de-equipe/1063501" xr:uid="{0EA1E4A4-A637-4F4B-90C8-F19D89648638}"/>
    <hyperlink ref="B26" r:id="rId24" display="https://amp.vexpenses.com/settings/membros-de-equipe/895963" xr:uid="{E893A88C-4C84-43C6-8EF7-D95AA17B1B2A}"/>
    <hyperlink ref="B27" r:id="rId25" display="https://amp.vexpenses.com/settings/membros-de-equipe/895964" xr:uid="{E4A9E479-22AE-4457-9477-542B5A41BA8D}"/>
    <hyperlink ref="B28" r:id="rId26" display="https://amp.vexpenses.com/settings/membros-de-equipe/1071873" xr:uid="{FF0709AD-E650-47F5-918D-427D4FA122F0}"/>
    <hyperlink ref="B29" r:id="rId27" display="https://amp.vexpenses.com/settings/membros-de-equipe/895965" xr:uid="{8C825A63-D3CD-40C5-BBBB-EDE0B298301A}"/>
    <hyperlink ref="B30" r:id="rId28" display="https://amp.vexpenses.com/settings/membros-de-equipe/917314" xr:uid="{B322B7BA-46DC-40C1-A15A-D3EB392E6611}"/>
    <hyperlink ref="B31" r:id="rId29" display="https://amp.vexpenses.com/settings/membros-de-equipe/895966" xr:uid="{6F740E7F-06DA-45AC-9A15-9B6B4D9317B9}"/>
    <hyperlink ref="B32" r:id="rId30" display="https://amp.vexpenses.com/settings/membros-de-equipe/895967" xr:uid="{A7B35718-48E7-43F3-B020-5D4214C11CE2}"/>
    <hyperlink ref="B33" r:id="rId31" display="https://amp.vexpenses.com/settings/membros-de-equipe/971287" xr:uid="{CCFAD028-AF78-4F41-9C78-6FBDC72B3429}"/>
    <hyperlink ref="B34" r:id="rId32" display="https://amp.vexpenses.com/settings/membros-de-equipe/895968" xr:uid="{FFDD2BA7-7593-4CD9-80F1-DBE6A77D3414}"/>
    <hyperlink ref="B35" r:id="rId33" display="https://amp.vexpenses.com/settings/membros-de-equipe/1133255" xr:uid="{70443BED-5700-4C2C-9EE1-9D9B952BB8AC}"/>
    <hyperlink ref="B36" r:id="rId34" display="https://amp.vexpenses.com/settings/membros-de-equipe/917318" xr:uid="{1AF00619-FE47-452D-A614-4CC238195133}"/>
    <hyperlink ref="B37" r:id="rId35" display="https://amp.vexpenses.com/settings/membros-de-equipe/1033749" xr:uid="{9CD1163D-79A7-4CD8-8953-BE70AA4B87E0}"/>
    <hyperlink ref="B38" r:id="rId36" display="https://amp.vexpenses.com/settings/membros-de-equipe/1106575" xr:uid="{BE0BEE0F-D03D-4FAB-B54C-1565A60432F2}"/>
    <hyperlink ref="B39" r:id="rId37" display="https://amp.vexpenses.com/settings/membros-de-equipe/895969" xr:uid="{72EC1238-AB4C-40D1-A6DE-3FD063D9368C}"/>
    <hyperlink ref="B40" r:id="rId38" display="https://amp.vexpenses.com/settings/membros-de-equipe/918852" xr:uid="{15F34E38-F685-468E-8B41-2FB4E04A93C0}"/>
    <hyperlink ref="B41" r:id="rId39" display="https://amp.vexpenses.com/settings/membros-de-equipe/895970" xr:uid="{544564D7-12CC-458D-8CB6-B2211838717A}"/>
    <hyperlink ref="B42" r:id="rId40" display="https://amp.vexpenses.com/settings/membros-de-equipe/1063505" xr:uid="{8EE77C27-35BE-4C68-B3B5-3539775AD5AE}"/>
    <hyperlink ref="B43" r:id="rId41" display="https://amp.vexpenses.com/settings/membros-de-equipe/895972" xr:uid="{D4DE8C14-DE1E-454B-8BC5-5ECB4B81D667}"/>
    <hyperlink ref="B44" r:id="rId42" display="https://amp.vexpenses.com/settings/membros-de-equipe/966263" xr:uid="{09DBFE51-8B85-4A52-B818-3DA563EEAFEC}"/>
    <hyperlink ref="B45" r:id="rId43" display="https://amp.vexpenses.com/settings/membros-de-equipe/895974" xr:uid="{0ABC3EFE-70B0-44CA-B435-FDEEAD218F87}"/>
    <hyperlink ref="B46" r:id="rId44" display="https://amp.vexpenses.com/settings/membros-de-equipe/929757" xr:uid="{C0FD724B-78BC-4D59-B221-BB63FE6ED0C3}"/>
    <hyperlink ref="B47" r:id="rId45" display="https://amp.vexpenses.com/settings/membros-de-equipe/895975" xr:uid="{CE1970AF-44ED-45A0-8280-944474518333}"/>
    <hyperlink ref="B48" r:id="rId46" display="https://amp.vexpenses.com/settings/membros-de-equipe/895977" xr:uid="{811ED1FF-8FA1-4467-A2DA-1F8C3F15C25A}"/>
    <hyperlink ref="B49" r:id="rId47" display="https://amp.vexpenses.com/settings/membros-de-equipe/895978" xr:uid="{28169E29-C8AD-4F02-BBED-17690D00B507}"/>
    <hyperlink ref="B50" r:id="rId48" display="https://amp.vexpenses.com/settings/membros-de-equipe/1054492" xr:uid="{031A84DA-8445-4728-8ED7-81C2A416C910}"/>
    <hyperlink ref="B51" r:id="rId49" display="https://amp.vexpenses.com/settings/membros-de-equipe/1114311" xr:uid="{74B0CAC3-1C35-406D-9C76-4E359BB94D84}"/>
    <hyperlink ref="B52" r:id="rId50" display="https://amp.vexpenses.com/settings/membros-de-equipe/1040950" xr:uid="{D24F13B2-37F0-473C-8CB2-AA29A3EE68A0}"/>
    <hyperlink ref="B53" r:id="rId51" display="https://amp.vexpenses.com/settings/membros-de-equipe/934784" xr:uid="{66D38D30-5D18-48D4-98C9-19D671BC7CF9}"/>
    <hyperlink ref="B54" r:id="rId52" display="https://amp.vexpenses.com/settings/membros-de-equipe/1059840" xr:uid="{FCB2C2E8-B8AD-4960-B220-F5048B3EEC34}"/>
    <hyperlink ref="B55" r:id="rId53" display="https://amp.vexpenses.com/settings/membros-de-equipe/1089708" xr:uid="{19D5356D-9257-4719-9CFF-AE74B107E750}"/>
    <hyperlink ref="B56" r:id="rId54" display="https://amp.vexpenses.com/settings/membros-de-equipe/917324" xr:uid="{F431782A-23F9-44CD-8DCC-07B836DE503C}"/>
    <hyperlink ref="B57" r:id="rId55" display="https://amp.vexpenses.com/settings/membros-de-equipe/1084037" xr:uid="{9505614F-1534-4C0D-A825-A4976F42F5B7}"/>
    <hyperlink ref="B58" r:id="rId56" display="https://amp.vexpenses.com/settings/membros-de-equipe/895982" xr:uid="{A78050F9-7F6D-42FF-B7A8-E3BBA4B869DB}"/>
    <hyperlink ref="B59" r:id="rId57" display="https://amp.vexpenses.com/settings/membros-de-equipe/895983" xr:uid="{811F9299-9EA6-4078-A63E-FEFEC84B4279}"/>
    <hyperlink ref="B60" r:id="rId58" display="https://amp.vexpenses.com/settings/membros-de-equipe/895984" xr:uid="{0AE7F71D-F5EF-4AFF-99AA-4C9A177F7DBE}"/>
    <hyperlink ref="B61" r:id="rId59" display="https://amp.vexpenses.com/settings/membros-de-equipe/895985" xr:uid="{3CB0E9D0-A9AE-4169-8F9B-04AA2D1B8222}"/>
    <hyperlink ref="B62" r:id="rId60" display="https://amp.vexpenses.com/settings/membros-de-equipe/916889" xr:uid="{C0F49531-990C-4740-B947-AD88FF8D9ECF}"/>
    <hyperlink ref="B63" r:id="rId61" display="https://amp.vexpenses.com/settings/membros-de-equipe/895986" xr:uid="{2DAF55B5-25FE-4178-8C6F-4673FE75878E}"/>
    <hyperlink ref="B64" r:id="rId62" display="https://amp.vexpenses.com/settings/membros-de-equipe/891977" xr:uid="{24FA79C9-0C5D-4608-BFDD-624768E31812}"/>
    <hyperlink ref="B65" r:id="rId63" display="https://amp.vexpenses.com/settings/membros-de-equipe/895988" xr:uid="{7409D074-2776-48A4-A9BD-86165D0DB78A}"/>
    <hyperlink ref="B66" r:id="rId64" display="https://amp.vexpenses.com/settings/membros-de-equipe/1115604" xr:uid="{AAFD7C78-C2C5-406E-BCD2-6CA94A4AB3B5}"/>
    <hyperlink ref="B67" r:id="rId65" display="https://amp.vexpenses.com/settings/membros-de-equipe/1047085" xr:uid="{0F5DAD3C-281F-4C7F-81D1-23A62FA1CB35}"/>
    <hyperlink ref="B68" r:id="rId66" display="https://amp.vexpenses.com/settings/membros-de-equipe/895991" xr:uid="{568DE5A9-1755-4717-AB4C-FB42C46C3A19}"/>
    <hyperlink ref="B69" r:id="rId67" display="https://amp.vexpenses.com/settings/membros-de-equipe/895992" xr:uid="{831FD9E9-1041-4C70-A759-9123DF62332D}"/>
    <hyperlink ref="B70" r:id="rId68" display="https://amp.vexpenses.com/settings/membros-de-equipe/895993" xr:uid="{74EFBE40-61FC-4CEA-B345-015AD988B0A8}"/>
    <hyperlink ref="B71" r:id="rId69" display="https://amp.vexpenses.com/settings/membros-de-equipe/895994" xr:uid="{2CD29A3A-CB18-4F44-A2A0-2B8B484D24B1}"/>
    <hyperlink ref="B72" r:id="rId70" display="https://amp.vexpenses.com/settings/membros-de-equipe/982780" xr:uid="{CE8312AD-6631-4CF4-AD03-F764CA2009B1}"/>
    <hyperlink ref="B73" r:id="rId71" display="https://amp.vexpenses.com/settings/membros-de-equipe/920071" xr:uid="{D90DAAB5-C76A-4DDA-BE92-7D4A478224A3}"/>
    <hyperlink ref="B74" r:id="rId72" display="https://amp.vexpenses.com/settings/membros-de-equipe/1083302" xr:uid="{BCC8D476-CEA6-447D-B2B2-9132093CE9E9}"/>
    <hyperlink ref="B75" r:id="rId73" display="https://amp.vexpenses.com/settings/membros-de-equipe/895996" xr:uid="{54664F2C-59EB-436A-9FD3-8641D9498295}"/>
    <hyperlink ref="B76" r:id="rId74" display="https://amp.vexpenses.com/settings/membros-de-equipe/973987" xr:uid="{4A490F5E-E07A-42B3-90AC-6ECE5AD965EA}"/>
    <hyperlink ref="B77" r:id="rId75" display="https://amp.vexpenses.com/settings/membros-de-equipe/895997" xr:uid="{F000320F-A2D6-45CE-AF34-8812C3F1E799}"/>
    <hyperlink ref="B78" r:id="rId76" display="https://amp.vexpenses.com/settings/membros-de-equipe/917085" xr:uid="{50F269FD-DC7B-4954-A9EA-45B5CE8CE2B8}"/>
    <hyperlink ref="B79" r:id="rId77" display="https://amp.vexpenses.com/settings/membros-de-equipe/930416" xr:uid="{35114DAC-BD84-41C7-99FE-03ED7B72EF74}"/>
    <hyperlink ref="B80" r:id="rId78" display="https://amp.vexpenses.com/settings/membros-de-equipe/895999" xr:uid="{1F78439B-609E-4F03-B256-2E905B666808}"/>
    <hyperlink ref="B81" r:id="rId79" display="https://amp.vexpenses.com/settings/membros-de-equipe/896000" xr:uid="{AF78AD1F-BA2D-43DF-9D05-6CD49C0E3C68}"/>
    <hyperlink ref="B82" r:id="rId80" display="https://amp.vexpenses.com/settings/membros-de-equipe/896001" xr:uid="{E353F274-2D37-45CD-994E-3791402ADEE8}"/>
    <hyperlink ref="B83" r:id="rId81" display="https://amp.vexpenses.com/settings/membros-de-equipe/1017677" xr:uid="{804D8828-0224-40B0-82C1-AE851D80378A}"/>
    <hyperlink ref="B84" r:id="rId82" display="https://amp.vexpenses.com/settings/membros-de-equipe/896002" xr:uid="{BB3F9F37-AC50-4B69-83BB-06B13EF24B8A}"/>
    <hyperlink ref="B85" r:id="rId83" display="https://amp.vexpenses.com/settings/membros-de-equipe/896003" xr:uid="{5C210F5B-2D04-481A-A3EB-CA9703209523}"/>
    <hyperlink ref="B86" r:id="rId84" display="https://amp.vexpenses.com/settings/membros-de-equipe/1129186" xr:uid="{79FC31DC-A1F7-4949-AD75-073FEC72CC47}"/>
    <hyperlink ref="B87" r:id="rId85" display="https://amp.vexpenses.com/settings/membros-de-equipe/896004" xr:uid="{71D8BFC9-261B-4A4B-A036-62C2C694DE33}"/>
    <hyperlink ref="B88" r:id="rId86" display="https://amp.vexpenses.com/settings/membros-de-equipe/1068617" xr:uid="{9A08C3E3-C822-4FF1-973C-9F72313B0106}"/>
    <hyperlink ref="B89" r:id="rId87" display="https://amp.vexpenses.com/settings/membros-de-equipe/896006" xr:uid="{E4332827-4AF2-48E7-B1EC-8B6A497EFB35}"/>
    <hyperlink ref="B90" r:id="rId88" display="https://amp.vexpenses.com/settings/membros-de-equipe/896007" xr:uid="{585AB133-9AFF-443E-832C-B62F2C5D00AE}"/>
    <hyperlink ref="B91" r:id="rId89" display="https://amp.vexpenses.com/settings/membros-de-equipe/896008" xr:uid="{F1D605D7-D32C-45FB-884C-1DCBF4682461}"/>
    <hyperlink ref="B92" r:id="rId90" display="https://amp.vexpenses.com/settings/membros-de-equipe/1010642" xr:uid="{3E426347-9E12-4DAA-B7D7-764748715556}"/>
    <hyperlink ref="B93" r:id="rId91" display="https://amp.vexpenses.com/settings/membros-de-equipe/896009" xr:uid="{EF2BA61B-AD88-4B68-918E-ED99E5C4AA6B}"/>
    <hyperlink ref="B94" r:id="rId92" display="https://amp.vexpenses.com/settings/membros-de-equipe/896010" xr:uid="{A70CF482-2C11-4B79-B164-E8E5AB55A6B1}"/>
    <hyperlink ref="B95" r:id="rId93" display="https://amp.vexpenses.com/settings/membros-de-equipe/896011" xr:uid="{9A533D15-3B9A-456B-9D4E-F87C03FBD7AA}"/>
    <hyperlink ref="B96" r:id="rId94" display="https://amp.vexpenses.com/settings/membros-de-equipe/896012" xr:uid="{69544EEA-09CD-4429-A8AD-714F18950BFD}"/>
    <hyperlink ref="B97" r:id="rId95" display="https://amp.vexpenses.com/settings/membros-de-equipe/896014" xr:uid="{BDE81C67-BEE6-483F-A84B-FD84E0AD9F50}"/>
    <hyperlink ref="B98" r:id="rId96" display="https://amp.vexpenses.com/settings/membros-de-equipe/896015" xr:uid="{29455DFA-93D3-4D21-936D-0D81BB57ED9C}"/>
    <hyperlink ref="B99" r:id="rId97" display="https://amp.vexpenses.com/settings/membros-de-equipe/930924" xr:uid="{C31AC689-132D-4AF0-ABC6-E6AEDCD7A1E1}"/>
    <hyperlink ref="B100" r:id="rId98" display="https://amp.vexpenses.com/settings/membros-de-equipe/896017" xr:uid="{875DC5E8-2781-49E8-BDBD-C3FB951EADE1}"/>
    <hyperlink ref="B101" r:id="rId99" display="https://amp.vexpenses.com/settings/membros-de-equipe/896018" xr:uid="{BFB32EE5-E9B7-465F-AC21-A0217CE16991}"/>
    <hyperlink ref="B102" r:id="rId100" display="https://amp.vexpenses.com/settings/membros-de-equipe/896019" xr:uid="{52B8FF05-1E6E-4634-BDF0-34E9D67175B0}"/>
    <hyperlink ref="B103" r:id="rId101" display="https://amp.vexpenses.com/settings/membros-de-equipe/952397" xr:uid="{A0BD815D-0735-4DE7-A76E-091A75524091}"/>
    <hyperlink ref="B104" r:id="rId102" display="https://amp.vexpenses.com/settings/membros-de-equipe/896020" xr:uid="{0D733C61-0F29-4775-8D82-AB9F6BBDECA0}"/>
    <hyperlink ref="B105" r:id="rId103" display="https://amp.vexpenses.com/settings/membros-de-equipe/896021" xr:uid="{37A121B6-8226-476A-A327-5067B154AD0F}"/>
    <hyperlink ref="B106" r:id="rId104" display="https://amp.vexpenses.com/settings/membros-de-equipe/1040885" xr:uid="{4C233476-E93E-41A8-9824-A8DDDA1431F5}"/>
    <hyperlink ref="B107" r:id="rId105" display="https://amp.vexpenses.com/settings/membros-de-equipe/999640" xr:uid="{DE1396F8-C108-46EA-98A6-AB471F652CFB}"/>
    <hyperlink ref="B108" r:id="rId106" display="https://amp.vexpenses.com/settings/membros-de-equipe/896023" xr:uid="{6072BBBC-13CC-48D2-97CE-C2A3E8702F03}"/>
    <hyperlink ref="B109" r:id="rId107" display="https://amp.vexpenses.com/settings/membros-de-equipe/1129756" xr:uid="{997438A1-5158-4ACF-BED9-CD0657F51ECC}"/>
    <hyperlink ref="B110" r:id="rId108" display="https://amp.vexpenses.com/settings/membros-de-equipe/1079004" xr:uid="{D5BD6277-E847-4317-A35D-B7EFAABC5176}"/>
    <hyperlink ref="B111" r:id="rId109" display="https://amp.vexpenses.com/settings/membros-de-equipe/896024" xr:uid="{5896C8E7-BC9B-4B8D-96E3-8E5340765116}"/>
    <hyperlink ref="B112" r:id="rId110" display="https://amp.vexpenses.com/settings/membros-de-equipe/896025" xr:uid="{C371CEBC-6E88-4BA3-8260-1D50F55DED68}"/>
    <hyperlink ref="B113" r:id="rId111" display="https://amp.vexpenses.com/settings/membros-de-equipe/896026" xr:uid="{7F98C598-902D-46AE-AF7B-495ED8C3A797}"/>
    <hyperlink ref="B114" r:id="rId112" display="https://amp.vexpenses.com/settings/membros-de-equipe/896027" xr:uid="{22326A3E-EE06-45DB-9BEC-7ADCB860DBDE}"/>
    <hyperlink ref="B115" r:id="rId113" display="https://amp.vexpenses.com/settings/membros-de-equipe/896028" xr:uid="{6A8BAE35-9028-4F1C-8FB6-631B035F1E1D}"/>
    <hyperlink ref="B116" r:id="rId114" display="https://amp.vexpenses.com/settings/membros-de-equipe/896030" xr:uid="{B6EE9828-2605-4A8D-A9D3-40DAFDA3A5EC}"/>
    <hyperlink ref="B117" r:id="rId115" display="https://amp.vexpenses.com/settings/membros-de-equipe/896031" xr:uid="{41A9C9BC-9990-4D30-B8AB-34C9875A3893}"/>
    <hyperlink ref="B118" r:id="rId116" display="https://amp.vexpenses.com/settings/membros-de-equipe/896033" xr:uid="{9C681CDB-8B45-4699-A532-18B5552AE12D}"/>
    <hyperlink ref="B119" r:id="rId117" display="https://amp.vexpenses.com/settings/membros-de-equipe/930403" xr:uid="{289D8B7F-C20F-4FF5-BF3F-FDDEF3CF7AA4}"/>
    <hyperlink ref="B120" r:id="rId118" display="https://amp.vexpenses.com/settings/membros-de-equipe/935041" xr:uid="{98BDA176-8064-4BFF-B78D-74A510179CCB}"/>
    <hyperlink ref="B121" r:id="rId119" display="https://amp.vexpenses.com/settings/membros-de-equipe/896034" xr:uid="{90B7E17B-EAD5-4CF5-BAAC-DCC3DEB1A0AC}"/>
    <hyperlink ref="B122" r:id="rId120" display="https://amp.vexpenses.com/settings/membros-de-equipe/896035" xr:uid="{64E1D0B6-CA88-4289-85BE-271C69FB1490}"/>
    <hyperlink ref="B123" r:id="rId121" display="https://amp.vexpenses.com/settings/membros-de-equipe/896036" xr:uid="{3971B87B-189B-43C3-A765-5CE0E0A041B9}"/>
    <hyperlink ref="B124" r:id="rId122" display="https://amp.vexpenses.com/settings/membros-de-equipe/1077041" xr:uid="{E6091F5E-3207-4DAB-B908-A50077FB8518}"/>
    <hyperlink ref="B125" r:id="rId123" display="https://amp.vexpenses.com/settings/membros-de-equipe/890792" xr:uid="{0D596F41-EB29-4CFC-AC04-925B944FBF5D}"/>
    <hyperlink ref="B126" r:id="rId124" display="https://amp.vexpenses.com/settings/membros-de-equipe/896037" xr:uid="{5ABD4996-0706-49E1-9FE0-A4B52092F899}"/>
    <hyperlink ref="B127" r:id="rId125" display="https://amp.vexpenses.com/settings/membros-de-equipe/916919" xr:uid="{9D6923AE-2FB9-480C-8570-1D53D23DE269}"/>
    <hyperlink ref="B128" r:id="rId126" display="https://amp.vexpenses.com/settings/membros-de-equipe/896040" xr:uid="{A2BD73A6-8F8B-4422-A1FB-0602D79DA76B}"/>
    <hyperlink ref="B129" r:id="rId127" display="https://amp.vexpenses.com/settings/membros-de-equipe/923635" xr:uid="{6FC0E628-453E-4CF6-9300-4BCF2C50CD2D}"/>
    <hyperlink ref="B130" r:id="rId128" display="https://amp.vexpenses.com/settings/membros-de-equipe/896419" xr:uid="{B2548D17-B707-4192-BF5C-42345362292E}"/>
    <hyperlink ref="B131" r:id="rId129" display="https://amp.vexpenses.com/settings/membros-de-equipe/896041" xr:uid="{97A53270-D00E-4F44-921A-4511EACBFDAB}"/>
    <hyperlink ref="B132" r:id="rId130" display="https://amp.vexpenses.com/settings/membros-de-equipe/896044" xr:uid="{4486D619-BF28-4127-9C81-DB659C5038EB}"/>
    <hyperlink ref="B133" r:id="rId131" display="https://amp.vexpenses.com/settings/membros-de-equipe/917345" xr:uid="{C7926F6C-FD5F-4DED-A059-DFCC1506761D}"/>
    <hyperlink ref="B134" r:id="rId132" display="https://amp.vexpenses.com/settings/membros-de-equipe/896045" xr:uid="{8F7BAAEE-7FEC-4F58-891E-048434A03BD9}"/>
    <hyperlink ref="B135" r:id="rId133" display="https://amp.vexpenses.com/settings/membros-de-equipe/896047" xr:uid="{F16B8FB0-1ABE-4CEB-A3C4-4ABB8AA03956}"/>
    <hyperlink ref="B136" r:id="rId134" display="https://amp.vexpenses.com/settings/membros-de-equipe/896048" xr:uid="{F55BBA81-8C54-482A-9251-3DAAA79F0FE9}"/>
    <hyperlink ref="B137" r:id="rId135" display="https://amp.vexpenses.com/settings/membros-de-equipe/966214" xr:uid="{D5CE7B36-8B79-4BAB-BBAC-CE4AAFD4F665}"/>
    <hyperlink ref="B138" r:id="rId136" display="https://amp.vexpenses.com/settings/membros-de-equipe/1066365" xr:uid="{C3C0E304-F815-427A-9BFE-10C43560589E}"/>
    <hyperlink ref="B139" r:id="rId137" display="https://amp.vexpenses.com/settings/membros-de-equipe/985850" xr:uid="{38FDDB1E-EB56-4FEA-AF8C-E9A8E1B683BC}"/>
    <hyperlink ref="B140" r:id="rId138" display="https://amp.vexpenses.com/settings/membros-de-equipe/896049" xr:uid="{CABBE582-F553-4F88-8831-3F798D582E92}"/>
    <hyperlink ref="B141" r:id="rId139" display="https://amp.vexpenses.com/settings/membros-de-equipe/1033724" xr:uid="{0DD65EE8-EBB8-4D50-8D39-109F83C4D578}"/>
    <hyperlink ref="B142" r:id="rId140" display="https://amp.vexpenses.com/settings/membros-de-equipe/896050" xr:uid="{12798AD9-5E7C-4581-B92C-9BFA9AC97105}"/>
    <hyperlink ref="B143" r:id="rId141" display="https://amp.vexpenses.com/settings/membros-de-equipe/896051" xr:uid="{1731A5C0-6FE5-447C-9A64-FE363F8A4255}"/>
    <hyperlink ref="B144" r:id="rId142" display="https://amp.vexpenses.com/settings/membros-de-equipe/1088600" xr:uid="{FF7FD9D2-7C53-403C-9476-A5A612BCB1CE}"/>
    <hyperlink ref="B145" r:id="rId143" display="https://amp.vexpenses.com/settings/membros-de-equipe/896052" xr:uid="{8FBBD36F-BC80-4BC3-9FA1-3815FCDF840B}"/>
    <hyperlink ref="B146" r:id="rId144" display="https://amp.vexpenses.com/settings/membros-de-equipe/1077048" xr:uid="{2A7E1525-E28E-4A9A-A654-16FFA2A2AE41}"/>
    <hyperlink ref="B147" r:id="rId145" display="https://amp.vexpenses.com/settings/membros-de-equipe/896053" xr:uid="{6FD80C9B-F785-420D-92C9-E3C37587E179}"/>
    <hyperlink ref="B148" r:id="rId146" display="https://amp.vexpenses.com/settings/membros-de-equipe/896054" xr:uid="{9827863C-3000-401A-A0B8-76C8E5550387}"/>
    <hyperlink ref="B149" r:id="rId147" display="https://amp.vexpenses.com/settings/membros-de-equipe/896055" xr:uid="{AE78290A-BA69-4360-94B7-99AC71DC73B3}"/>
    <hyperlink ref="B150" r:id="rId148" display="https://amp.vexpenses.com/settings/membros-de-equipe/896057" xr:uid="{B37727B1-5EE1-48CE-B4D7-85483EC487F9}"/>
    <hyperlink ref="B151" r:id="rId149" display="https://amp.vexpenses.com/settings/membros-de-equipe/896058" xr:uid="{F46B311A-DAA3-4823-B35C-B3D571E4CB07}"/>
    <hyperlink ref="B152" r:id="rId150" display="https://amp.vexpenses.com/settings/membros-de-equipe/896059" xr:uid="{A5DE6ADE-B54D-4B6E-8D17-19107DA5EF1D}"/>
    <hyperlink ref="B153" r:id="rId151" display="https://amp.vexpenses.com/settings/membros-de-equipe/896061" xr:uid="{32CB305C-22AB-49A8-98C7-B11F846E83B1}"/>
    <hyperlink ref="B154" r:id="rId152" display="https://amp.vexpenses.com/settings/membros-de-equipe/974110" xr:uid="{0FAF4168-C425-4708-8C88-F9F10A84A0FA}"/>
    <hyperlink ref="B155" r:id="rId153" display="https://amp.vexpenses.com/settings/membros-de-equipe/927175" xr:uid="{D03CD757-27BA-493C-B41E-237DA73554CC}"/>
    <hyperlink ref="B156" r:id="rId154" display="https://amp.vexpenses.com/settings/membros-de-equipe/896063" xr:uid="{109DACAD-05DA-409D-9EF7-AA40ABEC691B}"/>
    <hyperlink ref="B157" r:id="rId155" display="https://amp.vexpenses.com/settings/membros-de-equipe/896064" xr:uid="{93527CC1-BB7E-4A7C-BA5F-2C2583AFABF8}"/>
    <hyperlink ref="B158" r:id="rId156" display="https://amp.vexpenses.com/settings/membros-de-equipe/896066" xr:uid="{0688BC13-F7C7-4767-9139-B4E566D70387}"/>
    <hyperlink ref="B159" r:id="rId157" display="https://amp.vexpenses.com/settings/membros-de-equipe/896067" xr:uid="{13658A83-CB80-4E22-A121-3C516DEEEB10}"/>
    <hyperlink ref="B160" r:id="rId158" display="https://amp.vexpenses.com/settings/membros-de-equipe/896068" xr:uid="{0CF84AF3-D503-4535-85DE-636B1E956EE4}"/>
    <hyperlink ref="B161" r:id="rId159" display="https://amp.vexpenses.com/settings/membros-de-equipe/896069" xr:uid="{E4ED6604-9252-4F03-A9FA-AEB4D9F86A17}"/>
    <hyperlink ref="B162" r:id="rId160" display="https://amp.vexpenses.com/settings/membros-de-equipe/930406" xr:uid="{24C7A9D1-10A8-4E0B-8F60-9CB9C0534587}"/>
    <hyperlink ref="B163" r:id="rId161" display="https://amp.vexpenses.com/settings/membros-de-equipe/896070" xr:uid="{9EEF2919-E60D-45E5-A61D-B686721CD0B1}"/>
    <hyperlink ref="B164" r:id="rId162" display="https://amp.vexpenses.com/settings/membros-de-equipe/896071" xr:uid="{725A6295-B05B-408D-89EF-7358A7553DB5}"/>
    <hyperlink ref="B165" r:id="rId163" display="https://amp.vexpenses.com/settings/membros-de-equipe/972167" xr:uid="{D74B3FC4-E936-4D93-8861-FB9A76339133}"/>
    <hyperlink ref="B166" r:id="rId164" display="https://amp.vexpenses.com/settings/membros-de-equipe/896072" xr:uid="{C3258A3A-4D38-421E-8D0D-8658665A7C16}"/>
    <hyperlink ref="B167" r:id="rId165" display="https://amp.vexpenses.com/settings/membros-de-equipe/896073" xr:uid="{E0D1A197-3FDC-44B0-8254-6C6C93680DA9}"/>
    <hyperlink ref="B168" r:id="rId166" display="https://amp.vexpenses.com/settings/membros-de-equipe/896074" xr:uid="{12B2B555-EA24-43D2-98EF-FEDB2680A61D}"/>
    <hyperlink ref="B169" r:id="rId167" display="https://amp.vexpenses.com/settings/membros-de-equipe/896075" xr:uid="{8397710B-9B8F-4B56-90F1-A2852A774003}"/>
    <hyperlink ref="B170" r:id="rId168" display="https://amp.vexpenses.com/settings/membros-de-equipe/915374" xr:uid="{A518F861-C3AE-4BC8-9E28-C2F159EF622E}"/>
    <hyperlink ref="B171" r:id="rId169" display="https://amp.vexpenses.com/settings/membros-de-equipe/920845" xr:uid="{CDE0375D-2BE9-40BF-910B-EB1B484DBA72}"/>
    <hyperlink ref="B172" r:id="rId170" display="https://amp.vexpenses.com/settings/membros-de-equipe/896077" xr:uid="{E9086840-47DC-41DD-B99B-A0BDD86D4E6C}"/>
    <hyperlink ref="B173" r:id="rId171" display="https://amp.vexpenses.com/settings/membros-de-equipe/1063498" xr:uid="{FB578417-69C1-43F6-9D0F-E892DC4A11BE}"/>
    <hyperlink ref="B174" r:id="rId172" display="https://amp.vexpenses.com/settings/membros-de-equipe/946535" xr:uid="{DF12C270-C683-4D9A-8F8B-FDC30C3C91CE}"/>
    <hyperlink ref="B175" r:id="rId173" display="https://amp.vexpenses.com/settings/membros-de-equipe/896079" xr:uid="{41EDC91E-3B9E-41BE-A593-B457F3F73712}"/>
    <hyperlink ref="B176" r:id="rId174" display="https://amp.vexpenses.com/settings/membros-de-equipe/922738" xr:uid="{5874B308-69D0-4D9A-9E10-54169EF97734}"/>
    <hyperlink ref="B177" r:id="rId175" display="https://amp.vexpenses.com/settings/membros-de-equipe/896080" xr:uid="{C1B62EE4-EF9B-49C4-8F60-4E30A8B49D8D}"/>
    <hyperlink ref="B178" r:id="rId176" display="https://amp.vexpenses.com/settings/membros-de-equipe/961468" xr:uid="{05AA81A5-0C0F-4D99-A740-EAD327758DED}"/>
    <hyperlink ref="B179" r:id="rId177" display="https://amp.vexpenses.com/settings/membros-de-equipe/896081" xr:uid="{8A59819B-BB5C-4821-9F14-E89AB5CC8D71}"/>
    <hyperlink ref="B180" r:id="rId178" display="https://amp.vexpenses.com/settings/membros-de-equipe/896082" xr:uid="{9C455D0D-7EC9-4E75-936A-29B1C4497507}"/>
    <hyperlink ref="B181" r:id="rId179" display="https://amp.vexpenses.com/settings/membros-de-equipe/1079003" xr:uid="{3D621B70-2D79-4F3A-8E19-850A5553C39B}"/>
    <hyperlink ref="B182" r:id="rId180" display="https://amp.vexpenses.com/settings/membros-de-equipe/896083" xr:uid="{983AED7B-69A7-48AE-AC26-50398B2B794E}"/>
    <hyperlink ref="B183" r:id="rId181" display="https://amp.vexpenses.com/settings/membros-de-equipe/1109486" xr:uid="{2A48C497-9EB7-4DED-909E-F320CD3FF8A3}"/>
    <hyperlink ref="B184" r:id="rId182" display="https://amp.vexpenses.com/settings/membros-de-equipe/896084" xr:uid="{85C0E0A3-33AF-4F03-BCE4-1A8BFC3AB338}"/>
    <hyperlink ref="B185" r:id="rId183" display="https://amp.vexpenses.com/settings/membros-de-equipe/896085" xr:uid="{4F1572B3-5E43-49D8-AE5E-B3F6FBD63B38}"/>
    <hyperlink ref="B186" r:id="rId184" display="https://amp.vexpenses.com/settings/membros-de-equipe/1077948" xr:uid="{98B7D047-5F9F-4C35-9B4B-678C56A69333}"/>
    <hyperlink ref="B187" r:id="rId185" display="https://amp.vexpenses.com/settings/membros-de-equipe/946138" xr:uid="{C8F0DCFF-94BF-4BAC-9387-CD3627C67BF9}"/>
    <hyperlink ref="B188" r:id="rId186" display="https://amp.vexpenses.com/settings/membros-de-equipe/896087" xr:uid="{C38221D3-483B-47B3-87FA-9412E72D2B07}"/>
    <hyperlink ref="B189" r:id="rId187" display="https://amp.vexpenses.com/settings/membros-de-equipe/896088" xr:uid="{6A9FF25F-AD6F-4639-A005-2C93FFEA6582}"/>
    <hyperlink ref="B190" r:id="rId188" display="https://amp.vexpenses.com/settings/membros-de-equipe/1072512" xr:uid="{F718BA7D-92B1-4033-8962-DBBEE2280B09}"/>
    <hyperlink ref="B191" r:id="rId189" display="https://amp.vexpenses.com/settings/membros-de-equipe/896090" xr:uid="{6B0A62E9-C050-4E15-A682-883D99EF5E9C}"/>
    <hyperlink ref="B192" r:id="rId190" display="https://amp.vexpenses.com/settings/membros-de-equipe/1071875" xr:uid="{CDF14EAA-12A2-41DE-A639-EBA2696227D3}"/>
    <hyperlink ref="B193" r:id="rId191" display="https://amp.vexpenses.com/settings/membros-de-equipe/944251" xr:uid="{3C5FF84E-1C98-4A18-B880-7D98AC4A94A9}"/>
    <hyperlink ref="B194" r:id="rId192" display="https://amp.vexpenses.com/settings/membros-de-equipe/917078" xr:uid="{650907E0-9BD5-4C76-AEF6-61E9AFE3E2A7}"/>
    <hyperlink ref="B195" r:id="rId193" display="https://amp.vexpenses.com/settings/membros-de-equipe/896091" xr:uid="{A4D2F00A-DEC4-4C98-9C0E-0F55F88D9DFA}"/>
    <hyperlink ref="B196" r:id="rId194" display="https://amp.vexpenses.com/settings/membros-de-equipe/896092" xr:uid="{47899216-032D-4032-A367-8BF7A0DBF842}"/>
    <hyperlink ref="B197" r:id="rId195" display="https://amp.vexpenses.com/settings/membros-de-equipe/896093" xr:uid="{FC1A9912-7BFF-4D7C-8636-E8B2F8349B29}"/>
    <hyperlink ref="B198" r:id="rId196" display="https://amp.vexpenses.com/settings/membros-de-equipe/896094" xr:uid="{C297EF93-9D98-4957-88BB-8545A24F60B1}"/>
    <hyperlink ref="B199" r:id="rId197" display="https://amp.vexpenses.com/settings/membros-de-equipe/896095" xr:uid="{63950F99-7796-450A-BA7B-F575F7F5904A}"/>
    <hyperlink ref="B200" r:id="rId198" display="https://amp.vexpenses.com/settings/membros-de-equipe/896096" xr:uid="{2E77CA59-50CA-47DE-AD57-7736A21DF036}"/>
    <hyperlink ref="B201" r:id="rId199" display="https://amp.vexpenses.com/settings/membros-de-equipe/1068618" xr:uid="{E1000B49-B821-454B-A627-04B887A4C00F}"/>
    <hyperlink ref="B202" r:id="rId200" display="https://amp.vexpenses.com/settings/membros-de-equipe/940437" xr:uid="{04ED2A50-0B70-4AB1-832B-B4505AFEDF75}"/>
    <hyperlink ref="B203" r:id="rId201" display="https://amp.vexpenses.com/settings/membros-de-equipe/896099" xr:uid="{3AEA6AA8-3BEE-46E6-8F8B-6184C722D652}"/>
    <hyperlink ref="B204" r:id="rId202" display="https://amp.vexpenses.com/settings/membros-de-equipe/896101" xr:uid="{5773A1F1-B565-4C59-9CB6-02805913F4EC}"/>
    <hyperlink ref="B205" r:id="rId203" display="https://amp.vexpenses.com/settings/membros-de-equipe/961342" xr:uid="{5DBEB0CA-DAE7-45A7-8A31-CCA790A670C5}"/>
    <hyperlink ref="B206" r:id="rId204" display="https://amp.vexpenses.com/settings/membros-de-equipe/896102" xr:uid="{B6C5752B-75B2-48A7-B32D-89AB8673D2E4}"/>
    <hyperlink ref="B207" r:id="rId205" display="https://amp.vexpenses.com/settings/membros-de-equipe/896103" xr:uid="{E7688771-344F-4888-9C93-6A771C378CEC}"/>
    <hyperlink ref="B208" r:id="rId206" display="https://amp.vexpenses.com/settings/membros-de-equipe/896104" xr:uid="{2ED8F285-D6C6-4DF1-9EE6-6077E7CF0843}"/>
    <hyperlink ref="B209" r:id="rId207" display="https://amp.vexpenses.com/settings/membros-de-equipe/896106" xr:uid="{DE2721A5-2D1C-4208-94A6-E2345E7091A2}"/>
    <hyperlink ref="B210" r:id="rId208" display="https://amp.vexpenses.com/settings/membros-de-equipe/896107" xr:uid="{7B6F0222-9778-445F-87F3-41D501FF5D6A}"/>
    <hyperlink ref="B211" r:id="rId209" display="https://amp.vexpenses.com/settings/membros-de-equipe/917075" xr:uid="{2460756B-0E12-41E4-A633-045A2A35840A}"/>
    <hyperlink ref="B212" r:id="rId210" display="https://amp.vexpenses.com/settings/membros-de-equipe/917058" xr:uid="{654AA1FE-A87E-466E-881C-7C3AB0225071}"/>
    <hyperlink ref="B213" r:id="rId211" display="https://amp.vexpenses.com/settings/membros-de-equipe/896111" xr:uid="{34E6B5E0-859F-4CA6-ACD1-847B1B756C7A}"/>
    <hyperlink ref="B214" r:id="rId212" display="https://amp.vexpenses.com/settings/membros-de-equipe/927567" xr:uid="{3C59D974-D729-4B31-A862-1A6D84CD9240}"/>
    <hyperlink ref="B215" r:id="rId213" display="https://amp.vexpenses.com/settings/membros-de-equipe/896113" xr:uid="{E515F055-6830-4348-BD4B-C4B8B886AEFA}"/>
    <hyperlink ref="B216" r:id="rId214" display="https://amp.vexpenses.com/settings/membros-de-equipe/930400" xr:uid="{930FDDED-936C-4ED4-9EB7-D7D899146144}"/>
    <hyperlink ref="B217" r:id="rId215" display="https://amp.vexpenses.com/settings/membros-de-equipe/896115" xr:uid="{CEDCEF8E-D382-4BE1-924C-29A47D8153B9}"/>
    <hyperlink ref="B218" r:id="rId216" display="https://amp.vexpenses.com/settings/membros-de-equipe/1064227" xr:uid="{EEC6DF76-6F33-436D-9BD9-9CF4C14CB506}"/>
    <hyperlink ref="B219" r:id="rId217" display="https://amp.vexpenses.com/settings/membros-de-equipe/896117" xr:uid="{7DD08712-75EC-407B-9874-0CC550BD0C44}"/>
    <hyperlink ref="B220" r:id="rId218" display="https://amp.vexpenses.com/settings/membros-de-equipe/896421" xr:uid="{80ACB768-B539-4DB6-88E1-05C477951C5B}"/>
    <hyperlink ref="B221" r:id="rId219" display="https://amp.vexpenses.com/settings/membros-de-equipe/896118" xr:uid="{32450910-5C1D-4FBC-AC84-B53D5A3836AC}"/>
    <hyperlink ref="B222" r:id="rId220" display="https://amp.vexpenses.com/settings/membros-de-equipe/1001575" xr:uid="{46E2227C-C032-4FCE-A98D-DE4656969C55}"/>
    <hyperlink ref="B223" r:id="rId221" display="https://amp.vexpenses.com/settings/membros-de-equipe/896119" xr:uid="{C34FB00F-E0E0-44E5-843B-353A22B8E0CF}"/>
    <hyperlink ref="B224" r:id="rId222" display="https://amp.vexpenses.com/settings/membros-de-equipe/929756" xr:uid="{BE0AE350-4FAD-4AF3-99A3-9583442CFD89}"/>
    <hyperlink ref="B225" r:id="rId223" display="https://amp.vexpenses.com/settings/membros-de-equipe/896120" xr:uid="{0D0E8796-DC96-42FD-8E3B-C13DD8F1D406}"/>
    <hyperlink ref="B226" r:id="rId224" display="https://amp.vexpenses.com/settings/membros-de-equipe/896121" xr:uid="{CBE6C1E4-C00D-4368-806C-918992334163}"/>
    <hyperlink ref="B227" r:id="rId225" display="https://amp.vexpenses.com/settings/membros-de-equipe/916905" xr:uid="{ACE465D6-D905-48D0-ADFC-76D2BEED38E0}"/>
    <hyperlink ref="B228" r:id="rId226" display="https://amp.vexpenses.com/settings/membros-de-equipe/929761" xr:uid="{3129A128-6B65-4010-BADF-079D2B3DB85E}"/>
    <hyperlink ref="B229" r:id="rId227" display="https://amp.vexpenses.com/settings/membros-de-equipe/896123" xr:uid="{D8CACFF7-9F16-485C-A885-B004158E8775}"/>
    <hyperlink ref="B230" r:id="rId228" display="https://amp.vexpenses.com/settings/membros-de-equipe/896124" xr:uid="{3A5D8987-4EC1-46FF-ABBB-353C8CAEA7C6}"/>
    <hyperlink ref="B231" r:id="rId229" display="https://amp.vexpenses.com/settings/membros-de-equipe/1106565" xr:uid="{8AB6F3C7-6FF5-41A5-AC41-9D08AC1BF776}"/>
    <hyperlink ref="B232" r:id="rId230" display="https://amp.vexpenses.com/settings/membros-de-equipe/916374" xr:uid="{ECCDA364-DB95-4EB5-90C6-A06A2D88353A}"/>
    <hyperlink ref="B233" r:id="rId231" display="https://amp.vexpenses.com/settings/membros-de-equipe/978280" xr:uid="{CB603CEE-FFA4-437A-B76A-C4BAFA239896}"/>
    <hyperlink ref="B234" r:id="rId232" display="https://amp.vexpenses.com/settings/membros-de-equipe/896127" xr:uid="{E18ACDB0-E78A-4DA2-98F6-0E066EE12793}"/>
    <hyperlink ref="B235" r:id="rId233" display="https://amp.vexpenses.com/settings/membros-de-equipe/896128" xr:uid="{0339226A-A571-4F11-BB88-1596087FC10C}"/>
    <hyperlink ref="B236" r:id="rId234" display="https://amp.vexpenses.com/settings/membros-de-equipe/1033564" xr:uid="{E1DA181D-ED2C-46FD-BCFC-B2CAAC3F809F}"/>
    <hyperlink ref="B237" r:id="rId235" display="https://amp.vexpenses.com/settings/membros-de-equipe/896131" xr:uid="{D9236EFA-6EE1-40B4-8C47-2C7F88D28D67}"/>
    <hyperlink ref="B238" r:id="rId236" display="https://amp.vexpenses.com/settings/membros-de-equipe/896132" xr:uid="{03AF1D1D-1E63-4186-A700-DB6005950AD4}"/>
    <hyperlink ref="B239" r:id="rId237" display="https://amp.vexpenses.com/settings/membros-de-equipe/1077949" xr:uid="{F3AA0340-D598-4BD0-B5FC-F4B834E73978}"/>
    <hyperlink ref="B240" r:id="rId238" display="https://amp.vexpenses.com/settings/membros-de-equipe/1116216" xr:uid="{A08DB2E7-519C-40F5-8D8E-11433DDC3CE4}"/>
    <hyperlink ref="B241" r:id="rId239" display="https://amp.vexpenses.com/settings/membros-de-equipe/1051403" xr:uid="{8AF33146-D5FE-46AC-B894-16760DF32BDB}"/>
    <hyperlink ref="B242" r:id="rId240" display="https://amp.vexpenses.com/settings/membros-de-equipe/917353" xr:uid="{F46906AD-75A6-47F0-92AE-264858AB0A05}"/>
    <hyperlink ref="B243" r:id="rId241" display="https://amp.vexpenses.com/settings/membros-de-equipe/1063503" xr:uid="{E73EB73A-4D57-4AA1-8ACB-1450F9877DE7}"/>
    <hyperlink ref="B244" r:id="rId242" display="https://amp.vexpenses.com/settings/membros-de-equipe/896133" xr:uid="{947AAF7C-1662-4092-9D28-23CECE5D0438}"/>
    <hyperlink ref="B245" r:id="rId243" display="https://amp.vexpenses.com/settings/membros-de-equipe/1073274" xr:uid="{7AA0C37B-DE5C-492F-8F51-FB06E3C81615}"/>
    <hyperlink ref="B246" r:id="rId244" display="https://amp.vexpenses.com/settings/membros-de-equipe/1133218" xr:uid="{00930ADA-231A-448D-8AB9-E10C295BB01C}"/>
    <hyperlink ref="B247" r:id="rId245" display="https://amp.vexpenses.com/settings/membros-de-equipe/997009" xr:uid="{D490064C-7B94-4D7B-BE08-9C3B333AD14E}"/>
    <hyperlink ref="B248" r:id="rId246" display="https://amp.vexpenses.com/settings/membros-de-equipe/1106587" xr:uid="{96A6D157-5036-4381-AE7E-9C119D0DFC7C}"/>
    <hyperlink ref="B249" r:id="rId247" display="https://amp.vexpenses.com/settings/membros-de-equipe/922784" xr:uid="{A089B1C8-1E25-4BD7-AC2E-494A1CCCDA0E}"/>
    <hyperlink ref="B250" r:id="rId248" display="https://amp.vexpenses.com/settings/membros-de-equipe/916921" xr:uid="{812722EF-DB16-4583-8F24-96B6491FF8A4}"/>
    <hyperlink ref="B251" r:id="rId249" display="https://amp.vexpenses.com/settings/membros-de-equipe/1033558" xr:uid="{90D98710-51F4-41E5-AE89-689DBF14647C}"/>
    <hyperlink ref="B252" r:id="rId250" display="https://amp.vexpenses.com/settings/membros-de-equipe/1068611" xr:uid="{446D05DA-331A-4CA4-B3F6-8D0A6F5D3DDE}"/>
    <hyperlink ref="B253" r:id="rId251" display="https://amp.vexpenses.com/settings/membros-de-equipe/896137" xr:uid="{9096B79E-5119-4FED-910C-3669788C4676}"/>
    <hyperlink ref="B254" r:id="rId252" display="https://amp.vexpenses.com/settings/membros-de-equipe/954733" xr:uid="{0CF0857C-E2F7-4487-A84F-55799FB4E5CD}"/>
    <hyperlink ref="B255" r:id="rId253" display="https://amp.vexpenses.com/settings/membros-de-equipe/896138" xr:uid="{45D89C1A-2529-4C73-BA4A-787CBC1ABDF6}"/>
    <hyperlink ref="B256" r:id="rId254" display="https://amp.vexpenses.com/settings/membros-de-equipe/1106552" xr:uid="{50368B9A-D06F-4BB2-8035-EC75ED9F2718}"/>
    <hyperlink ref="B257" r:id="rId255" display="https://amp.vexpenses.com/settings/membros-de-equipe/896140" xr:uid="{EE3895DE-CFB1-419A-B68C-3A6AAFBD0EC4}"/>
    <hyperlink ref="B258" r:id="rId256" display="https://amp.vexpenses.com/settings/membros-de-equipe/896141" xr:uid="{31AED4E2-4F4E-4332-ACEE-B5B7DBE6431B}"/>
    <hyperlink ref="B259" r:id="rId257" display="https://amp.vexpenses.com/settings/membros-de-equipe/896142" xr:uid="{22C38258-9D45-449E-B569-846B7D29CBDD}"/>
    <hyperlink ref="B260" r:id="rId258" display="https://amp.vexpenses.com/settings/membros-de-equipe/896143" xr:uid="{396B7976-67FA-43EC-9D71-0448C7B94E8F}"/>
    <hyperlink ref="B261" r:id="rId259" display="https://amp.vexpenses.com/settings/membros-de-equipe/923893" xr:uid="{4C3D7C94-032F-47AA-991D-B007B663C893}"/>
    <hyperlink ref="B262" r:id="rId260" display="https://amp.vexpenses.com/settings/membros-de-equipe/896144" xr:uid="{9AEDB0C3-7302-42C8-BDE8-CF321C174B7D}"/>
    <hyperlink ref="B263" r:id="rId261" display="https://amp.vexpenses.com/settings/membros-de-equipe/896145" xr:uid="{40D03EF7-D8C8-4401-9959-39FEC2347780}"/>
    <hyperlink ref="B264" r:id="rId262" display="https://amp.vexpenses.com/settings/membros-de-equipe/1055662" xr:uid="{001404EC-7AFE-49A8-A4BC-41C3537A34CA}"/>
    <hyperlink ref="B265" r:id="rId263" display="https://amp.vexpenses.com/settings/membros-de-equipe/958951" xr:uid="{90781872-1C9D-4CE1-A670-9EFD996E323A}"/>
    <hyperlink ref="B266" r:id="rId264" display="https://amp.vexpenses.com/settings/membros-de-equipe/969231" xr:uid="{103E9600-9946-4335-AD52-139D90C8C646}"/>
    <hyperlink ref="B267" r:id="rId265" display="https://amp.vexpenses.com/settings/membros-de-equipe/896148" xr:uid="{C9C6BB19-F1A4-4A34-92E5-C42E0565FB62}"/>
    <hyperlink ref="B268" r:id="rId266" display="https://amp.vexpenses.com/settings/membros-de-equipe/896149" xr:uid="{F313082B-B498-4BF1-9CA1-89D1515146FD}"/>
    <hyperlink ref="B269" r:id="rId267" display="https://amp.vexpenses.com/settings/membros-de-equipe/1090880" xr:uid="{0542B634-E9AB-4747-8885-8939308CB87D}"/>
    <hyperlink ref="B270" r:id="rId268" display="https://amp.vexpenses.com/settings/membros-de-equipe/896150" xr:uid="{B9A4B5DC-2D4B-45DE-ACE6-2C09BCAA710B}"/>
    <hyperlink ref="B271" r:id="rId269" display="https://amp.vexpenses.com/settings/membros-de-equipe/923651" xr:uid="{032C1FA8-A62D-4488-8228-2E7AA119E352}"/>
    <hyperlink ref="B272" r:id="rId270" display="https://amp.vexpenses.com/settings/membros-de-equipe/896151" xr:uid="{A897F67F-A5F6-4877-BFA0-BBE495BA747F}"/>
    <hyperlink ref="B273" r:id="rId271" display="https://amp.vexpenses.com/settings/membros-de-equipe/896152" xr:uid="{044987C8-B83B-42A3-BEBD-337DD6D50744}"/>
    <hyperlink ref="B274" r:id="rId272" display="https://amp.vexpenses.com/settings/membros-de-equipe/896153" xr:uid="{DFEFCB61-5835-452D-AD51-0B18BF0AE9DE}"/>
    <hyperlink ref="B275" r:id="rId273" display="https://amp.vexpenses.com/settings/membros-de-equipe/896154" xr:uid="{3BE551E9-08D4-4260-AA75-84C614FE9D5A}"/>
    <hyperlink ref="B276" r:id="rId274" display="https://amp.vexpenses.com/settings/membros-de-equipe/1119271" xr:uid="{8CAD4120-AD72-4AD9-B78D-B146A34BFFDA}"/>
    <hyperlink ref="B277" r:id="rId275" display="https://amp.vexpenses.com/settings/membros-de-equipe/896156" xr:uid="{1E59D271-B06F-4F72-85F9-0628A351C65D}"/>
    <hyperlink ref="B278" r:id="rId276" display="https://amp.vexpenses.com/settings/membros-de-equipe/896157" xr:uid="{FF1FE974-281A-4307-BA26-32693A6ADC26}"/>
    <hyperlink ref="B279" r:id="rId277" display="https://amp.vexpenses.com/settings/membros-de-equipe/896158" xr:uid="{D92C52C9-A67F-4FBF-9BE1-7C2D5741F6DD}"/>
    <hyperlink ref="B280" r:id="rId278" display="https://amp.vexpenses.com/settings/membros-de-equipe/931414" xr:uid="{4763CF3F-FE8E-40D8-A693-7CC12B71ED21}"/>
    <hyperlink ref="B281" r:id="rId279" display="https://amp.vexpenses.com/settings/membros-de-equipe/896159" xr:uid="{5B0DC3BC-59FC-499C-AC34-54A61A9ADA95}"/>
    <hyperlink ref="B282" r:id="rId280" display="https://amp.vexpenses.com/settings/membros-de-equipe/978440" xr:uid="{73451AAF-57D2-41F4-A607-B168088BC649}"/>
    <hyperlink ref="B283" r:id="rId281" display="https://amp.vexpenses.com/settings/membros-de-equipe/978694" xr:uid="{F0001E1E-B7DD-40B4-BC73-B56C4C6D451E}"/>
    <hyperlink ref="B284" r:id="rId282" display="https://amp.vexpenses.com/settings/membros-de-equipe/1072283" xr:uid="{06330194-1412-4BA7-93AB-959B6AB895DF}"/>
    <hyperlink ref="B285" r:id="rId283" display="https://amp.vexpenses.com/settings/membros-de-equipe/930413" xr:uid="{7EBCECAD-4F8C-4C23-9936-42B4F84F5E21}"/>
    <hyperlink ref="B286" r:id="rId284" display="https://amp.vexpenses.com/settings/membros-de-equipe/896161" xr:uid="{CF7363DF-FF0B-4C87-9419-AB84D8B373EC}"/>
    <hyperlink ref="B287" r:id="rId285" display="https://amp.vexpenses.com/settings/membros-de-equipe/896162" xr:uid="{6A06D4F1-4B24-46CB-B9EA-7B0516D5EECE}"/>
    <hyperlink ref="B288" r:id="rId286" display="https://amp.vexpenses.com/settings/membros-de-equipe/896163" xr:uid="{0C44A940-D6A0-4DE7-8106-D9E705945659}"/>
    <hyperlink ref="B289" r:id="rId287" display="https://amp.vexpenses.com/settings/membros-de-equipe/916884" xr:uid="{37AEF483-EEC6-4264-838B-31C6EC0B164F}"/>
    <hyperlink ref="B290" r:id="rId288" display="https://amp.vexpenses.com/settings/membros-de-equipe/986346" xr:uid="{BC62701C-1310-402E-8A7D-D80238A585ED}"/>
    <hyperlink ref="B291" r:id="rId289" display="https://amp.vexpenses.com/settings/membros-de-equipe/1008341" xr:uid="{AD48180A-3C98-483D-9B35-CA849790BD83}"/>
    <hyperlink ref="B292" r:id="rId290" display="https://amp.vexpenses.com/settings/membros-de-equipe/896164" xr:uid="{61890772-23FB-4C69-9DB8-135F327A9236}"/>
    <hyperlink ref="B293" r:id="rId291" display="https://amp.vexpenses.com/settings/membros-de-equipe/1106549" xr:uid="{139B0100-0E4F-4756-852A-65C18DE8A71F}"/>
    <hyperlink ref="B294" r:id="rId292" display="https://amp.vexpenses.com/settings/membros-de-equipe/896165" xr:uid="{BDB93AED-5335-49C5-B410-2947912C6C22}"/>
    <hyperlink ref="B295" r:id="rId293" display="https://amp.vexpenses.com/settings/membros-de-equipe/896166" xr:uid="{0495E567-33D0-49B0-BFC2-E0CC8053B98A}"/>
    <hyperlink ref="B296" r:id="rId294" display="https://amp.vexpenses.com/settings/membros-de-equipe/1114315" xr:uid="{6513DF30-1AA1-484E-AFFA-08316C9942FC}"/>
    <hyperlink ref="B297" r:id="rId295" display="https://amp.vexpenses.com/settings/membros-de-equipe/999216" xr:uid="{CB5B593B-3D8E-44F0-81E6-7F14E51E280B}"/>
    <hyperlink ref="B298" r:id="rId296" display="https://amp.vexpenses.com/settings/membros-de-equipe/1079549" xr:uid="{4F5E56DD-3E4D-4147-BB91-AB0740D36CD0}"/>
    <hyperlink ref="B299" r:id="rId297" display="https://amp.vexpenses.com/settings/membros-de-equipe/896168" xr:uid="{053DD07C-8EF8-465F-9DB6-74EB932E0967}"/>
    <hyperlink ref="B300" r:id="rId298" display="https://amp.vexpenses.com/settings/membros-de-equipe/896170" xr:uid="{CA72A154-A168-40B9-A555-083E6AEBB577}"/>
    <hyperlink ref="B301" r:id="rId299" display="https://amp.vexpenses.com/settings/membros-de-equipe/896171" xr:uid="{77D1598A-2736-433E-98B8-ADB771B92F00}"/>
    <hyperlink ref="B302" r:id="rId300" display="https://amp.vexpenses.com/settings/membros-de-equipe/896172" xr:uid="{467B7D92-D65A-49BE-9F03-CD811928904F}"/>
    <hyperlink ref="B303" r:id="rId301" display="https://amp.vexpenses.com/settings/membros-de-equipe/896173" xr:uid="{67776F5D-BB7D-49E8-86AD-C8CFDDEF026B}"/>
    <hyperlink ref="B304" r:id="rId302" display="https://amp.vexpenses.com/settings/membros-de-equipe/896174" xr:uid="{BEA43DF8-B2D4-4A79-8358-67F87286288E}"/>
    <hyperlink ref="B305" r:id="rId303" display="https://amp.vexpenses.com/settings/membros-de-equipe/957803" xr:uid="{BF86759B-CD24-4B37-A173-E668C5C17B27}"/>
    <hyperlink ref="B306" r:id="rId304" display="https://amp.vexpenses.com/settings/membros-de-equipe/896175" xr:uid="{BCFE3151-8262-476A-B40F-521E48BFEA71}"/>
    <hyperlink ref="B307" r:id="rId305" display="https://amp.vexpenses.com/settings/membros-de-equipe/1088602" xr:uid="{14D8865D-1B8D-48BC-937D-FDC0E0AA0969}"/>
    <hyperlink ref="B308" r:id="rId306" display="https://amp.vexpenses.com/settings/membros-de-equipe/896177" xr:uid="{445F9AAC-0ACA-4045-9C7B-6D144CF4EC88}"/>
    <hyperlink ref="B309" r:id="rId307" display="https://amp.vexpenses.com/settings/membros-de-equipe/896178" xr:uid="{DAB4E0BF-B0A7-4F3F-BF98-E922FFBCD748}"/>
    <hyperlink ref="B310" r:id="rId308" display="https://amp.vexpenses.com/settings/membros-de-equipe/896179" xr:uid="{BBE7CB62-6248-4D7D-A00D-6B58ED9C7C1F}"/>
    <hyperlink ref="B311" r:id="rId309" display="https://amp.vexpenses.com/settings/membros-de-equipe/896180" xr:uid="{74419871-D429-4C86-B050-47C30418A44F}"/>
    <hyperlink ref="B312" r:id="rId310" display="https://amp.vexpenses.com/settings/membros-de-equipe/896181" xr:uid="{10F24C80-6937-45BD-873C-16BB4351C5DC}"/>
    <hyperlink ref="B313" r:id="rId311" display="https://amp.vexpenses.com/settings/membros-de-equipe/1063490" xr:uid="{FD50B9BE-4809-4B23-B91D-0FB4ED27F553}"/>
    <hyperlink ref="B314" r:id="rId312" display="https://amp.vexpenses.com/settings/membros-de-equipe/1072503" xr:uid="{3AD2BBE4-F283-4D55-8DF3-0D20F824E41C}"/>
    <hyperlink ref="B315" r:id="rId313" display="https://amp.vexpenses.com/settings/membros-de-equipe/896183" xr:uid="{94A761C9-44E4-42F6-AA37-B31F811AED4E}"/>
    <hyperlink ref="B316" r:id="rId314" display="https://amp.vexpenses.com/settings/membros-de-equipe/896184" xr:uid="{3F771222-EB05-41AB-8065-05952E6384AB}"/>
    <hyperlink ref="B317" r:id="rId315" display="https://amp.vexpenses.com/settings/membros-de-equipe/921535" xr:uid="{88C9857D-D683-46C8-9DB5-9EDB1F083C79}"/>
    <hyperlink ref="B318" r:id="rId316" display="https://amp.vexpenses.com/settings/membros-de-equipe/896185" xr:uid="{6AD1954B-379A-49F4-B4BB-77652D36DD95}"/>
    <hyperlink ref="B319" r:id="rId317" display="https://amp.vexpenses.com/settings/membros-de-equipe/896186" xr:uid="{C2CA43C4-9553-4CE6-B159-1B0775CD23F7}"/>
    <hyperlink ref="B320" r:id="rId318" display="https://amp.vexpenses.com/settings/membros-de-equipe/896188" xr:uid="{5736EE70-1CD0-44CE-AAD3-91A347BEC5A8}"/>
    <hyperlink ref="B321" r:id="rId319" display="https://amp.vexpenses.com/settings/membros-de-equipe/896189" xr:uid="{B1279B53-1B20-43D5-BF49-99D8516B9478}"/>
    <hyperlink ref="B322" r:id="rId320" display="https://amp.vexpenses.com/settings/membros-de-equipe/1008337" xr:uid="{E63F4440-8FE4-4B5F-854A-1CAA8E7146AA}"/>
    <hyperlink ref="B323" r:id="rId321" display="https://amp.vexpenses.com/settings/membros-de-equipe/958523" xr:uid="{5ED42045-07EF-4BDE-A9B1-B9804BA676CC}"/>
    <hyperlink ref="B324" r:id="rId322" display="https://amp.vexpenses.com/settings/membros-de-equipe/896191" xr:uid="{0CC52F12-0E6B-4333-BE4A-9034F9CE7115}"/>
    <hyperlink ref="B325" r:id="rId323" display="https://amp.vexpenses.com/settings/membros-de-equipe/896192" xr:uid="{3A3EEC80-2C10-4317-B7E8-48B784024AC3}"/>
    <hyperlink ref="B326" r:id="rId324" display="https://amp.vexpenses.com/settings/membros-de-equipe/896193" xr:uid="{0E2DE434-A518-412B-BE69-537A017A6271}"/>
    <hyperlink ref="B327" r:id="rId325" display="https://amp.vexpenses.com/settings/membros-de-equipe/896195" xr:uid="{EDE641ED-D330-414E-BC04-1CF974E9868E}"/>
    <hyperlink ref="B328" r:id="rId326" display="https://amp.vexpenses.com/settings/membros-de-equipe/896196" xr:uid="{719055B3-DE60-400A-8830-D4155F8FA209}"/>
    <hyperlink ref="B329" r:id="rId327" display="https://amp.vexpenses.com/settings/membros-de-equipe/896197" xr:uid="{DD9B7CE8-4E4E-45C3-8795-2E77A78745E2}"/>
    <hyperlink ref="B330" r:id="rId328" display="https://amp.vexpenses.com/settings/membros-de-equipe/896198" xr:uid="{D1BF06B0-C931-4EB1-9DCD-423CC50D6876}"/>
    <hyperlink ref="B331" r:id="rId329" display="https://amp.vexpenses.com/settings/membros-de-equipe/896199" xr:uid="{7CEE2B04-5B07-4815-8E19-DAB6BC5AB942}"/>
    <hyperlink ref="B332" r:id="rId330" display="https://amp.vexpenses.com/settings/membros-de-equipe/896200" xr:uid="{955103DA-A0B3-449C-903E-FFA183685431}"/>
    <hyperlink ref="B333" r:id="rId331" display="https://amp.vexpenses.com/settings/membros-de-equipe/1109992" xr:uid="{67375604-1267-414B-8656-3F4386994FB5}"/>
    <hyperlink ref="B334" r:id="rId332" display="https://amp.vexpenses.com/settings/membros-de-equipe/946419" xr:uid="{73707083-4501-402D-BEE3-EEE0CE6755C7}"/>
    <hyperlink ref="B335" r:id="rId333" display="https://amp.vexpenses.com/settings/membros-de-equipe/896203" xr:uid="{800F31EB-1B3E-4362-A684-11B2F8B9C4AC}"/>
    <hyperlink ref="B336" r:id="rId334" display="https://amp.vexpenses.com/settings/membros-de-equipe/896204" xr:uid="{F2781440-BEAF-48E2-871C-321658BD4E70}"/>
    <hyperlink ref="B337" r:id="rId335" display="https://amp.vexpenses.com/settings/membros-de-equipe/1068601" xr:uid="{A1959EFB-9251-4B87-BDFC-1EEEDB2EDA5D}"/>
    <hyperlink ref="B338" r:id="rId336" display="https://amp.vexpenses.com/settings/membros-de-equipe/1109484" xr:uid="{031B49D1-DBB9-4F84-8D55-D3B122D866CA}"/>
    <hyperlink ref="B339" r:id="rId337" display="https://amp.vexpenses.com/settings/membros-de-equipe/923628" xr:uid="{5736F1FF-0F1E-4CF2-9D13-682ED8BC9F81}"/>
    <hyperlink ref="B340" r:id="rId338" display="https://amp.vexpenses.com/settings/membros-de-equipe/896205" xr:uid="{B814A29F-10D3-4B10-9B03-5D0D399E419F}"/>
    <hyperlink ref="B341" r:id="rId339" display="https://amp.vexpenses.com/settings/membros-de-equipe/921952" xr:uid="{901DFDF4-47AE-43A5-84C7-EC635CDDF750}"/>
    <hyperlink ref="B342" r:id="rId340" display="https://amp.vexpenses.com/settings/membros-de-equipe/1079553" xr:uid="{A15BE120-CA4A-4252-9C0C-CD109B6E9DB6}"/>
    <hyperlink ref="B343" r:id="rId341" display="https://amp.vexpenses.com/settings/membros-de-equipe/1008342" xr:uid="{25AAEC59-D128-4A1B-904A-7B1DF996A7EA}"/>
    <hyperlink ref="B344" r:id="rId342" display="https://amp.vexpenses.com/settings/membros-de-equipe/998959" xr:uid="{A4299842-5DE1-4D03-AE22-77F9092DB603}"/>
    <hyperlink ref="B345" r:id="rId343" display="https://amp.vexpenses.com/settings/membros-de-equipe/896206" xr:uid="{11D5A062-CA7B-4092-BD83-E8C422C36F7E}"/>
    <hyperlink ref="B346" r:id="rId344" display="https://amp.vexpenses.com/settings/membros-de-equipe/1106567" xr:uid="{3A3F8C6D-DFFD-4956-B078-BBA02462A757}"/>
    <hyperlink ref="B347" r:id="rId345" display="https://amp.vexpenses.com/settings/membros-de-equipe/896207" xr:uid="{2501DCD6-0F2C-4A51-85E5-CA5DC0AE2B53}"/>
    <hyperlink ref="B348" r:id="rId346" display="https://amp.vexpenses.com/settings/membros-de-equipe/1117250" xr:uid="{0AC6565B-C8B0-4440-AF84-9419F74A4506}"/>
    <hyperlink ref="B349" r:id="rId347" display="https://amp.vexpenses.com/settings/membros-de-equipe/916936" xr:uid="{BBA82680-B5F8-47F5-913A-13B05E2619E8}"/>
    <hyperlink ref="B350" r:id="rId348" display="https://amp.vexpenses.com/settings/membros-de-equipe/896208" xr:uid="{F1F9A409-9D4D-4D18-B217-6F908BA3EE24}"/>
    <hyperlink ref="B351" r:id="rId349" display="https://amp.vexpenses.com/settings/membros-de-equipe/1010665" xr:uid="{9EF8D7D8-C3EF-4478-BBE3-47BE70062DC6}"/>
    <hyperlink ref="B352" r:id="rId350" display="https://amp.vexpenses.com/settings/membros-de-equipe/1023033" xr:uid="{7DCC6B64-7B0A-4C8E-B097-DAE98530DAFD}"/>
    <hyperlink ref="B353" r:id="rId351" display="https://amp.vexpenses.com/settings/membros-de-equipe/896210" xr:uid="{129B1550-E19C-434A-9027-9FF1F2031895}"/>
    <hyperlink ref="B354" r:id="rId352" display="https://amp.vexpenses.com/settings/membros-de-equipe/896211" xr:uid="{E7B5704B-E375-49F6-B987-2A75A97A7B5A}"/>
    <hyperlink ref="B355" r:id="rId353" display="https://amp.vexpenses.com/settings/membros-de-equipe/922276" xr:uid="{BD00152F-EE70-4F03-92DD-9098FB7DE97B}"/>
    <hyperlink ref="B356" r:id="rId354" display="https://amp.vexpenses.com/settings/membros-de-equipe/896212" xr:uid="{E6AC5699-F09A-49F6-8939-4C39AA71BA4C}"/>
    <hyperlink ref="B357" r:id="rId355" display="https://amp.vexpenses.com/settings/membros-de-equipe/896213" xr:uid="{B47A1953-1F9C-4E6C-A5AA-ADE414E16545}"/>
    <hyperlink ref="B358" r:id="rId356" display="https://amp.vexpenses.com/settings/membros-de-equipe/896214" xr:uid="{E0EFECAE-AC60-4B05-A498-70F414D87D13}"/>
    <hyperlink ref="B359" r:id="rId357" display="https://amp.vexpenses.com/settings/membros-de-equipe/917049" xr:uid="{93F413B9-46BC-4EDC-A70D-43D88E1DB6FC}"/>
    <hyperlink ref="B360" r:id="rId358" display="https://amp.vexpenses.com/settings/membros-de-equipe/896215" xr:uid="{46771520-1A86-4C78-AB59-156FD4C0D03A}"/>
    <hyperlink ref="B361" r:id="rId359" display="https://amp.vexpenses.com/settings/membros-de-equipe/961469" xr:uid="{55DD065F-8FC3-4959-B0B4-0246673A0A76}"/>
    <hyperlink ref="B362" r:id="rId360" display="https://amp.vexpenses.com/settings/membros-de-equipe/1091438" xr:uid="{AF495B94-CED5-4B67-8B4A-B26F2E3AECEE}"/>
    <hyperlink ref="B363" r:id="rId361" display="https://amp.vexpenses.com/settings/membros-de-equipe/896216" xr:uid="{74B26FDA-8CD5-4E35-8C56-96CB39947F51}"/>
    <hyperlink ref="B364" r:id="rId362" display="https://amp.vexpenses.com/settings/membros-de-equipe/896217" xr:uid="{1473A398-B96A-4760-AC01-47E7F0845B25}"/>
    <hyperlink ref="B365" r:id="rId363" display="https://amp.vexpenses.com/settings/membros-de-equipe/896218" xr:uid="{50DCADC0-E0F7-441F-991A-5B3E198D5C6C}"/>
    <hyperlink ref="B366" r:id="rId364" display="https://amp.vexpenses.com/settings/membros-de-equipe/916906" xr:uid="{D9D5B95B-E158-48A4-9B93-0530EFE97B97}"/>
    <hyperlink ref="B367" r:id="rId365" display="https://amp.vexpenses.com/settings/membros-de-equipe/1011271" xr:uid="{D2EA2F1A-1CCC-43EA-A23E-2C6244F4C752}"/>
    <hyperlink ref="B368" r:id="rId366" display="https://amp.vexpenses.com/settings/membros-de-equipe/896219" xr:uid="{14B8171D-D720-49FE-91C4-BEBE25C7269C}"/>
    <hyperlink ref="B369" r:id="rId367" display="https://amp.vexpenses.com/settings/membros-de-equipe/896220" xr:uid="{53A1FAB6-19E3-4C5D-8550-D7EE3C256777}"/>
    <hyperlink ref="B370" r:id="rId368" display="https://amp.vexpenses.com/settings/membros-de-equipe/1109481" xr:uid="{674B69C1-C543-4103-915A-F44241B4BE96}"/>
    <hyperlink ref="B371" r:id="rId369" display="https://amp.vexpenses.com/settings/membros-de-equipe/891904" xr:uid="{E8C1A15A-5C81-43CF-9AD0-DDE23C1B051C}"/>
    <hyperlink ref="B372" r:id="rId370" display="https://amp.vexpenses.com/settings/membros-de-equipe/896221" xr:uid="{87AC51C4-B579-4D2C-A6E1-4448759625B5}"/>
    <hyperlink ref="B373" r:id="rId371" display="https://amp.vexpenses.com/settings/membros-de-equipe/923895" xr:uid="{ACDDBCE4-E94D-426C-AF6A-B0C791E61ECB}"/>
    <hyperlink ref="B374" r:id="rId372" display="https://amp.vexpenses.com/settings/membros-de-equipe/1114308" xr:uid="{7F272BDE-C1EF-4ACB-B130-3687B55DB6E2}"/>
    <hyperlink ref="B375" r:id="rId373" display="https://amp.vexpenses.com/settings/membros-de-equipe/896222" xr:uid="{F7D7B2F6-8655-4D04-A9B8-5B9745E64315}"/>
    <hyperlink ref="B376" r:id="rId374" display="https://amp.vexpenses.com/settings/membros-de-equipe/1061873" xr:uid="{37EFC085-4447-4F6B-B999-16D1D24F8427}"/>
    <hyperlink ref="B377" r:id="rId375" display="https://amp.vexpenses.com/settings/membros-de-equipe/979939" xr:uid="{C70393FD-F456-41CB-B9E8-EADD1F23E814}"/>
    <hyperlink ref="B378" r:id="rId376" display="https://amp.vexpenses.com/settings/membros-de-equipe/1060396" xr:uid="{F3A0C383-D023-4606-95F0-04F7CE90CF9F}"/>
    <hyperlink ref="B379" r:id="rId377" display="https://amp.vexpenses.com/settings/membros-de-equipe/896423" xr:uid="{7511E2B6-8135-49AD-9F74-6DC62E3A25CE}"/>
    <hyperlink ref="B380" r:id="rId378" display="https://amp.vexpenses.com/settings/membros-de-equipe/917361" xr:uid="{B9BD1B14-A9AD-4283-A1BB-23F701398B07}"/>
    <hyperlink ref="B381" r:id="rId379" display="https://amp.vexpenses.com/settings/membros-de-equipe/1040939" xr:uid="{A7D85A37-9B86-4EE9-9B9E-2A89D64E5387}"/>
    <hyperlink ref="B382" r:id="rId380" display="https://amp.vexpenses.com/settings/membros-de-equipe/896223" xr:uid="{67BF1578-17FE-4A9C-8A28-80BC667C8D90}"/>
    <hyperlink ref="B383" r:id="rId381" display="https://amp.vexpenses.com/settings/membros-de-equipe/896224" xr:uid="{841FC918-D738-417E-B951-B340D70E4AC6}"/>
    <hyperlink ref="B384" r:id="rId382" display="https://amp.vexpenses.com/settings/membros-de-equipe/1010647" xr:uid="{6033B0A4-1979-441E-AE4F-6C0E398BD102}"/>
    <hyperlink ref="B385" r:id="rId383" display="https://amp.vexpenses.com/settings/membros-de-equipe/896225" xr:uid="{350F1604-B410-44B2-897D-10272771333C}"/>
    <hyperlink ref="B386" r:id="rId384" display="https://amp.vexpenses.com/settings/membros-de-equipe/896226" xr:uid="{443F1DA2-3850-4210-98A8-D8AFFAE4EFC3}"/>
    <hyperlink ref="B387" r:id="rId385" display="https://amp.vexpenses.com/settings/membros-de-equipe/925993" xr:uid="{65F4EF53-FB46-45A5-B292-FC43C8E2A313}"/>
    <hyperlink ref="B388" r:id="rId386" display="https://amp.vexpenses.com/settings/membros-de-equipe/896227" xr:uid="{2B84D93D-82A8-4363-B10B-351DD714D54F}"/>
    <hyperlink ref="B389" r:id="rId387" display="https://amp.vexpenses.com/settings/membros-de-equipe/896228" xr:uid="{298DB9BD-A698-4A10-9B7B-CF25327D3592}"/>
    <hyperlink ref="B390" r:id="rId388" display="https://amp.vexpenses.com/settings/membros-de-equipe/896229" xr:uid="{97DC9E64-5FF6-4747-B20F-73B03E07339F}"/>
    <hyperlink ref="B391" r:id="rId389" display="https://amp.vexpenses.com/settings/membros-de-equipe/896230" xr:uid="{297079A9-B715-4378-A9F5-47824EA2ECAF}"/>
    <hyperlink ref="B392" r:id="rId390" display="https://amp.vexpenses.com/settings/membros-de-equipe/896231" xr:uid="{F14E1FC3-3959-45C0-A27E-0168365A32BB}"/>
    <hyperlink ref="B393" r:id="rId391" display="https://amp.vexpenses.com/settings/membros-de-equipe/916932" xr:uid="{0FA755A0-0B19-47DF-9DBD-B7B0E7F6CB82}"/>
    <hyperlink ref="B394" r:id="rId392" display="https://amp.vexpenses.com/settings/membros-de-equipe/970758" xr:uid="{7654B3EB-CE99-40D6-B4F9-0F54DFD348FE}"/>
    <hyperlink ref="B395" r:id="rId393" display="https://amp.vexpenses.com/settings/membros-de-equipe/896232" xr:uid="{71C3F6B8-D20E-4865-9773-0AF0B8ACD46F}"/>
    <hyperlink ref="B396" r:id="rId394" display="https://amp.vexpenses.com/settings/membros-de-equipe/896233" xr:uid="{66F82DD1-698A-4FB8-A7D3-EFAF2C8C5C59}"/>
    <hyperlink ref="B397" r:id="rId395" display="https://amp.vexpenses.com/settings/membros-de-equipe/1087695" xr:uid="{33DCC021-AA00-4C79-9259-55F9DAEC3BD3}"/>
    <hyperlink ref="B398" r:id="rId396" display="https://amp.vexpenses.com/settings/membros-de-equipe/896235" xr:uid="{88F9366A-F33F-440E-B1BF-F5682C950BE3}"/>
    <hyperlink ref="B399" r:id="rId397" display="https://amp.vexpenses.com/settings/membros-de-equipe/896236" xr:uid="{C36BBE9C-8AEC-48DB-828C-F259A8A08F74}"/>
    <hyperlink ref="B400" r:id="rId398" display="https://amp.vexpenses.com/settings/membros-de-equipe/896237" xr:uid="{B254AAEA-E8F8-4214-8CBB-4F105511FE85}"/>
    <hyperlink ref="B401" r:id="rId399" display="https://amp.vexpenses.com/settings/membros-de-equipe/916912" xr:uid="{77275D69-AF5F-46F5-87A3-FD728C8EBBBC}"/>
    <hyperlink ref="B402" r:id="rId400" display="https://amp.vexpenses.com/settings/membros-de-equipe/896238" xr:uid="{549034E8-BE71-4578-8EC5-9909EF71ED83}"/>
    <hyperlink ref="B403" r:id="rId401" display="https://amp.vexpenses.com/settings/membros-de-equipe/896240" xr:uid="{8E5F9339-9192-4614-AF83-EF55551D5B6D}"/>
    <hyperlink ref="B404" r:id="rId402" display="https://amp.vexpenses.com/settings/membros-de-equipe/896241" xr:uid="{E86B66EA-5DA2-4590-84DA-9EC19CC147AA}"/>
    <hyperlink ref="B405" r:id="rId403" display="https://amp.vexpenses.com/settings/membros-de-equipe/896242" xr:uid="{D457B002-4180-473A-A97B-B30917E645FC}"/>
    <hyperlink ref="B406" r:id="rId404" display="https://amp.vexpenses.com/settings/membros-de-equipe/896243" xr:uid="{C9B67B19-79D7-47AD-9981-806B3C446A89}"/>
    <hyperlink ref="B407" r:id="rId405" display="https://amp.vexpenses.com/settings/membros-de-equipe/1130776" xr:uid="{265814CA-C848-4DDB-B179-32A4A8E0A8FF}"/>
    <hyperlink ref="B408" r:id="rId406" display="https://amp.vexpenses.com/settings/membros-de-equipe/917057" xr:uid="{F4CF0A2E-DB26-4BAB-9B0C-27CBC0E9114E}"/>
    <hyperlink ref="B409" r:id="rId407" display="https://amp.vexpenses.com/settings/membros-de-equipe/917365" xr:uid="{0B4AAD7D-28A9-4BF5-909A-F7A167F97E64}"/>
    <hyperlink ref="B410" r:id="rId408" display="https://amp.vexpenses.com/settings/membros-de-equipe/896244" xr:uid="{15C4B724-6BDA-4395-8D6C-CE3134AD4BA0}"/>
    <hyperlink ref="B411" r:id="rId409" display="https://amp.vexpenses.com/settings/membros-de-equipe/896245" xr:uid="{78CDE1AB-5FFA-4F78-9307-BB16DF7A8087}"/>
    <hyperlink ref="B412" r:id="rId410" display="https://amp.vexpenses.com/settings/membros-de-equipe/948926" xr:uid="{05ABEA62-A852-4B01-88BD-4F3A5198046B}"/>
    <hyperlink ref="B413" r:id="rId411" display="https://amp.vexpenses.com/settings/membros-de-equipe/929759" xr:uid="{5DD98931-7B66-421A-8BBE-17EE7BFE868F}"/>
    <hyperlink ref="B414" r:id="rId412" display="https://amp.vexpenses.com/settings/membros-de-equipe/896246" xr:uid="{8979CC25-003A-4AE6-8C92-C49EFF3B2B9E}"/>
    <hyperlink ref="B415" r:id="rId413" display="https://amp.vexpenses.com/settings/membros-de-equipe/1059425" xr:uid="{0B8B7F5C-3CA7-49E9-B886-D555EC3AB7FE}"/>
    <hyperlink ref="B416" r:id="rId414" display="https://amp.vexpenses.com/settings/membros-de-equipe/896249" xr:uid="{73B6AD9E-0DBD-4245-B0EC-E66CF8F661C1}"/>
    <hyperlink ref="B417" r:id="rId415" display="https://amp.vexpenses.com/settings/membros-de-equipe/896250" xr:uid="{73B88D71-F8CF-40C2-A388-A09060021DA3}"/>
    <hyperlink ref="B418" r:id="rId416" display="https://amp.vexpenses.com/settings/membros-de-equipe/913936" xr:uid="{A3B318A0-558A-41A1-B83B-29CD1DF463B8}"/>
    <hyperlink ref="B419" r:id="rId417" display="https://amp.vexpenses.com/settings/membros-de-equipe/896251" xr:uid="{31D0DCD9-3D70-44B6-8EE0-1BB891FF46F9}"/>
    <hyperlink ref="B420" r:id="rId418" display="https://amp.vexpenses.com/settings/membros-de-equipe/896425" xr:uid="{BCE0A1E5-0E04-481E-B852-ECE9396BCB82}"/>
    <hyperlink ref="B421" r:id="rId419" display="https://amp.vexpenses.com/settings/membros-de-equipe/896252" xr:uid="{6DEF821C-8C67-4C72-A847-18D72C3BDD75}"/>
    <hyperlink ref="B422" r:id="rId420" display="https://amp.vexpenses.com/settings/membros-de-equipe/896253" xr:uid="{BA5C8F64-FA92-4811-B1A5-6A69666559AD}"/>
    <hyperlink ref="B423" r:id="rId421" display="https://amp.vexpenses.com/settings/membros-de-equipe/1001913" xr:uid="{479345F8-9050-467C-BFCA-9E2F2ADFCB96}"/>
    <hyperlink ref="B424" r:id="rId422" display="https://amp.vexpenses.com/settings/membros-de-equipe/896254" xr:uid="{1FAE46B3-D11D-48F3-8360-4B03A882E3AF}"/>
    <hyperlink ref="B425" r:id="rId423" display="https://amp.vexpenses.com/settings/membros-de-equipe/1068608" xr:uid="{00FF51F7-570A-44AC-9D04-69AA22387A09}"/>
    <hyperlink ref="B426" r:id="rId424" display="https://amp.vexpenses.com/settings/membros-de-equipe/896333" xr:uid="{BCD7EB8C-D44F-469C-BEF5-F2DC7FBBE770}"/>
    <hyperlink ref="B427" r:id="rId425" display="https://amp.vexpenses.com/settings/membros-de-equipe/896255" xr:uid="{E8862887-4C0B-421D-88DF-E1BD1FF6C3EC}"/>
    <hyperlink ref="B428" r:id="rId426" display="https://amp.vexpenses.com/settings/membros-de-equipe/896257" xr:uid="{A91E78A6-4976-4233-BDFE-CB10BBB084A6}"/>
    <hyperlink ref="B429" r:id="rId427" display="https://amp.vexpenses.com/settings/membros-de-equipe/1100052" xr:uid="{DC4B5AFF-DA78-4331-80FB-211C1585C74B}"/>
    <hyperlink ref="B430" r:id="rId428" display="https://amp.vexpenses.com/settings/membros-de-equipe/896258" xr:uid="{41C27A1E-CE36-452F-B6FC-DCC58C3DB63B}"/>
    <hyperlink ref="B431" r:id="rId429" display="https://amp.vexpenses.com/settings/membros-de-equipe/896259" xr:uid="{B316D18E-6CFB-4DA2-887A-7B3D7CD82DC1}"/>
    <hyperlink ref="B432" r:id="rId430" display="https://amp.vexpenses.com/settings/membros-de-equipe/1109482" xr:uid="{5AE7AE8F-7364-4A59-92A1-758CABAF9486}"/>
    <hyperlink ref="B433" r:id="rId431" display="https://amp.vexpenses.com/settings/membros-de-equipe/891980" xr:uid="{CCDD4AE6-552C-484E-820A-6CA4E00895D9}"/>
    <hyperlink ref="B434" r:id="rId432" display="https://amp.vexpenses.com/settings/membros-de-equipe/896262" xr:uid="{42DC7AAD-1F41-4EC4-A5CC-44343EC986D4}"/>
    <hyperlink ref="B435" r:id="rId433" display="https://amp.vexpenses.com/settings/membros-de-equipe/1026117" xr:uid="{48863D17-138B-47B9-B86B-C2B310BDA7E6}"/>
    <hyperlink ref="B436" r:id="rId434" display="https://amp.vexpenses.com/settings/membros-de-equipe/896264" xr:uid="{E20E0324-D920-46A5-ABE3-010B2E22E7AC}"/>
    <hyperlink ref="B437" r:id="rId435" display="https://amp.vexpenses.com/settings/membros-de-equipe/1128510" xr:uid="{015C23ED-B639-480E-9BAF-56448E10C7E9}"/>
    <hyperlink ref="B438" r:id="rId436" display="https://amp.vexpenses.com/settings/membros-de-equipe/924050" xr:uid="{49AD6A55-C52B-402E-BA97-EFD2AC749EF1}"/>
    <hyperlink ref="B439" r:id="rId437" display="https://amp.vexpenses.com/settings/membros-de-equipe/1007813" xr:uid="{795AF60B-EE71-4714-8373-89A333789464}"/>
    <hyperlink ref="B440" r:id="rId438" display="https://amp.vexpenses.com/settings/membros-de-equipe/917363" xr:uid="{A0EFFE76-EAE8-4939-9E6F-A4CB4BC17BCC}"/>
    <hyperlink ref="B441" r:id="rId439" display="https://amp.vexpenses.com/settings/membros-de-equipe/896267" xr:uid="{6BC63BA9-3A49-4179-ACC9-D8990A661BE0}"/>
    <hyperlink ref="B442" r:id="rId440" display="https://amp.vexpenses.com/settings/membros-de-equipe/896268" xr:uid="{653729BA-CF8C-4520-B2CF-856BDB18BECC}"/>
    <hyperlink ref="B443" r:id="rId441" display="https://amp.vexpenses.com/settings/membros-de-equipe/896269" xr:uid="{B04D1E61-64A2-4ACD-9C31-7CCA5E08E88B}"/>
    <hyperlink ref="B444" r:id="rId442" display="https://amp.vexpenses.com/settings/membros-de-equipe/967438" xr:uid="{3896EDD4-9530-43A0-A405-278623227B13}"/>
    <hyperlink ref="B445" r:id="rId443" display="https://amp.vexpenses.com/settings/membros-de-equipe/896270" xr:uid="{7568D66E-FD36-448A-B4A5-09AFA315DFC0}"/>
    <hyperlink ref="B446" r:id="rId444" display="https://amp.vexpenses.com/settings/membros-de-equipe/896271" xr:uid="{181BE5CC-0FA6-4B33-A057-8C898E5E6F94}"/>
    <hyperlink ref="B447" r:id="rId445" display="https://amp.vexpenses.com/settings/membros-de-equipe/896272" xr:uid="{B8E9BF67-066C-43D6-921E-E1AE1AD7CBF0}"/>
    <hyperlink ref="B448" r:id="rId446" display="https://amp.vexpenses.com/settings/membros-de-equipe/896274" xr:uid="{2B0CA298-0637-4CA7-95F7-F571D04F8432}"/>
    <hyperlink ref="B449" r:id="rId447" display="https://amp.vexpenses.com/settings/membros-de-equipe/896275" xr:uid="{697327C7-8A5C-4691-B30D-96468A6D43C4}"/>
    <hyperlink ref="B450" r:id="rId448" display="https://amp.vexpenses.com/settings/membros-de-equipe/1106570" xr:uid="{2C8C5801-D418-4061-B579-CBB7AEDE5289}"/>
    <hyperlink ref="B451" r:id="rId449" display="https://amp.vexpenses.com/settings/membros-de-equipe/1042864" xr:uid="{190F5223-36BC-4128-8827-E2E0953DC519}"/>
    <hyperlink ref="B452" r:id="rId450" display="https://amp.vexpenses.com/settings/membros-de-equipe/896276" xr:uid="{D803E172-B0EA-448B-B383-AA227F68FE50}"/>
    <hyperlink ref="B453" r:id="rId451" display="https://amp.vexpenses.com/settings/membros-de-equipe/896277" xr:uid="{A68A41AC-BB9A-403F-93F9-5EB4D27168F8}"/>
    <hyperlink ref="B454" r:id="rId452" display="https://amp.vexpenses.com/settings/membros-de-equipe/896279" xr:uid="{FC24C899-34F7-49EF-A6AB-90DF40E56127}"/>
    <hyperlink ref="B455" r:id="rId453" display="https://amp.vexpenses.com/settings/membros-de-equipe/1063494" xr:uid="{3CBB19F2-40A2-4BCD-BFC1-3B7623059A8C}"/>
    <hyperlink ref="B456" r:id="rId454" display="https://amp.vexpenses.com/settings/membros-de-equipe/896281" xr:uid="{BD71B08C-1B25-4C0D-9D6E-47D6FBC0024C}"/>
    <hyperlink ref="B457" r:id="rId455" display="https://amp.vexpenses.com/settings/membros-de-equipe/896282" xr:uid="{DA8B4040-83BD-4E88-9ED9-DE5151718CA4}"/>
    <hyperlink ref="B458" r:id="rId456" display="https://amp.vexpenses.com/settings/membros-de-equipe/1109489" xr:uid="{2623D672-84CD-4CFF-B7DF-8162A412C7CE}"/>
    <hyperlink ref="B459" r:id="rId457" display="https://amp.vexpenses.com/settings/membros-de-equipe/1079585" xr:uid="{44BB4D78-C622-4902-AFEB-861E05152F99}"/>
    <hyperlink ref="B460" r:id="rId458" display="https://amp.vexpenses.com/settings/membros-de-equipe/896284" xr:uid="{A698E35C-DCA5-4EED-A753-018FA253E47D}"/>
    <hyperlink ref="B461" r:id="rId459" display="https://amp.vexpenses.com/settings/membros-de-equipe/896285" xr:uid="{23B5AAE6-6F1D-486E-846C-9E810AE4D7C1}"/>
    <hyperlink ref="B462" r:id="rId460" display="https://amp.vexpenses.com/settings/membros-de-equipe/896286" xr:uid="{6BE962BE-D7D7-4B5D-A53E-FE432298E552}"/>
    <hyperlink ref="B463" r:id="rId461" display="https://amp.vexpenses.com/settings/membros-de-equipe/921927" xr:uid="{5475A8E2-4E8E-433B-8891-64B8216C048D}"/>
    <hyperlink ref="B464" r:id="rId462" display="https://amp.vexpenses.com/settings/membros-de-equipe/896287" xr:uid="{401D2301-0A70-4701-B60F-DD108679A5E7}"/>
    <hyperlink ref="B465" r:id="rId463" display="https://amp.vexpenses.com/settings/membros-de-equipe/896288" xr:uid="{95A24026-22FF-4C28-9618-978998BFC353}"/>
    <hyperlink ref="B466" r:id="rId464" display="https://amp.vexpenses.com/settings/membros-de-equipe/1127608" xr:uid="{A55AC500-B56B-4674-A312-7A4772105233}"/>
    <hyperlink ref="B467" r:id="rId465" display="https://amp.vexpenses.com/settings/membros-de-equipe/896289" xr:uid="{3410BB1A-6809-4E09-9B23-1ECCF01527B3}"/>
    <hyperlink ref="B468" r:id="rId466" display="https://amp.vexpenses.com/settings/membros-de-equipe/896290" xr:uid="{4AB8E657-F5E3-496E-AD0C-1E85CDAA082B}"/>
    <hyperlink ref="B469" r:id="rId467" display="https://amp.vexpenses.com/settings/membros-de-equipe/896291" xr:uid="{964958CD-4FC8-4421-A726-8089EA5A3FCE}"/>
    <hyperlink ref="B470" r:id="rId468" display="https://amp.vexpenses.com/settings/membros-de-equipe/896292" xr:uid="{529603BA-1F86-4AC6-B761-8C3CC66B1A56}"/>
    <hyperlink ref="B471" r:id="rId469" display="https://amp.vexpenses.com/settings/membros-de-equipe/896293" xr:uid="{7D73CFE5-E658-4594-88E8-7D080668A101}"/>
    <hyperlink ref="B472" r:id="rId470" display="https://amp.vexpenses.com/settings/membros-de-equipe/896295" xr:uid="{22D86222-5FC5-4E95-B4E2-5BE3C6C7381D}"/>
    <hyperlink ref="B473" r:id="rId471" display="https://amp.vexpenses.com/settings/membros-de-equipe/1071871" xr:uid="{6705A046-9731-4981-9C54-8A683ADC5A77}"/>
    <hyperlink ref="B474" r:id="rId472" display="https://amp.vexpenses.com/settings/membros-de-equipe/973950" xr:uid="{D563378A-EBB8-49FD-A371-822D643D9A89}"/>
    <hyperlink ref="B475" r:id="rId473" display="https://amp.vexpenses.com/settings/membros-de-equipe/1117098" xr:uid="{0B1B589B-ABFD-40A2-973E-AC57D7B1FF77}"/>
    <hyperlink ref="B476" r:id="rId474" display="https://amp.vexpenses.com/settings/membros-de-equipe/896296" xr:uid="{F46A2663-9BB8-43C9-A497-D735AB9F7C40}"/>
    <hyperlink ref="B477" r:id="rId475" display="https://amp.vexpenses.com/settings/membros-de-equipe/896297" xr:uid="{656FFD9C-146A-4D01-A3AB-BEC7B34CB1BA}"/>
    <hyperlink ref="B478" r:id="rId476" display="https://amp.vexpenses.com/settings/membros-de-equipe/1063495" xr:uid="{C9881BBE-7479-48F3-8A35-8C0E5E1FAFC2}"/>
    <hyperlink ref="B479" r:id="rId477" display="https://amp.vexpenses.com/settings/membros-de-equipe/896298" xr:uid="{F23420AD-93C0-4A7B-B741-07E68380276F}"/>
    <hyperlink ref="B480" r:id="rId478" display="https://amp.vexpenses.com/settings/membros-de-equipe/1054503" xr:uid="{67E050DE-85BC-4400-A00A-45107E2104A2}"/>
    <hyperlink ref="B481" r:id="rId479" display="https://amp.vexpenses.com/settings/membros-de-equipe/1056032" xr:uid="{7ED27D84-5A56-4C3F-A464-AF374304493B}"/>
    <hyperlink ref="B482" r:id="rId480" display="https://amp.vexpenses.com/settings/membros-de-equipe/891978" xr:uid="{9656B375-D775-4E1F-9BBD-4DC29CB19C0B}"/>
    <hyperlink ref="B483" r:id="rId481" display="https://amp.vexpenses.com/settings/membros-de-equipe/1087712" xr:uid="{5066763A-BC6B-4B17-90E7-78B321341158}"/>
    <hyperlink ref="B484" r:id="rId482" display="https://amp.vexpenses.com/settings/membros-de-equipe/918849" xr:uid="{92185EB4-B3E1-47B0-A934-F034972FA0E0}"/>
    <hyperlink ref="B485" r:id="rId483" display="https://amp.vexpenses.com/settings/membros-de-equipe/896299" xr:uid="{CB1296BF-3A12-414B-B408-7E75D717EF8C}"/>
    <hyperlink ref="B486" r:id="rId484" display="https://amp.vexpenses.com/settings/membros-de-equipe/1116911" xr:uid="{B380314B-716D-40BF-93D3-0E92059B51D5}"/>
    <hyperlink ref="B487" r:id="rId485" display="https://amp.vexpenses.com/settings/membros-de-equipe/896300" xr:uid="{F99A6064-E7C3-4892-A5DD-B5A6EC11451B}"/>
    <hyperlink ref="B488" r:id="rId486" display="https://amp.vexpenses.com/settings/membros-de-equipe/896301" xr:uid="{8A7E3986-5AF6-4505-B7D0-9299E12EEFA1}"/>
    <hyperlink ref="B489" r:id="rId487" display="https://amp.vexpenses.com/settings/membros-de-equipe/896302" xr:uid="{94F5F854-1E60-4B5F-87B7-2638B63DFB87}"/>
    <hyperlink ref="B490" r:id="rId488" display="https://amp.vexpenses.com/settings/membros-de-equipe/1065237" xr:uid="{9ED4EA91-43BD-43DD-8EB3-B5CBF7BFC99B}"/>
    <hyperlink ref="B491" r:id="rId489" display="https://amp.vexpenses.com/settings/membros-de-equipe/896303" xr:uid="{C216289D-4DA7-4C29-B5CA-EEE74E7902D5}"/>
    <hyperlink ref="B492" r:id="rId490" display="https://amp.vexpenses.com/settings/membros-de-equipe/896304" xr:uid="{B92D1555-7660-4601-AD1F-B66915AECC6F}"/>
    <hyperlink ref="B493" r:id="rId491" display="https://amp.vexpenses.com/settings/membros-de-equipe/1109495" xr:uid="{03D7C585-5356-4051-9769-75683AF2E8FF}"/>
    <hyperlink ref="B494" r:id="rId492" display="https://amp.vexpenses.com/settings/membros-de-equipe/921795" xr:uid="{C0BBB8B2-03ED-49F8-B7A7-07BBD71A23C5}"/>
    <hyperlink ref="B495" r:id="rId493" display="https://amp.vexpenses.com/settings/membros-de-equipe/996627" xr:uid="{BB637C4B-5EF9-4DA4-90BB-8AB50A21B9BE}"/>
    <hyperlink ref="B496" r:id="rId494" display="https://amp.vexpenses.com/settings/membros-de-equipe/928994" xr:uid="{68448149-7510-4046-9B71-88B42B5748CC}"/>
    <hyperlink ref="B497" r:id="rId495" display="https://amp.vexpenses.com/settings/membros-de-equipe/1100042" xr:uid="{5E04CF42-DEE4-4165-9735-121200070727}"/>
    <hyperlink ref="B498" r:id="rId496" display="https://amp.vexpenses.com/settings/membros-de-equipe/896306" xr:uid="{56E07998-FB52-41D0-977D-02C4455620C8}"/>
    <hyperlink ref="B499" r:id="rId497" display="https://amp.vexpenses.com/settings/membros-de-equipe/896308" xr:uid="{49E4F9D7-DB35-45A0-8509-87E5A196D143}"/>
    <hyperlink ref="B500" r:id="rId498" display="https://amp.vexpenses.com/settings/membros-de-equipe/1035869" xr:uid="{87CF83C6-73F2-4426-A180-C300402001A8}"/>
    <hyperlink ref="B501" r:id="rId499" display="https://amp.vexpenses.com/settings/membros-de-equipe/1025223" xr:uid="{6608D900-1FF7-4095-B0D7-203B106E9B07}"/>
    <hyperlink ref="B502" r:id="rId500" display="https://amp.vexpenses.com/settings/membros-de-equipe/896311" xr:uid="{31C922E5-CD16-4DB0-9E24-3DEA10C5611D}"/>
    <hyperlink ref="B503" r:id="rId501" display="https://amp.vexpenses.com/settings/membros-de-equipe/896313" xr:uid="{AC2467BF-262B-41C4-9F78-831BC5A4DD40}"/>
    <hyperlink ref="B504" r:id="rId502" display="https://amp.vexpenses.com/settings/membros-de-equipe/896314" xr:uid="{61AD06AE-19AD-4FAD-9A2D-EA7BC930223D}"/>
    <hyperlink ref="B505" r:id="rId503" display="https://amp.vexpenses.com/settings/membros-de-equipe/917081" xr:uid="{01D90EE4-4A1F-445A-8D7A-8F22F4080E2C}"/>
    <hyperlink ref="B506" r:id="rId504" display="https://amp.vexpenses.com/settings/membros-de-equipe/896315" xr:uid="{2452A43A-D49A-4CA0-BFD8-905819CD5333}"/>
    <hyperlink ref="B507" r:id="rId505" display="https://amp.vexpenses.com/settings/membros-de-equipe/1072510" xr:uid="{EEE12C4A-6D40-4FDA-B7E1-E6F9007EA65F}"/>
    <hyperlink ref="B508" r:id="rId506" display="https://amp.vexpenses.com/settings/membros-de-equipe/922275" xr:uid="{5FC66F93-B921-4359-B057-1CFB3A57D6F5}"/>
    <hyperlink ref="B509" r:id="rId507" display="https://amp.vexpenses.com/settings/membros-de-equipe/950558" xr:uid="{C6E625C5-1623-4876-9FD8-15A776D0C741}"/>
    <hyperlink ref="B510" r:id="rId508" display="https://amp.vexpenses.com/settings/membros-de-equipe/896316" xr:uid="{FF3BBE34-84E6-46C5-BE3E-9392B68976C5}"/>
    <hyperlink ref="B511" r:id="rId509" display="https://amp.vexpenses.com/settings/membros-de-equipe/896317" xr:uid="{92C1644C-5974-4831-BE09-B32089A55E0E}"/>
    <hyperlink ref="B512" r:id="rId510" display="https://amp.vexpenses.com/settings/membros-de-equipe/896318" xr:uid="{3A8F5B97-AB5F-4BE7-A22C-313A654C34E5}"/>
    <hyperlink ref="B513" r:id="rId511" display="https://amp.vexpenses.com/settings/membros-de-equipe/896319" xr:uid="{FE7740EB-C291-4871-95C0-6FD946B5FD76}"/>
    <hyperlink ref="B514" r:id="rId512" display="https://amp.vexpenses.com/settings/membros-de-equipe/1033729" xr:uid="{BF9AC926-7DCE-4E9A-8C82-2107F09719EB}"/>
    <hyperlink ref="B515" r:id="rId513" display="https://amp.vexpenses.com/settings/membros-de-equipe/896322" xr:uid="{C1224AFC-BD3A-4EFE-AD54-1B55780CC884}"/>
    <hyperlink ref="B516" r:id="rId514" display="https://amp.vexpenses.com/settings/membros-de-equipe/896324" xr:uid="{A8CFA8DE-33F1-47FE-AC02-4277BF9A55F3}"/>
    <hyperlink ref="B517" r:id="rId515" display="https://amp.vexpenses.com/settings/membros-de-equipe/896325" xr:uid="{FEAB729E-B496-4925-94F5-DF8B051E6B41}"/>
    <hyperlink ref="B518" r:id="rId516" display="https://amp.vexpenses.com/settings/membros-de-equipe/896326" xr:uid="{D36DD246-22EB-4E17-B3B1-145F60EBD53E}"/>
    <hyperlink ref="B519" r:id="rId517" display="https://amp.vexpenses.com/settings/membros-de-equipe/1106584" xr:uid="{5848D68C-DB1D-476F-88F6-14DE9F3EAA60}"/>
    <hyperlink ref="B520" r:id="rId518" display="https://amp.vexpenses.com/settings/membros-de-equipe/896327" xr:uid="{B93403C9-101A-43D1-9FA7-D150BC2BFD8A}"/>
    <hyperlink ref="B521" r:id="rId519" display="https://amp.vexpenses.com/settings/membros-de-equipe/1110286" xr:uid="{C9B7BFE6-94C1-400D-A64A-F7FE9BC8D19B}"/>
    <hyperlink ref="B522" r:id="rId520" display="https://amp.vexpenses.com/settings/membros-de-equipe/917069" xr:uid="{AB2BABA4-9725-4D96-89C1-2624DA4775C1}"/>
    <hyperlink ref="B523" r:id="rId521" display="https://amp.vexpenses.com/settings/membros-de-equipe/896329" xr:uid="{17F724B2-BA46-444B-A408-ECE758313B0D}"/>
    <hyperlink ref="B524" r:id="rId522" display="https://amp.vexpenses.com/settings/membros-de-equipe/896330" xr:uid="{A23E395E-0462-45A8-A120-4D2B299A6C1B}"/>
    <hyperlink ref="B525" r:id="rId523" display="https://amp.vexpenses.com/settings/membros-de-equipe/963612" xr:uid="{3CD8D758-762E-4078-9062-0FA0900A6C3C}"/>
    <hyperlink ref="B526" r:id="rId524" display="https://amp.vexpenses.com/settings/membros-de-equipe/896331" xr:uid="{958CCCBF-DF4F-449E-B7F9-3EF0DC288FBF}"/>
    <hyperlink ref="B527" r:id="rId525" display="https://amp.vexpenses.com/settings/membros-de-equipe/896332" xr:uid="{31F3C02B-1B8D-47DA-9C2D-FDE916C330AB}"/>
    <hyperlink ref="B528" r:id="rId526" display="https://amp.vexpenses.com/settings/membros-de-equipe/1106577" xr:uid="{3AA05FD0-14FC-4791-A754-FFACE3910429}"/>
    <hyperlink ref="B529" r:id="rId527" display="https://amp.vexpenses.com/settings/membros-de-equipe/896357" xr:uid="{EC0553B9-F718-4713-9C4D-01E8231A9413}"/>
    <hyperlink ref="B530" r:id="rId528" display="https://amp.vexpenses.com/settings/membros-de-equipe/896335" xr:uid="{75138506-BF19-48D0-AA60-2DA5A48AC925}"/>
    <hyperlink ref="B531" r:id="rId529" display="https://amp.vexpenses.com/settings/membros-de-equipe/928097" xr:uid="{4136C193-ED58-4242-970F-29A047679DF5}"/>
    <hyperlink ref="B532" r:id="rId530" display="https://amp.vexpenses.com/settings/membros-de-equipe/896336" xr:uid="{9002F388-7542-4035-8948-01EE7EA08C74}"/>
    <hyperlink ref="B533" r:id="rId531" display="https://amp.vexpenses.com/settings/membros-de-equipe/917059" xr:uid="{4B42B073-7714-4B8D-BB39-70D9A060CD3E}"/>
    <hyperlink ref="B534" r:id="rId532" display="https://amp.vexpenses.com/settings/membros-de-equipe/1088596" xr:uid="{4F51425D-5884-4492-B0ED-6A8609B45F8B}"/>
    <hyperlink ref="B535" r:id="rId533" display="https://amp.vexpenses.com/settings/membros-de-equipe/1083299" xr:uid="{098667EB-5949-4657-91C0-DACA493E81FA}"/>
    <hyperlink ref="B536" r:id="rId534" display="https://amp.vexpenses.com/settings/membros-de-equipe/1137282" xr:uid="{3F3D773F-AB54-4C24-9331-2BE26CF840A2}"/>
    <hyperlink ref="B537" r:id="rId535" display="https://amp.vexpenses.com/settings/membros-de-equipe/896339" xr:uid="{20AC9E55-9D84-47B9-AA86-C133E55F3C58}"/>
    <hyperlink ref="B538" r:id="rId536" display="https://amp.vexpenses.com/settings/membros-de-equipe/896340" xr:uid="{7BA048E5-A448-42B0-8337-BBEECE24B6FE}"/>
    <hyperlink ref="B539" r:id="rId537" display="https://amp.vexpenses.com/settings/membros-de-equipe/896342" xr:uid="{883A9344-9064-4380-B76E-F0F9D8ED468F}"/>
    <hyperlink ref="B540" r:id="rId538" display="https://amp.vexpenses.com/settings/membros-de-equipe/896343" xr:uid="{F3A41670-5AF0-4C09-872A-9EDE53FE1914}"/>
    <hyperlink ref="B541" r:id="rId539" display="https://amp.vexpenses.com/settings/membros-de-equipe/896344" xr:uid="{DB65EA29-A22E-4ADF-96A0-518A2FBBDCEE}"/>
    <hyperlink ref="B542" r:id="rId540" display="https://amp.vexpenses.com/settings/membros-de-equipe/896346" xr:uid="{5FA6CFEC-95B8-431E-BB5B-4E12F81899F4}"/>
    <hyperlink ref="B543" r:id="rId541" display="https://amp.vexpenses.com/settings/membros-de-equipe/1100086" xr:uid="{33642588-B91D-4127-836D-12FEBD1D6188}"/>
    <hyperlink ref="B544" r:id="rId542" display="https://amp.vexpenses.com/settings/membros-de-equipe/1109493" xr:uid="{D837B63A-9561-4090-BB1B-AEC1D618B80F}"/>
    <hyperlink ref="B545" r:id="rId543" display="https://amp.vexpenses.com/settings/membros-de-equipe/896348" xr:uid="{3E72DE15-DED6-474E-8DC2-F63589AAC9D2}"/>
    <hyperlink ref="B546" r:id="rId544" display="https://amp.vexpenses.com/settings/membros-de-equipe/896349" xr:uid="{22F4D160-FE88-4E8B-8E1A-720A8DA53FF0}"/>
    <hyperlink ref="B547" r:id="rId545" display="https://amp.vexpenses.com/settings/membros-de-equipe/896351" xr:uid="{739879D9-D827-41BA-B263-CCA2AFCE6F2D}"/>
    <hyperlink ref="B548" r:id="rId546" display="https://amp.vexpenses.com/settings/membros-de-equipe/896352" xr:uid="{545162B0-BA0A-446F-AE9F-A5789F486D13}"/>
    <hyperlink ref="B549" r:id="rId547" display="https://amp.vexpenses.com/settings/membros-de-equipe/891979" xr:uid="{1B371944-C851-4DFD-B027-97960EC6668F}"/>
    <hyperlink ref="B550" r:id="rId548" display="https://amp.vexpenses.com/settings/membros-de-equipe/896353" xr:uid="{9CF68621-B188-421B-9D84-E46295A2A6D6}"/>
    <hyperlink ref="B551" r:id="rId549" display="https://amp.vexpenses.com/settings/membros-de-equipe/1023020" xr:uid="{0F3BE76F-7F0C-4798-BE1A-78E382C84F36}"/>
    <hyperlink ref="B552" r:id="rId550" display="https://amp.vexpenses.com/settings/membros-de-equipe/1117262" xr:uid="{87C9E1AA-014B-4DB7-95AE-F593C7E400F8}"/>
    <hyperlink ref="B553" r:id="rId551" display="https://amp.vexpenses.com/settings/membros-de-equipe/1010644" xr:uid="{55FBAC28-704F-4C14-9782-DE518E03124B}"/>
    <hyperlink ref="B554" r:id="rId552" display="https://amp.vexpenses.com/settings/membros-de-equipe/920862" xr:uid="{9373E2FC-1C82-49A3-AB4D-C10C6B0CD186}"/>
    <hyperlink ref="B555" r:id="rId553" display="https://amp.vexpenses.com/settings/membros-de-equipe/896355" xr:uid="{83A001B3-5815-4419-A7F7-8A0F552FE371}"/>
    <hyperlink ref="B556" r:id="rId554" display="https://amp.vexpenses.com/settings/membros-de-equipe/917051" xr:uid="{38DC433A-7D03-4EAA-A625-B359E4A25F2F}"/>
    <hyperlink ref="B557" r:id="rId555" display="https://amp.vexpenses.com/settings/membros-de-equipe/896356" xr:uid="{2D224CFA-3928-4EA6-A6B1-1AA366A36E2E}"/>
    <hyperlink ref="B558" r:id="rId556" display="https://amp.vexpenses.com/settings/membros-de-equipe/896397" xr:uid="{2060FE47-75E5-40C2-A558-2BA80B08A635}"/>
    <hyperlink ref="B559" r:id="rId557" display="https://amp.vexpenses.com/settings/membros-de-equipe/896358" xr:uid="{6E66D776-43C2-4B89-9DE7-FEEB1624009A}"/>
    <hyperlink ref="B560" r:id="rId558" display="https://amp.vexpenses.com/settings/membros-de-equipe/1100082" xr:uid="{D75FD148-9A91-4C67-8EF1-574336622392}"/>
    <hyperlink ref="B561" r:id="rId559" display="https://amp.vexpenses.com/settings/membros-de-equipe/930440" xr:uid="{FC284D59-833D-47F5-9569-D30AD7C763D9}"/>
    <hyperlink ref="B562" r:id="rId560" display="https://amp.vexpenses.com/settings/membros-de-equipe/1063497" xr:uid="{89DFE01B-93B6-45F5-8A17-5140C51BC306}"/>
    <hyperlink ref="B563" r:id="rId561" display="https://amp.vexpenses.com/settings/membros-de-equipe/1060225" xr:uid="{A531DBB5-0D8C-45CD-A977-115155A9FC81}"/>
    <hyperlink ref="B564" r:id="rId562" display="https://amp.vexpenses.com/settings/membros-de-equipe/896359" xr:uid="{753C378A-A332-4F5A-B356-8CD251E7E26D}"/>
    <hyperlink ref="B565" r:id="rId563" display="https://amp.vexpenses.com/settings/membros-de-equipe/896360" xr:uid="{0FB90F39-DE61-4ED0-9424-E1F7E682F1F7}"/>
    <hyperlink ref="B566" r:id="rId564" display="https://amp.vexpenses.com/settings/membros-de-equipe/896361" xr:uid="{E9ACF6F2-760A-47B7-8F02-8934620CDB4A}"/>
    <hyperlink ref="B567" r:id="rId565" display="https://amp.vexpenses.com/settings/membros-de-equipe/920855" xr:uid="{73CF2E41-70FB-4C2D-B7EF-AC5741C4DE21}"/>
    <hyperlink ref="B568" r:id="rId566" display="https://amp.vexpenses.com/settings/membros-de-equipe/896362" xr:uid="{281660BE-BAED-40EC-B447-1D742017C4C9}"/>
    <hyperlink ref="B569" r:id="rId567" display="https://amp.vexpenses.com/settings/membros-de-equipe/896363" xr:uid="{375DB8DE-ED7C-46DA-BC5B-21602775596A}"/>
    <hyperlink ref="B570" r:id="rId568" display="https://amp.vexpenses.com/settings/membros-de-equipe/896364" xr:uid="{40FAFB2D-894E-42BC-929B-346BB2C9FBDF}"/>
    <hyperlink ref="B571" r:id="rId569" display="https://amp.vexpenses.com/settings/membros-de-equipe/896365" xr:uid="{AC9B41C1-1C7A-4943-980B-113F203622BD}"/>
    <hyperlink ref="B572" r:id="rId570" display="https://amp.vexpenses.com/settings/membros-de-equipe/917052" xr:uid="{E457F6D0-8D61-4706-ABC2-378396286CEC}"/>
    <hyperlink ref="B573" r:id="rId571" display="https://amp.vexpenses.com/settings/membros-de-equipe/896366" xr:uid="{64C2FD5F-7D69-4212-898E-6E0EDE127EF9}"/>
    <hyperlink ref="B574" r:id="rId572" display="https://amp.vexpenses.com/settings/membros-de-equipe/896367" xr:uid="{60BD6A42-F872-431F-8683-A25BA81DB5D6}"/>
    <hyperlink ref="B575" r:id="rId573" display="https://amp.vexpenses.com/settings/membros-de-equipe/968562" xr:uid="{60BA3111-F46E-4000-8329-DAD38FEB9D72}"/>
    <hyperlink ref="B576" r:id="rId574" display="https://amp.vexpenses.com/settings/membros-de-equipe/1023079" xr:uid="{E891C4B0-977C-445D-A7DE-ED009F77E5BC}"/>
    <hyperlink ref="B577" r:id="rId575" display="https://amp.vexpenses.com/settings/membros-de-equipe/1077951" xr:uid="{A6706C69-63F0-4EFF-ACA5-B07C22C4DA49}"/>
    <hyperlink ref="B578" r:id="rId576" display="https://amp.vexpenses.com/settings/membros-de-equipe/896369" xr:uid="{33AC62CD-D6F8-44C0-989F-71B6FA23524D}"/>
    <hyperlink ref="B579" r:id="rId577" display="https://amp.vexpenses.com/settings/membros-de-equipe/931255" xr:uid="{D7B5E5EB-4A2F-445D-9BAC-A62AD91A40C4}"/>
    <hyperlink ref="B580" r:id="rId578" display="https://amp.vexpenses.com/settings/membros-de-equipe/896373" xr:uid="{B1B69D71-C01C-4244-82C7-708C9915B23B}"/>
    <hyperlink ref="B581" r:id="rId579" display="https://amp.vexpenses.com/settings/membros-de-equipe/1068619" xr:uid="{9BBBD179-8945-47C8-A95F-93ECBC3C8506}"/>
    <hyperlink ref="B582" r:id="rId580" display="https://amp.vexpenses.com/settings/membros-de-equipe/920868" xr:uid="{D34F8165-921A-4474-9943-095E9B485C1E}"/>
    <hyperlink ref="B583" r:id="rId581" display="https://amp.vexpenses.com/settings/membros-de-equipe/1073268" xr:uid="{F7630B2F-F683-4FBD-A68A-44B58616D988}"/>
    <hyperlink ref="B584" r:id="rId582" display="https://amp.vexpenses.com/settings/membros-de-equipe/985833" xr:uid="{A83D0010-660B-46D8-B376-E8EA100A6557}"/>
    <hyperlink ref="B585" r:id="rId583" display="https://amp.vexpenses.com/settings/membros-de-equipe/917368" xr:uid="{DB904B92-E998-44AA-8ED8-9615800F9917}"/>
    <hyperlink ref="B586" r:id="rId584" display="https://amp.vexpenses.com/settings/membros-de-equipe/896424" xr:uid="{4DDCB391-A647-4788-B71B-8D608FEE5B68}"/>
    <hyperlink ref="B587" r:id="rId585" display="https://amp.vexpenses.com/settings/membros-de-equipe/896376" xr:uid="{F4685A87-C906-41ED-BA89-DCC9689AEC02}"/>
    <hyperlink ref="B588" r:id="rId586" display="https://amp.vexpenses.com/settings/membros-de-equipe/896378" xr:uid="{07D2DE8C-0F00-4D50-90CD-C6CFF83E151B}"/>
    <hyperlink ref="B589" r:id="rId587" display="https://amp.vexpenses.com/settings/membros-de-equipe/923842" xr:uid="{9EE71BAD-6CCC-4F66-B7F8-C2633D634A66}"/>
    <hyperlink ref="B590" r:id="rId588" display="https://amp.vexpenses.com/settings/membros-de-equipe/1077047" xr:uid="{A88C71DF-DE06-4E12-95C5-B0F8092118C3}"/>
    <hyperlink ref="B591" r:id="rId589" display="https://amp.vexpenses.com/settings/membros-de-equipe/896380" xr:uid="{26857A27-F8F1-40CD-86C0-7EB83A08D9B2}"/>
    <hyperlink ref="B592" r:id="rId590" display="https://amp.vexpenses.com/settings/membros-de-equipe/896381" xr:uid="{0A3C2F72-2FE4-4030-B503-492F9622CB88}"/>
    <hyperlink ref="B593" r:id="rId591" display="https://amp.vexpenses.com/settings/membros-de-equipe/896384" xr:uid="{53524FAA-FEB5-407A-915F-896C4FA99FCE}"/>
    <hyperlink ref="B594" r:id="rId592" display="https://amp.vexpenses.com/settings/membros-de-equipe/896385" xr:uid="{383AC96A-C299-4A8F-A719-AB97B68BEFD1}"/>
    <hyperlink ref="B595" r:id="rId593" display="https://amp.vexpenses.com/settings/membros-de-equipe/896387" xr:uid="{22851719-98CE-4224-81E8-26F6E4F344EA}"/>
    <hyperlink ref="B596" r:id="rId594" display="https://amp.vexpenses.com/settings/membros-de-equipe/896388" xr:uid="{2784FE89-B4F1-4434-AB5F-6465335E6D06}"/>
    <hyperlink ref="B597" r:id="rId595" display="https://amp.vexpenses.com/settings/membros-de-equipe/896389" xr:uid="{6473B107-15CC-40A6-AA32-80D2B07188C4}"/>
    <hyperlink ref="B598" r:id="rId596" display="https://amp.vexpenses.com/settings/membros-de-equipe/1061896" xr:uid="{CCAD9D42-C28C-49BC-AFDC-343ED137B871}"/>
    <hyperlink ref="B599" r:id="rId597" display="https://amp.vexpenses.com/settings/membros-de-equipe/896390" xr:uid="{04E73EC0-2C53-4545-87AD-B37DC1125DD5}"/>
    <hyperlink ref="B600" r:id="rId598" display="https://amp.vexpenses.com/settings/membros-de-equipe/896391" xr:uid="{DD098ABD-8066-49D2-98BA-BED97829A156}"/>
    <hyperlink ref="B601" r:id="rId599" display="https://amp.vexpenses.com/settings/membros-de-equipe/896392" xr:uid="{9983273E-DECA-4754-B7FB-56A132A9FDC0}"/>
    <hyperlink ref="B602" r:id="rId600" display="https://amp.vexpenses.com/settings/membros-de-equipe/896393" xr:uid="{D576B270-47FE-4362-AA4A-D171B435A2AA}"/>
    <hyperlink ref="B603" r:id="rId601" display="https://amp.vexpenses.com/settings/membros-de-equipe/896394" xr:uid="{1ECE0146-0AA2-4E40-9E63-892B18AD2D81}"/>
    <hyperlink ref="B604" r:id="rId602" display="https://amp.vexpenses.com/settings/membros-de-equipe/916366" xr:uid="{7CA5A87A-DF4A-41C4-BB7B-954CD1B60456}"/>
    <hyperlink ref="B605" r:id="rId603" display="https://amp.vexpenses.com/settings/membros-de-equipe/1056326" xr:uid="{6FDB6A23-18F5-483E-BB95-1146B215A5A6}"/>
    <hyperlink ref="B606" r:id="rId604" display="https://amp.vexpenses.com/settings/membros-de-equipe/921921" xr:uid="{2B9BBFDE-9CAF-491A-96E9-ACCAD388FC96}"/>
    <hyperlink ref="B607" r:id="rId605" display="https://amp.vexpenses.com/settings/membros-de-equipe/896395" xr:uid="{19436A97-F0CA-4B1B-A5C3-0131E35DBF47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Props1.xml><?xml version="1.0" encoding="utf-8"?>
<ds:datastoreItem xmlns:ds="http://schemas.openxmlformats.org/officeDocument/2006/customXml" ds:itemID="{003AF119-67F8-470C-A929-28E4C6AD6286}"/>
</file>

<file path=customXml/itemProps2.xml><?xml version="1.0" encoding="utf-8"?>
<ds:datastoreItem xmlns:ds="http://schemas.openxmlformats.org/officeDocument/2006/customXml" ds:itemID="{18FBA52A-36C0-4F4B-B712-E9FE9D12520E}"/>
</file>

<file path=customXml/itemProps3.xml><?xml version="1.0" encoding="utf-8"?>
<ds:datastoreItem xmlns:ds="http://schemas.openxmlformats.org/officeDocument/2006/customXml" ds:itemID="{00F9E22E-D1D9-413E-BA4D-764C5C20F7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Cardoso Reginaldo</dc:creator>
  <cp:keywords/>
  <dc:description/>
  <cp:lastModifiedBy>Andrey Cardoso Reginaldo</cp:lastModifiedBy>
  <cp:revision/>
  <dcterms:created xsi:type="dcterms:W3CDTF">2026-05-25T11:36:40Z</dcterms:created>
  <dcterms:modified xsi:type="dcterms:W3CDTF">2026-05-29T18:22:50Z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