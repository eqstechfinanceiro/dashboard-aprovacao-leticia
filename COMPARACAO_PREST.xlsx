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ADSON ARAUJO DA SILVA" sheetId="2" state="visible" r:id="rId2"/>
    <sheet xmlns:r="http://schemas.openxmlformats.org/officeDocument/2006/relationships" name="ALEX SANDRO PEREIRA MARQUES" sheetId="3" state="visible" r:id="rId3"/>
    <sheet xmlns:r="http://schemas.openxmlformats.org/officeDocument/2006/relationships" name="ALIRIO THOMAZ VALENTIM" sheetId="4" state="visible" r:id="rId4"/>
    <sheet xmlns:r="http://schemas.openxmlformats.org/officeDocument/2006/relationships" name="ANELISE MENDONCA DE AVILA" sheetId="5" state="visible" r:id="rId5"/>
    <sheet xmlns:r="http://schemas.openxmlformats.org/officeDocument/2006/relationships" name="DEBORA ARAUJO FIGUEIREDO" sheetId="6" state="visible" r:id="rId6"/>
    <sheet xmlns:r="http://schemas.openxmlformats.org/officeDocument/2006/relationships" name="GUILHERME DOS SANTOS GOMES" sheetId="7" state="visible" r:id="rId7"/>
    <sheet xmlns:r="http://schemas.openxmlformats.org/officeDocument/2006/relationships" name="ILMAR FONTES VIEIRA" sheetId="8" state="visible" r:id="rId8"/>
    <sheet xmlns:r="http://schemas.openxmlformats.org/officeDocument/2006/relationships" name="JACKSON NATAN RODRIGUES DA S" sheetId="9" state="visible" r:id="rId9"/>
    <sheet xmlns:r="http://schemas.openxmlformats.org/officeDocument/2006/relationships" name="JULIA FRANCISCO MADUREIRA" sheetId="10" state="visible" r:id="rId10"/>
    <sheet xmlns:r="http://schemas.openxmlformats.org/officeDocument/2006/relationships" name="MARCIO ROBERTO DA SILVA" sheetId="11" state="visible" r:id="rId11"/>
    <sheet xmlns:r="http://schemas.openxmlformats.org/officeDocument/2006/relationships" name="MARCOS LUIZ SCHULTZ" sheetId="12" state="visible" r:id="rId12"/>
    <sheet xmlns:r="http://schemas.openxmlformats.org/officeDocument/2006/relationships" name="MATHEUS FERNANDES GUIMARAES" sheetId="13" state="visible" r:id="rId13"/>
    <sheet xmlns:r="http://schemas.openxmlformats.org/officeDocument/2006/relationships" name="MILTON FERREIRA DAS NEVES JU" sheetId="14" state="visible" r:id="rId14"/>
    <sheet xmlns:r="http://schemas.openxmlformats.org/officeDocument/2006/relationships" name="NEDSON LUIZ DURAES VELOSO" sheetId="15" state="visible" r:id="rId15"/>
    <sheet xmlns:r="http://schemas.openxmlformats.org/officeDocument/2006/relationships" name="ORESTE BARBOSA DA SILVA JUNI" sheetId="16" state="visible" r:id="rId16"/>
    <sheet xmlns:r="http://schemas.openxmlformats.org/officeDocument/2006/relationships" name="PATRICK FERNANDO GOULART ALV" sheetId="17" state="visible" r:id="rId17"/>
    <sheet xmlns:r="http://schemas.openxmlformats.org/officeDocument/2006/relationships" name="RAFAEL RAMOS DAS NEVES" sheetId="18" state="visible" r:id="rId18"/>
    <sheet xmlns:r="http://schemas.openxmlformats.org/officeDocument/2006/relationships" name="RENATA PALMA LEAL" sheetId="19" state="visible" r:id="rId19"/>
    <sheet xmlns:r="http://schemas.openxmlformats.org/officeDocument/2006/relationships" name="RENATO PARREIRAS" sheetId="20" state="visible" r:id="rId20"/>
    <sheet xmlns:r="http://schemas.openxmlformats.org/officeDocument/2006/relationships" name="RODRIGO CESAR DOS SANTO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FF0000"/>
      <sz val="12"/>
    </font>
    <font>
      <b val="1"/>
      <color rgb="00008000"/>
      <sz val="12"/>
    </font>
    <font>
      <b val="1"/>
      <color rgb="00FFA500"/>
      <sz val="12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Colaborador</t>
        </is>
      </c>
      <c r="B1" s="1" t="inlineStr">
        <is>
          <t>CPF</t>
        </is>
      </c>
      <c r="C1" s="1" t="inlineStr">
        <is>
          <t>Prestação Referência</t>
        </is>
      </c>
      <c r="D1" s="1" t="inlineStr">
        <is>
          <t>Prestação Automação</t>
        </is>
      </c>
      <c r="E1" s="1" t="inlineStr">
        <is>
          <t>Diferença</t>
        </is>
      </c>
      <c r="F1" s="1" t="inlineStr">
        <is>
          <t>Qtd Ref</t>
        </is>
      </c>
      <c r="G1" s="1" t="inlineStr">
        <is>
          <t>Qtd Automação</t>
        </is>
      </c>
      <c r="H1" s="1" t="inlineStr">
        <is>
          <t>Só na Ref</t>
        </is>
      </c>
      <c r="I1" s="1" t="inlineStr">
        <is>
          <t>Só na Automação</t>
        </is>
      </c>
      <c r="J1" s="1" t="inlineStr">
        <is>
          <t>Valores Diferentes</t>
        </is>
      </c>
      <c r="K1" s="1" t="inlineStr">
        <is>
          <t>Soma Só Ref</t>
        </is>
      </c>
      <c r="L1" s="1" t="inlineStr">
        <is>
          <t>Soma Só Automação</t>
        </is>
      </c>
      <c r="M1" s="1" t="inlineStr">
        <is>
          <t>Diferença Valores</t>
        </is>
      </c>
    </row>
    <row r="2">
      <c r="A2" t="inlineStr">
        <is>
          <t>ADSON ARAUJO DA SILVA</t>
        </is>
      </c>
      <c r="B2" t="inlineStr">
        <is>
          <t>94551804304</t>
        </is>
      </c>
      <c r="C2" t="n">
        <v>40453.97</v>
      </c>
      <c r="D2" t="n">
        <v>34711.36</v>
      </c>
      <c r="E2" t="n">
        <v>5742.61</v>
      </c>
      <c r="F2" t="n">
        <v>373</v>
      </c>
      <c r="G2" t="n">
        <v>309</v>
      </c>
      <c r="H2" t="n">
        <v>64</v>
      </c>
      <c r="I2" t="n">
        <v>0</v>
      </c>
      <c r="J2" t="n">
        <v>0</v>
      </c>
      <c r="K2" t="n">
        <v>5742.61</v>
      </c>
      <c r="L2" t="n">
        <v>0</v>
      </c>
      <c r="M2" t="n">
        <v>0</v>
      </c>
    </row>
    <row r="3">
      <c r="A3" t="inlineStr">
        <is>
          <t>ALEX SANDRO PEREIRA MARQUES</t>
        </is>
      </c>
      <c r="B3" t="inlineStr">
        <is>
          <t>82877904091</t>
        </is>
      </c>
      <c r="C3" t="n">
        <v>2732.36</v>
      </c>
      <c r="D3" t="n">
        <v>2575.56</v>
      </c>
      <c r="E3" t="n">
        <v>156.8</v>
      </c>
      <c r="F3" t="n">
        <v>87</v>
      </c>
      <c r="G3" t="n">
        <v>79</v>
      </c>
      <c r="H3" t="n">
        <v>8</v>
      </c>
      <c r="I3" t="n">
        <v>0</v>
      </c>
      <c r="J3" t="n">
        <v>0</v>
      </c>
      <c r="K3" t="n">
        <v>156.8</v>
      </c>
      <c r="L3" t="n">
        <v>0</v>
      </c>
      <c r="M3" t="n">
        <v>0</v>
      </c>
    </row>
    <row r="4">
      <c r="A4" t="inlineStr">
        <is>
          <t>ALIRIO THOMAZ VALENTIM</t>
        </is>
      </c>
      <c r="B4" t="inlineStr">
        <is>
          <t>99335220000</t>
        </is>
      </c>
      <c r="C4" t="n">
        <v>3093.4</v>
      </c>
      <c r="D4" t="n">
        <v>0</v>
      </c>
      <c r="E4" t="n">
        <v>3093.4</v>
      </c>
      <c r="F4" t="n">
        <v>13</v>
      </c>
      <c r="G4" t="n">
        <v>0</v>
      </c>
      <c r="H4" t="n">
        <v>13</v>
      </c>
      <c r="I4" t="n">
        <v>0</v>
      </c>
      <c r="J4" t="n">
        <v>0</v>
      </c>
      <c r="K4" t="n">
        <v>3093.4</v>
      </c>
      <c r="L4" t="n">
        <v>0</v>
      </c>
      <c r="M4" t="n">
        <v>0</v>
      </c>
    </row>
    <row r="5">
      <c r="A5" t="inlineStr">
        <is>
          <t>ANELISE MENDONCA DE AVILA</t>
        </is>
      </c>
      <c r="B5" t="inlineStr">
        <is>
          <t>02873491019</t>
        </is>
      </c>
      <c r="C5" t="n">
        <v>1391.77</v>
      </c>
      <c r="D5" t="n">
        <v>4029.95</v>
      </c>
      <c r="E5" t="n">
        <v>-2638.18</v>
      </c>
      <c r="F5" t="n">
        <v>4</v>
      </c>
      <c r="G5" t="n">
        <v>9</v>
      </c>
      <c r="H5" t="n">
        <v>0</v>
      </c>
      <c r="I5" t="n">
        <v>5</v>
      </c>
      <c r="J5" t="n">
        <v>0</v>
      </c>
      <c r="K5" t="n">
        <v>0</v>
      </c>
      <c r="L5" t="n">
        <v>2638.18</v>
      </c>
      <c r="M5" t="n">
        <v>0</v>
      </c>
    </row>
    <row r="6">
      <c r="A6" t="inlineStr">
        <is>
          <t>DEBORA ARAUJO FIGUEIREDO</t>
        </is>
      </c>
      <c r="B6" t="inlineStr">
        <is>
          <t>85225720030</t>
        </is>
      </c>
      <c r="C6" t="n">
        <v>12957.94</v>
      </c>
      <c r="D6" t="n">
        <v>12937.94</v>
      </c>
      <c r="E6" t="n">
        <v>20</v>
      </c>
      <c r="F6" t="n">
        <v>147</v>
      </c>
      <c r="G6" t="n">
        <v>147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20</v>
      </c>
    </row>
    <row r="7">
      <c r="A7" t="inlineStr">
        <is>
          <t>GUILHERME DOS SANTOS GOMES</t>
        </is>
      </c>
      <c r="B7" t="inlineStr">
        <is>
          <t>10489127959</t>
        </is>
      </c>
      <c r="C7" t="n">
        <v>366.2</v>
      </c>
      <c r="D7" t="n">
        <v>0</v>
      </c>
      <c r="E7" t="n">
        <v>366.2</v>
      </c>
      <c r="F7" t="n">
        <v>6</v>
      </c>
      <c r="G7" t="n">
        <v>0</v>
      </c>
      <c r="H7" t="n">
        <v>6</v>
      </c>
      <c r="I7" t="n">
        <v>0</v>
      </c>
      <c r="J7" t="n">
        <v>0</v>
      </c>
      <c r="K7" t="n">
        <v>366.2</v>
      </c>
      <c r="L7" t="n">
        <v>0</v>
      </c>
      <c r="M7" t="n">
        <v>0</v>
      </c>
    </row>
    <row r="8">
      <c r="A8" t="inlineStr">
        <is>
          <t>ILMAR FONTES VIEIRA</t>
        </is>
      </c>
      <c r="B8" t="inlineStr">
        <is>
          <t>22136444972</t>
        </is>
      </c>
      <c r="C8" t="n">
        <v>3491.6</v>
      </c>
      <c r="D8" t="n">
        <v>3459.8</v>
      </c>
      <c r="E8" t="n">
        <v>31.8</v>
      </c>
      <c r="F8" t="n">
        <v>11</v>
      </c>
      <c r="G8" t="n">
        <v>10</v>
      </c>
      <c r="H8" t="n">
        <v>1</v>
      </c>
      <c r="I8" t="n">
        <v>0</v>
      </c>
      <c r="J8" t="n">
        <v>0</v>
      </c>
      <c r="K8" t="n">
        <v>31.8</v>
      </c>
      <c r="L8" t="n">
        <v>0</v>
      </c>
      <c r="M8" t="n">
        <v>0</v>
      </c>
    </row>
    <row r="9">
      <c r="A9" t="inlineStr">
        <is>
          <t>JACKSON NATAN RODRIGUES DA SILVA</t>
        </is>
      </c>
      <c r="B9" t="inlineStr">
        <is>
          <t>01456786288</t>
        </is>
      </c>
      <c r="C9" t="n">
        <v>3027.15</v>
      </c>
      <c r="D9" t="n">
        <v>2875.6</v>
      </c>
      <c r="E9" t="n">
        <v>151.55</v>
      </c>
      <c r="F9" t="n">
        <v>37</v>
      </c>
      <c r="G9" t="n">
        <v>33</v>
      </c>
      <c r="H9" t="n">
        <v>4</v>
      </c>
      <c r="I9" t="n">
        <v>0</v>
      </c>
      <c r="J9" t="n">
        <v>0</v>
      </c>
      <c r="K9" t="n">
        <v>151.55</v>
      </c>
      <c r="L9" t="n">
        <v>0</v>
      </c>
      <c r="M9" t="n">
        <v>0</v>
      </c>
    </row>
    <row r="10">
      <c r="A10" t="inlineStr">
        <is>
          <t>JULIA FRANCISCO MADUREIRA</t>
        </is>
      </c>
      <c r="B10" t="inlineStr">
        <is>
          <t>15322365737</t>
        </is>
      </c>
      <c r="C10" t="n">
        <v>1143.87</v>
      </c>
      <c r="D10" t="n">
        <v>467.69</v>
      </c>
      <c r="E10" t="n">
        <v>676.1799999999999</v>
      </c>
      <c r="F10" t="n">
        <v>6</v>
      </c>
      <c r="G10" t="n">
        <v>2</v>
      </c>
      <c r="H10" t="n">
        <v>4</v>
      </c>
      <c r="I10" t="n">
        <v>0</v>
      </c>
      <c r="J10" t="n">
        <v>0</v>
      </c>
      <c r="K10" t="n">
        <v>676.1799999999999</v>
      </c>
      <c r="L10" t="n">
        <v>0</v>
      </c>
      <c r="M10" t="n">
        <v>0</v>
      </c>
    </row>
    <row r="11">
      <c r="A11" t="inlineStr">
        <is>
          <t>MARCIO ROBERTO DA SILVA</t>
        </is>
      </c>
      <c r="B11" t="inlineStr">
        <is>
          <t>96212993068</t>
        </is>
      </c>
      <c r="C11" t="n">
        <v>2013.17</v>
      </c>
      <c r="D11" t="n">
        <v>2102.48</v>
      </c>
      <c r="E11" t="n">
        <v>-89.31</v>
      </c>
      <c r="F11" t="n">
        <v>17</v>
      </c>
      <c r="G11" t="n">
        <v>19</v>
      </c>
      <c r="H11" t="n">
        <v>0</v>
      </c>
      <c r="I11" t="n">
        <v>2</v>
      </c>
      <c r="J11" t="n">
        <v>0</v>
      </c>
      <c r="K11" t="n">
        <v>0</v>
      </c>
      <c r="L11" t="n">
        <v>89.31</v>
      </c>
      <c r="M11" t="n">
        <v>0</v>
      </c>
    </row>
    <row r="12">
      <c r="A12" t="inlineStr">
        <is>
          <t>MARCOS LUIZ SCHULTZ</t>
        </is>
      </c>
      <c r="B12" t="inlineStr">
        <is>
          <t>97607240063</t>
        </is>
      </c>
      <c r="C12" t="n">
        <v>5860.59</v>
      </c>
      <c r="D12" t="n">
        <v>5678.29</v>
      </c>
      <c r="E12" t="n">
        <v>182.3</v>
      </c>
      <c r="F12" t="n">
        <v>91</v>
      </c>
      <c r="G12" t="n">
        <v>90</v>
      </c>
      <c r="H12" t="n">
        <v>1</v>
      </c>
      <c r="I12" t="n">
        <v>0</v>
      </c>
      <c r="J12" t="n">
        <v>0</v>
      </c>
      <c r="K12" t="n">
        <v>182.3</v>
      </c>
      <c r="L12" t="n">
        <v>0</v>
      </c>
      <c r="M12" t="n">
        <v>0</v>
      </c>
    </row>
    <row r="13">
      <c r="A13" t="inlineStr">
        <is>
          <t>MATHEUS FERNANDES GUIMARAES</t>
        </is>
      </c>
      <c r="B13" t="inlineStr">
        <is>
          <t>17996820724</t>
        </is>
      </c>
      <c r="C13" t="n">
        <v>43138.08</v>
      </c>
      <c r="D13" t="n">
        <v>42338.08</v>
      </c>
      <c r="E13" t="n">
        <v>800</v>
      </c>
      <c r="F13" t="n">
        <v>562</v>
      </c>
      <c r="G13" t="n">
        <v>560</v>
      </c>
      <c r="H13" t="n">
        <v>2</v>
      </c>
      <c r="I13" t="n">
        <v>0</v>
      </c>
      <c r="J13" t="n">
        <v>0</v>
      </c>
      <c r="K13" t="n">
        <v>800</v>
      </c>
      <c r="L13" t="n">
        <v>0</v>
      </c>
      <c r="M13" t="n">
        <v>0</v>
      </c>
    </row>
    <row r="14">
      <c r="A14" t="inlineStr">
        <is>
          <t>MILTON FERREIRA DAS NEVES JUNIOR</t>
        </is>
      </c>
      <c r="B14" t="inlineStr">
        <is>
          <t>05100355581</t>
        </is>
      </c>
      <c r="C14" t="n">
        <v>15183.06</v>
      </c>
      <c r="D14" t="n">
        <v>16582.65</v>
      </c>
      <c r="E14" t="n">
        <v>-1399.59</v>
      </c>
      <c r="F14" t="n">
        <v>129</v>
      </c>
      <c r="G14" t="n">
        <v>147</v>
      </c>
      <c r="H14" t="n">
        <v>0</v>
      </c>
      <c r="I14" t="n">
        <v>18</v>
      </c>
      <c r="J14" t="n">
        <v>0</v>
      </c>
      <c r="K14" t="n">
        <v>0</v>
      </c>
      <c r="L14" t="n">
        <v>1399.59</v>
      </c>
      <c r="M14" t="n">
        <v>0</v>
      </c>
    </row>
    <row r="15">
      <c r="A15" t="inlineStr">
        <is>
          <t>NEDSON LUIZ DURAES VELOSO</t>
        </is>
      </c>
      <c r="B15" t="inlineStr">
        <is>
          <t>11498112692</t>
        </is>
      </c>
      <c r="C15" t="n">
        <v>11527.02</v>
      </c>
      <c r="D15" t="n">
        <v>11487.02</v>
      </c>
      <c r="E15" t="n">
        <v>40</v>
      </c>
      <c r="F15" t="n">
        <v>128</v>
      </c>
      <c r="G15" t="n">
        <v>127</v>
      </c>
      <c r="H15" t="n">
        <v>1</v>
      </c>
      <c r="I15" t="n">
        <v>0</v>
      </c>
      <c r="J15" t="n">
        <v>0</v>
      </c>
      <c r="K15" t="n">
        <v>40</v>
      </c>
      <c r="L15" t="n">
        <v>0</v>
      </c>
      <c r="M15" t="n">
        <v>0</v>
      </c>
    </row>
    <row r="16">
      <c r="A16" t="inlineStr">
        <is>
          <t>ORESTE BARBOSA DA SILVA JUNIOR</t>
        </is>
      </c>
      <c r="B16" t="inlineStr">
        <is>
          <t>25075562850</t>
        </is>
      </c>
      <c r="C16" t="n">
        <v>87639.09</v>
      </c>
      <c r="D16" t="n">
        <v>81744.27</v>
      </c>
      <c r="E16" t="n">
        <v>5894.82</v>
      </c>
      <c r="F16" t="n">
        <v>1764</v>
      </c>
      <c r="G16" t="n">
        <v>1698</v>
      </c>
      <c r="H16" t="n">
        <v>66</v>
      </c>
      <c r="I16" t="n">
        <v>0</v>
      </c>
      <c r="J16" t="n">
        <v>0</v>
      </c>
      <c r="K16" t="n">
        <v>5894.82</v>
      </c>
      <c r="L16" t="n">
        <v>0</v>
      </c>
      <c r="M16" t="n">
        <v>0</v>
      </c>
    </row>
    <row r="17">
      <c r="A17" t="inlineStr">
        <is>
          <t>PATRICK FERNANDO GOULART ALVES</t>
        </is>
      </c>
      <c r="B17" t="inlineStr">
        <is>
          <t>07214272946</t>
        </is>
      </c>
      <c r="C17" t="n">
        <v>16689.06</v>
      </c>
      <c r="D17" t="n">
        <v>16638.26</v>
      </c>
      <c r="E17" t="n">
        <v>50.8</v>
      </c>
      <c r="F17" t="n">
        <v>381</v>
      </c>
      <c r="G17" t="n">
        <v>377</v>
      </c>
      <c r="H17" t="n">
        <v>4</v>
      </c>
      <c r="I17" t="n">
        <v>0</v>
      </c>
      <c r="J17" t="n">
        <v>0</v>
      </c>
      <c r="K17" t="n">
        <v>50.8</v>
      </c>
      <c r="L17" t="n">
        <v>0</v>
      </c>
      <c r="M17" t="n">
        <v>0</v>
      </c>
    </row>
    <row r="18">
      <c r="A18" t="inlineStr">
        <is>
          <t>RAFAEL RAMOS DAS NEVES</t>
        </is>
      </c>
      <c r="B18" t="inlineStr">
        <is>
          <t>06149576485</t>
        </is>
      </c>
      <c r="C18" t="n">
        <v>1619.12</v>
      </c>
      <c r="D18" t="n">
        <v>819</v>
      </c>
      <c r="E18" t="n">
        <v>800.12</v>
      </c>
      <c r="F18" t="n">
        <v>12</v>
      </c>
      <c r="G18" t="n">
        <v>4</v>
      </c>
      <c r="H18" t="n">
        <v>8</v>
      </c>
      <c r="I18" t="n">
        <v>0</v>
      </c>
      <c r="J18" t="n">
        <v>0</v>
      </c>
      <c r="K18" t="n">
        <v>800.12</v>
      </c>
      <c r="L18" t="n">
        <v>0</v>
      </c>
      <c r="M18" t="n">
        <v>0</v>
      </c>
    </row>
    <row r="19">
      <c r="A19" t="inlineStr">
        <is>
          <t>RENATA PALMA LEAL</t>
        </is>
      </c>
      <c r="B19" t="inlineStr">
        <is>
          <t>02449603050</t>
        </is>
      </c>
      <c r="C19" t="n">
        <v>70</v>
      </c>
      <c r="D19" t="n">
        <v>0</v>
      </c>
      <c r="E19" t="n">
        <v>70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70</v>
      </c>
      <c r="L19" t="n">
        <v>0</v>
      </c>
      <c r="M19" t="n">
        <v>0</v>
      </c>
    </row>
    <row r="20">
      <c r="A20" t="inlineStr">
        <is>
          <t>RENATO PARREIRAS</t>
        </is>
      </c>
      <c r="B20" t="inlineStr">
        <is>
          <t>97162485634</t>
        </is>
      </c>
      <c r="C20" t="n">
        <v>12178.21</v>
      </c>
      <c r="D20" t="n">
        <v>11196.05</v>
      </c>
      <c r="E20" t="n">
        <v>982.16</v>
      </c>
      <c r="F20" t="n">
        <v>102</v>
      </c>
      <c r="G20" t="n">
        <v>93</v>
      </c>
      <c r="H20" t="n">
        <v>9</v>
      </c>
      <c r="I20" t="n">
        <v>0</v>
      </c>
      <c r="J20" t="n">
        <v>0</v>
      </c>
      <c r="K20" t="n">
        <v>982.16</v>
      </c>
      <c r="L20" t="n">
        <v>0</v>
      </c>
      <c r="M20" t="n">
        <v>0</v>
      </c>
    </row>
    <row r="21">
      <c r="A21" t="inlineStr">
        <is>
          <t>RODRIGO CESAR DOS SANTOS</t>
        </is>
      </c>
      <c r="B21" t="inlineStr">
        <is>
          <t>07024923610</t>
        </is>
      </c>
      <c r="C21" t="n">
        <v>35224.4</v>
      </c>
      <c r="D21" t="n">
        <v>34887</v>
      </c>
      <c r="E21" t="n">
        <v>337.4</v>
      </c>
      <c r="F21" t="n">
        <v>172</v>
      </c>
      <c r="G21" t="n">
        <v>170</v>
      </c>
      <c r="H21" t="n">
        <v>2</v>
      </c>
      <c r="I21" t="n">
        <v>0</v>
      </c>
      <c r="J21" t="n">
        <v>0</v>
      </c>
      <c r="K21" t="n">
        <v>337.4</v>
      </c>
      <c r="L21" t="n">
        <v>0</v>
      </c>
      <c r="M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35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2">
        <f>== SÓ NA REFERÊNCIA (não temos na automação) ===</f>
        <v/>
      </c>
    </row>
    <row r="2">
      <c r="A2" s="1" t="inlineStr">
        <is>
          <t>Expense ID</t>
        </is>
      </c>
      <c r="B2" s="1" t="inlineStr">
        <is>
          <t>Report ID</t>
        </is>
      </c>
      <c r="C2" s="1" t="inlineStr">
        <is>
          <t>Report Name</t>
        </is>
      </c>
      <c r="D2" s="1" t="inlineStr">
        <is>
          <t>Descrição</t>
        </is>
      </c>
      <c r="E2" s="1" t="inlineStr">
        <is>
          <t>Valor</t>
        </is>
      </c>
      <c r="F2" s="1" t="inlineStr">
        <is>
          <t>Status</t>
        </is>
      </c>
      <c r="G2" s="1" t="inlineStr">
        <is>
          <t>Forma Pgto</t>
        </is>
      </c>
      <c r="H2" s="1" t="inlineStr">
        <is>
          <t>Data</t>
        </is>
      </c>
    </row>
    <row r="3">
      <c r="A3" s="3" t="inlineStr">
        <is>
          <t>68263940</t>
        </is>
      </c>
      <c r="B3" s="3" t="n">
        <v>8278689</v>
      </c>
      <c r="C3" s="3" t="inlineStr">
        <is>
          <t>CAIXA 09/25 CARTÃO VEXPENSES</t>
        </is>
      </c>
      <c r="D3" s="3" t="inlineStr">
        <is>
          <t>MARCIA MARIA COSTA SILVA ARAUJO</t>
        </is>
      </c>
      <c r="E3" s="3" t="n">
        <v>390</v>
      </c>
      <c r="F3" s="3" t="inlineStr">
        <is>
          <t>Aprovado</t>
        </is>
      </c>
      <c r="G3" s="3" t="inlineStr">
        <is>
          <t>Saque VExpenses</t>
        </is>
      </c>
      <c r="H3" s="3" t="inlineStr">
        <is>
          <t>24/09/2025</t>
        </is>
      </c>
    </row>
    <row r="4">
      <c r="A4" s="3" t="inlineStr">
        <is>
          <t>61574347</t>
        </is>
      </c>
      <c r="B4" s="3" t="n">
        <v>7573940</v>
      </c>
      <c r="C4" s="3" t="inlineStr">
        <is>
          <t>CAIXA 06/2025 CARTÃO VEXPENSES</t>
        </is>
      </c>
      <c r="D4" s="3" t="inlineStr">
        <is>
          <t>KPS DE MENEZES MATERIAL DE CONST EPP</t>
        </is>
      </c>
      <c r="E4" s="3" t="n">
        <v>367.74</v>
      </c>
      <c r="F4" s="3" t="inlineStr">
        <is>
          <t>Aprovado</t>
        </is>
      </c>
      <c r="G4" s="3" t="inlineStr">
        <is>
          <t>Saque VExpenses</t>
        </is>
      </c>
      <c r="H4" s="3" t="inlineStr">
        <is>
          <t>02/06/2025</t>
        </is>
      </c>
    </row>
    <row r="5">
      <c r="A5" s="3" t="inlineStr">
        <is>
          <t>68453573</t>
        </is>
      </c>
      <c r="B5" s="3" t="n">
        <v>8278689</v>
      </c>
      <c r="C5" s="3" t="inlineStr">
        <is>
          <t>CAIXA 09/25 CARTÃO VEXPENSES</t>
        </is>
      </c>
      <c r="D5" s="3" t="inlineStr">
        <is>
          <t>FINO FRIO</t>
        </is>
      </c>
      <c r="E5" s="3" t="n">
        <v>353.11</v>
      </c>
      <c r="F5" s="3" t="inlineStr">
        <is>
          <t>Aprovado</t>
        </is>
      </c>
      <c r="G5" s="3" t="inlineStr">
        <is>
          <t>Saque VExpenses</t>
        </is>
      </c>
      <c r="H5" s="3" t="inlineStr">
        <is>
          <t>26/09/2025</t>
        </is>
      </c>
    </row>
    <row r="6">
      <c r="A6" s="3" t="inlineStr">
        <is>
          <t>67901898</t>
        </is>
      </c>
      <c r="B6" s="3" t="n">
        <v>8278689</v>
      </c>
      <c r="C6" s="3" t="inlineStr">
        <is>
          <t>CAIXA 09/25 CARTÃO VEXPENSES</t>
        </is>
      </c>
      <c r="D6" s="3" t="inlineStr">
        <is>
          <t>QUEIROZ ELETRICA</t>
        </is>
      </c>
      <c r="E6" s="3" t="n">
        <v>350</v>
      </c>
      <c r="F6" s="3" t="inlineStr">
        <is>
          <t>Aprovado</t>
        </is>
      </c>
      <c r="G6" s="3" t="inlineStr">
        <is>
          <t>Saque VExpenses</t>
        </is>
      </c>
      <c r="H6" s="3" t="inlineStr">
        <is>
          <t>11/09/2025</t>
        </is>
      </c>
    </row>
    <row r="7">
      <c r="A7" s="3" t="inlineStr">
        <is>
          <t>61385858</t>
        </is>
      </c>
      <c r="B7" s="3" t="n">
        <v>7542195</v>
      </c>
      <c r="C7" s="3" t="inlineStr">
        <is>
          <t>CAIXA 05/25 CARTÃO VEXPENSES</t>
        </is>
      </c>
      <c r="D7" s="3" t="inlineStr">
        <is>
          <t>MEGALUX</t>
        </is>
      </c>
      <c r="E7" s="3" t="n">
        <v>277.82</v>
      </c>
      <c r="F7" s="3" t="inlineStr">
        <is>
          <t>Aprovado</t>
        </is>
      </c>
      <c r="G7" s="3" t="inlineStr">
        <is>
          <t>Saque VExpenses</t>
        </is>
      </c>
      <c r="H7" s="3" t="inlineStr">
        <is>
          <t>28/05/2025</t>
        </is>
      </c>
    </row>
    <row r="8">
      <c r="A8" s="3" t="inlineStr">
        <is>
          <t>67075020</t>
        </is>
      </c>
      <c r="B8" s="3" t="n">
        <v>8278689</v>
      </c>
      <c r="C8" s="3" t="inlineStr">
        <is>
          <t>CAIXA 09/25 CARTÃO VEXPENSES</t>
        </is>
      </c>
      <c r="D8" s="3" t="inlineStr">
        <is>
          <t>J A IRES FILHO</t>
        </is>
      </c>
      <c r="E8" s="3" t="n">
        <v>240</v>
      </c>
      <c r="F8" s="3" t="inlineStr">
        <is>
          <t>Aprovado</t>
        </is>
      </c>
      <c r="G8" s="3" t="inlineStr">
        <is>
          <t>Saque VExpenses</t>
        </is>
      </c>
      <c r="H8" s="3" t="inlineStr">
        <is>
          <t>01/09/2025</t>
        </is>
      </c>
    </row>
    <row r="9">
      <c r="A9" s="3" t="inlineStr">
        <is>
          <t>61386026</t>
        </is>
      </c>
      <c r="B9" s="3" t="n">
        <v>7542195</v>
      </c>
      <c r="C9" s="3" t="inlineStr">
        <is>
          <t>CAIXA 05/25 CARTÃO VEXPENSES</t>
        </is>
      </c>
      <c r="D9" s="3" t="inlineStr">
        <is>
          <t>CERCOL</t>
        </is>
      </c>
      <c r="E9" s="3" t="n">
        <v>240</v>
      </c>
      <c r="F9" s="3" t="inlineStr">
        <is>
          <t>Aprovado</t>
        </is>
      </c>
      <c r="G9" s="3" t="inlineStr">
        <is>
          <t>Saque VExpenses</t>
        </is>
      </c>
      <c r="H9" s="3" t="inlineStr">
        <is>
          <t>30/05/2025</t>
        </is>
      </c>
    </row>
    <row r="10">
      <c r="A10" s="3" t="inlineStr">
        <is>
          <t>67385926</t>
        </is>
      </c>
      <c r="B10" s="3" t="n">
        <v>8278689</v>
      </c>
      <c r="C10" s="3" t="inlineStr">
        <is>
          <t>CAIXA 09/25 CARTÃO VEXPENSES</t>
        </is>
      </c>
      <c r="D10" s="3" t="inlineStr">
        <is>
          <t>J A IRES FILHO</t>
        </is>
      </c>
      <c r="E10" s="3" t="n">
        <v>240</v>
      </c>
      <c r="F10" s="3" t="inlineStr">
        <is>
          <t>Aprovado</t>
        </is>
      </c>
      <c r="G10" s="3" t="inlineStr">
        <is>
          <t>Saque VExpenses</t>
        </is>
      </c>
      <c r="H10" s="3" t="inlineStr">
        <is>
          <t>08/09/2025</t>
        </is>
      </c>
    </row>
    <row r="11">
      <c r="A11" s="3" t="inlineStr">
        <is>
          <t>63140005</t>
        </is>
      </c>
      <c r="B11" s="3" t="n">
        <v>7573940</v>
      </c>
      <c r="C11" s="3" t="inlineStr">
        <is>
          <t>CAIXA 06/2025 CARTÃO VEXPENSES</t>
        </is>
      </c>
      <c r="D11" s="3" t="inlineStr">
        <is>
          <t>COMERCIAL CARIO</t>
        </is>
      </c>
      <c r="E11" s="3" t="n">
        <v>204.5</v>
      </c>
      <c r="F11" s="3" t="inlineStr">
        <is>
          <t>Aprovado</t>
        </is>
      </c>
      <c r="G11" s="3" t="inlineStr">
        <is>
          <t>Saque VExpenses</t>
        </is>
      </c>
      <c r="H11" s="3" t="inlineStr">
        <is>
          <t>30/06/2025</t>
        </is>
      </c>
    </row>
    <row r="12">
      <c r="A12" s="3" t="inlineStr">
        <is>
          <t>67386005</t>
        </is>
      </c>
      <c r="B12" s="3" t="n">
        <v>8278689</v>
      </c>
      <c r="C12" s="3" t="inlineStr">
        <is>
          <t>CAIXA 09/25 CARTÃO VEXPENSES</t>
        </is>
      </c>
      <c r="D12" s="3" t="inlineStr">
        <is>
          <t>MARIA JOSE FRANCO DE ARAUJO</t>
        </is>
      </c>
      <c r="E12" s="3" t="n">
        <v>160</v>
      </c>
      <c r="F12" s="3" t="inlineStr">
        <is>
          <t>Aprovado</t>
        </is>
      </c>
      <c r="G12" s="3" t="inlineStr">
        <is>
          <t>Saque VExpenses</t>
        </is>
      </c>
      <c r="H12" s="3" t="inlineStr">
        <is>
          <t>09/09/2025</t>
        </is>
      </c>
    </row>
    <row r="13">
      <c r="A13" s="3" t="inlineStr">
        <is>
          <t>62781728</t>
        </is>
      </c>
      <c r="B13" s="3" t="n">
        <v>7573940</v>
      </c>
      <c r="C13" s="3" t="inlineStr">
        <is>
          <t>CAIXA 06/2025 CARTÃO VEXPENSES</t>
        </is>
      </c>
      <c r="D13" s="3" t="inlineStr">
        <is>
          <t>QUEIROZ ELETRICA</t>
        </is>
      </c>
      <c r="E13" s="3" t="n">
        <v>150</v>
      </c>
      <c r="F13" s="3" t="inlineStr">
        <is>
          <t>Aprovado</t>
        </is>
      </c>
      <c r="G13" s="3" t="inlineStr">
        <is>
          <t>Saque VExpenses</t>
        </is>
      </c>
      <c r="H13" s="3" t="inlineStr">
        <is>
          <t>24/06/2025</t>
        </is>
      </c>
    </row>
    <row r="14">
      <c r="A14" s="3" t="inlineStr">
        <is>
          <t>67900413</t>
        </is>
      </c>
      <c r="B14" s="3" t="n">
        <v>8278689</v>
      </c>
      <c r="C14" s="3" t="inlineStr">
        <is>
          <t>CAIXA 09/25 CARTÃO VEXPENSES</t>
        </is>
      </c>
      <c r="D14" s="3" t="inlineStr">
        <is>
          <t>LOURO FERRAGENS</t>
        </is>
      </c>
      <c r="E14" s="3" t="n">
        <v>140</v>
      </c>
      <c r="F14" s="3" t="inlineStr">
        <is>
          <t>Aprovado</t>
        </is>
      </c>
      <c r="G14" s="3" t="inlineStr">
        <is>
          <t>Saque VExpenses</t>
        </is>
      </c>
      <c r="H14" s="3" t="inlineStr">
        <is>
          <t>13/09/2025</t>
        </is>
      </c>
    </row>
    <row r="15">
      <c r="A15" s="3" t="inlineStr">
        <is>
          <t>62581415</t>
        </is>
      </c>
      <c r="B15" s="3" t="n">
        <v>7573940</v>
      </c>
      <c r="C15" s="3" t="inlineStr">
        <is>
          <t>CAIXA 06/2025 CARTÃO VEXPENSES</t>
        </is>
      </c>
      <c r="D15" s="3" t="inlineStr">
        <is>
          <t>KIFRIO</t>
        </is>
      </c>
      <c r="E15" s="3" t="n">
        <v>120</v>
      </c>
      <c r="F15" s="3" t="inlineStr">
        <is>
          <t>Aprovado</t>
        </is>
      </c>
      <c r="G15" s="3" t="inlineStr">
        <is>
          <t>Saque VExpenses</t>
        </is>
      </c>
      <c r="H15" s="3" t="inlineStr">
        <is>
          <t>18/06/2025</t>
        </is>
      </c>
    </row>
    <row r="16">
      <c r="A16" s="3" t="inlineStr">
        <is>
          <t>68453069</t>
        </is>
      </c>
      <c r="B16" s="3" t="n">
        <v>8278689</v>
      </c>
      <c r="C16" s="3" t="inlineStr">
        <is>
          <t>CAIXA 09/25 CARTÃO VEXPENSES</t>
        </is>
      </c>
      <c r="D16" s="3" t="inlineStr">
        <is>
          <t>FINO FRIO</t>
        </is>
      </c>
      <c r="E16" s="3" t="n">
        <v>112.48</v>
      </c>
      <c r="F16" s="3" t="inlineStr">
        <is>
          <t>Aprovado</t>
        </is>
      </c>
      <c r="G16" s="3" t="inlineStr">
        <is>
          <t>Saque VExpenses</t>
        </is>
      </c>
      <c r="H16" s="3" t="inlineStr">
        <is>
          <t>26/09/2025</t>
        </is>
      </c>
    </row>
    <row r="17">
      <c r="A17" s="3" t="inlineStr">
        <is>
          <t>61385918</t>
        </is>
      </c>
      <c r="B17" s="3" t="n">
        <v>7542195</v>
      </c>
      <c r="C17" s="3" t="inlineStr">
        <is>
          <t>CAIXA 05/25 CARTÃO VEXPENSES</t>
        </is>
      </c>
      <c r="D17" s="3" t="inlineStr">
        <is>
          <t>MEGALUX</t>
        </is>
      </c>
      <c r="E17" s="3" t="n">
        <v>111.7</v>
      </c>
      <c r="F17" s="3" t="inlineStr">
        <is>
          <t>Aprovado</t>
        </is>
      </c>
      <c r="G17" s="3" t="inlineStr">
        <is>
          <t>Saque VExpenses</t>
        </is>
      </c>
      <c r="H17" s="3" t="inlineStr">
        <is>
          <t>28/05/2025</t>
        </is>
      </c>
    </row>
    <row r="18">
      <c r="A18" s="3" t="inlineStr">
        <is>
          <t>62846968</t>
        </is>
      </c>
      <c r="B18" s="3" t="n">
        <v>7573940</v>
      </c>
      <c r="C18" s="3" t="inlineStr">
        <is>
          <t>CAIXA 06/2025 CARTÃO VEXPENSES</t>
        </is>
      </c>
      <c r="D18" s="3" t="inlineStr">
        <is>
          <t>MAVI CONSTRUÇÃO</t>
        </is>
      </c>
      <c r="E18" s="3" t="n">
        <v>100</v>
      </c>
      <c r="F18" s="3" t="inlineStr">
        <is>
          <t>Aprovado</t>
        </is>
      </c>
      <c r="G18" s="3" t="inlineStr">
        <is>
          <t>Saque VExpenses</t>
        </is>
      </c>
      <c r="H18" s="3" t="inlineStr">
        <is>
          <t>26/06/2025</t>
        </is>
      </c>
    </row>
    <row r="19">
      <c r="A19" s="3" t="inlineStr">
        <is>
          <t>62781204</t>
        </is>
      </c>
      <c r="B19" s="3" t="n">
        <v>7573940</v>
      </c>
      <c r="C19" s="3" t="inlineStr">
        <is>
          <t>CAIXA 06/2025 CARTÃO VEXPENSES</t>
        </is>
      </c>
      <c r="D19" s="3" t="inlineStr">
        <is>
          <t>MEGALUX</t>
        </is>
      </c>
      <c r="E19" s="3" t="n">
        <v>95.8</v>
      </c>
      <c r="F19" s="3" t="inlineStr">
        <is>
          <t>Aprovado</t>
        </is>
      </c>
      <c r="G19" s="3" t="inlineStr">
        <is>
          <t>Saque VExpenses</t>
        </is>
      </c>
      <c r="H19" s="3" t="inlineStr">
        <is>
          <t>23/06/2025</t>
        </is>
      </c>
    </row>
    <row r="20">
      <c r="A20" s="3" t="inlineStr">
        <is>
          <t>67077839</t>
        </is>
      </c>
      <c r="B20" s="3" t="n">
        <v>8278689</v>
      </c>
      <c r="C20" s="3" t="inlineStr">
        <is>
          <t>CAIXA 09/25 CARTÃO VEXPENSES</t>
        </is>
      </c>
      <c r="D20" s="3" t="inlineStr">
        <is>
          <t>Frost Refrigeração</t>
        </is>
      </c>
      <c r="E20" s="3" t="n">
        <v>94</v>
      </c>
      <c r="F20" s="3" t="inlineStr">
        <is>
          <t>Aprovado</t>
        </is>
      </c>
      <c r="G20" s="3" t="inlineStr">
        <is>
          <t>Saque VExpenses</t>
        </is>
      </c>
      <c r="H20" s="3" t="inlineStr">
        <is>
          <t>02/09/2025</t>
        </is>
      </c>
    </row>
    <row r="21">
      <c r="A21" s="3" t="inlineStr">
        <is>
          <t>61386076</t>
        </is>
      </c>
      <c r="B21" s="3" t="n">
        <v>7542195</v>
      </c>
      <c r="C21" s="3" t="inlineStr">
        <is>
          <t>CAIXA 05/25 CARTÃO VEXPENSES</t>
        </is>
      </c>
      <c r="D21" s="3" t="inlineStr">
        <is>
          <t>MEGALUX</t>
        </is>
      </c>
      <c r="E21" s="3" t="n">
        <v>86.31</v>
      </c>
      <c r="F21" s="3" t="inlineStr">
        <is>
          <t>Aprovado</t>
        </is>
      </c>
      <c r="G21" s="3" t="inlineStr">
        <is>
          <t>Saque VExpenses</t>
        </is>
      </c>
      <c r="H21" s="3" t="inlineStr">
        <is>
          <t>30/05/2025</t>
        </is>
      </c>
    </row>
    <row r="22">
      <c r="A22" s="3" t="inlineStr">
        <is>
          <t>62780834</t>
        </is>
      </c>
      <c r="B22" s="3" t="n">
        <v>7573940</v>
      </c>
      <c r="C22" s="3" t="inlineStr">
        <is>
          <t>CAIXA 06/2025 CARTÃO VEXPENSES</t>
        </is>
      </c>
      <c r="D22" s="3" t="inlineStr">
        <is>
          <t>REOBOTE PNEUS</t>
        </is>
      </c>
      <c r="E22" s="3" t="n">
        <v>80</v>
      </c>
      <c r="F22" s="3" t="inlineStr">
        <is>
          <t>Aprovado</t>
        </is>
      </c>
      <c r="G22" s="3" t="inlineStr">
        <is>
          <t>Saque VExpenses</t>
        </is>
      </c>
      <c r="H22" s="3" t="inlineStr">
        <is>
          <t>17/06/2025</t>
        </is>
      </c>
    </row>
    <row r="23">
      <c r="A23" s="3" t="inlineStr">
        <is>
          <t>61871226</t>
        </is>
      </c>
      <c r="B23" s="3" t="n">
        <v>7573940</v>
      </c>
      <c r="C23" s="3" t="inlineStr">
        <is>
          <t>CAIXA 06/2025 CARTÃO VEXPENSES</t>
        </is>
      </c>
      <c r="D23" s="3" t="inlineStr">
        <is>
          <t>BORRACHARIA 24H</t>
        </is>
      </c>
      <c r="E23" s="3" t="n">
        <v>80</v>
      </c>
      <c r="F23" s="3" t="inlineStr">
        <is>
          <t>Aprovado</t>
        </is>
      </c>
      <c r="G23" s="3" t="inlineStr">
        <is>
          <t>Saque VExpenses</t>
        </is>
      </c>
      <c r="H23" s="3" t="inlineStr">
        <is>
          <t>07/06/2025</t>
        </is>
      </c>
    </row>
    <row r="24">
      <c r="A24" s="3" t="inlineStr">
        <is>
          <t>67386059</t>
        </is>
      </c>
      <c r="B24" s="3" t="n">
        <v>8278689</v>
      </c>
      <c r="C24" s="3" t="inlineStr">
        <is>
          <t>CAIXA 09/25 CARTÃO VEXPENSES</t>
        </is>
      </c>
      <c r="D24" s="3" t="inlineStr">
        <is>
          <t>KIFRIO</t>
        </is>
      </c>
      <c r="E24" s="3" t="n">
        <v>75</v>
      </c>
      <c r="F24" s="3" t="inlineStr">
        <is>
          <t>Aprovado</t>
        </is>
      </c>
      <c r="G24" s="3" t="inlineStr">
        <is>
          <t>Saque VExpenses</t>
        </is>
      </c>
      <c r="H24" s="3" t="inlineStr">
        <is>
          <t>10/09/2025</t>
        </is>
      </c>
    </row>
    <row r="25">
      <c r="A25" s="3" t="inlineStr">
        <is>
          <t>67899968</t>
        </is>
      </c>
      <c r="B25" s="3" t="n">
        <v>8278689</v>
      </c>
      <c r="C25" s="3" t="inlineStr">
        <is>
          <t>CAIXA 09/25 CARTÃO VEXPENSES</t>
        </is>
      </c>
      <c r="D25" s="3" t="inlineStr">
        <is>
          <t>DRAGAO DOS PARAFUSOS</t>
        </is>
      </c>
      <c r="E25" s="3" t="n">
        <v>73.09999999999999</v>
      </c>
      <c r="F25" s="3" t="inlineStr">
        <is>
          <t>Aprovado</t>
        </is>
      </c>
      <c r="G25" s="3" t="inlineStr">
        <is>
          <t>Saque VExpenses</t>
        </is>
      </c>
      <c r="H25" s="3" t="inlineStr">
        <is>
          <t>10/09/2025</t>
        </is>
      </c>
    </row>
    <row r="26">
      <c r="A26" s="3" t="inlineStr">
        <is>
          <t>62279985</t>
        </is>
      </c>
      <c r="B26" s="3" t="n">
        <v>7573940</v>
      </c>
      <c r="C26" s="3" t="inlineStr">
        <is>
          <t>CAIXA 06/2025 CARTÃO VEXPENSES</t>
        </is>
      </c>
      <c r="D26" s="3" t="inlineStr">
        <is>
          <t>SABOR DA SERRA</t>
        </is>
      </c>
      <c r="E26" s="3" t="n">
        <v>70</v>
      </c>
      <c r="F26" s="3" t="inlineStr">
        <is>
          <t>Aprovado</t>
        </is>
      </c>
      <c r="G26" s="3" t="inlineStr">
        <is>
          <t>Saque VExpenses</t>
        </is>
      </c>
      <c r="H26" s="3" t="inlineStr">
        <is>
          <t>27/05/2025</t>
        </is>
      </c>
    </row>
    <row r="27">
      <c r="A27" s="3" t="inlineStr">
        <is>
          <t>62782318</t>
        </is>
      </c>
      <c r="B27" s="3" t="n">
        <v>7573940</v>
      </c>
      <c r="C27" s="3" t="inlineStr">
        <is>
          <t>CAIXA 06/2025 CARTÃO VEXPENSES</t>
        </is>
      </c>
      <c r="D27" s="3" t="inlineStr">
        <is>
          <t>BORRACHARIA HORAS</t>
        </is>
      </c>
      <c r="E27" s="3" t="n">
        <v>70</v>
      </c>
      <c r="F27" s="3" t="inlineStr">
        <is>
          <t>Aprovado</t>
        </is>
      </c>
      <c r="G27" s="3" t="inlineStr">
        <is>
          <t>Saque VExpenses</t>
        </is>
      </c>
      <c r="H27" s="3" t="inlineStr">
        <is>
          <t>24/06/2025</t>
        </is>
      </c>
    </row>
    <row r="28">
      <c r="A28" s="3" t="inlineStr">
        <is>
          <t>68264028</t>
        </is>
      </c>
      <c r="B28" s="3" t="n">
        <v>8278689</v>
      </c>
      <c r="C28" s="3" t="inlineStr">
        <is>
          <t>CAIXA 09/25 CARTÃO VEXPENSES</t>
        </is>
      </c>
      <c r="D28" s="3" t="inlineStr">
        <is>
          <t>INOVA CONSTRUCOES - VAREJISTA DE MAT DE CONST LTDA</t>
        </is>
      </c>
      <c r="E28" s="3" t="n">
        <v>68.90000000000001</v>
      </c>
      <c r="F28" s="3" t="inlineStr">
        <is>
          <t>Aprovado</t>
        </is>
      </c>
      <c r="G28" s="3" t="inlineStr">
        <is>
          <t>Saque VExpenses</t>
        </is>
      </c>
      <c r="H28" s="3" t="inlineStr">
        <is>
          <t>24/09/2025</t>
        </is>
      </c>
    </row>
    <row r="29">
      <c r="A29" s="3" t="inlineStr">
        <is>
          <t>67901522</t>
        </is>
      </c>
      <c r="B29" s="3" t="n">
        <v>8278689</v>
      </c>
      <c r="C29" s="3" t="inlineStr">
        <is>
          <t>CAIXA 09/25 CARTÃO VEXPENSES</t>
        </is>
      </c>
      <c r="D29" s="3" t="inlineStr">
        <is>
          <t>KIFRIO</t>
        </is>
      </c>
      <c r="E29" s="3" t="n">
        <v>68</v>
      </c>
      <c r="F29" s="3" t="inlineStr">
        <is>
          <t>Aprovado</t>
        </is>
      </c>
      <c r="G29" s="3" t="inlineStr">
        <is>
          <t>Saque VExpenses</t>
        </is>
      </c>
      <c r="H29" s="3" t="inlineStr">
        <is>
          <t>16/09/2025</t>
        </is>
      </c>
    </row>
    <row r="30">
      <c r="A30" s="3" t="inlineStr">
        <is>
          <t>67900830</t>
        </is>
      </c>
      <c r="B30" s="3" t="n">
        <v>8278689</v>
      </c>
      <c r="C30" s="3" t="inlineStr">
        <is>
          <t>CAIXA 09/25 CARTÃO VEXPENSES</t>
        </is>
      </c>
      <c r="D30" s="3" t="inlineStr">
        <is>
          <t>MERCADINHO SÃO LUIZ</t>
        </is>
      </c>
      <c r="E30" s="3" t="n">
        <v>65.8</v>
      </c>
      <c r="F30" s="3" t="inlineStr">
        <is>
          <t>Aprovado</t>
        </is>
      </c>
      <c r="G30" s="3" t="inlineStr">
        <is>
          <t>Saque VExpenses</t>
        </is>
      </c>
      <c r="H30" s="3" t="inlineStr">
        <is>
          <t>15/09/2025</t>
        </is>
      </c>
    </row>
    <row r="31">
      <c r="A31" s="3" t="inlineStr">
        <is>
          <t>67900599</t>
        </is>
      </c>
      <c r="B31" s="3" t="n">
        <v>8278689</v>
      </c>
      <c r="C31" s="3" t="inlineStr">
        <is>
          <t>CAIXA 09/25 CARTÃO VEXPENSES</t>
        </is>
      </c>
      <c r="D31" s="3" t="inlineStr">
        <is>
          <t>NOVINHO PEÇAS</t>
        </is>
      </c>
      <c r="E31" s="3" t="n">
        <v>65</v>
      </c>
      <c r="F31" s="3" t="inlineStr">
        <is>
          <t>Aprovado</t>
        </is>
      </c>
      <c r="G31" s="3" t="inlineStr">
        <is>
          <t>Saque VExpenses</t>
        </is>
      </c>
      <c r="H31" s="3" t="inlineStr">
        <is>
          <t>13/09/2025</t>
        </is>
      </c>
    </row>
    <row r="32">
      <c r="A32" s="3" t="inlineStr">
        <is>
          <t>61574579</t>
        </is>
      </c>
      <c r="B32" s="3" t="n">
        <v>7573940</v>
      </c>
      <c r="C32" s="3" t="inlineStr">
        <is>
          <t>CAIXA 06/2025 CARTÃO VEXPENSES</t>
        </is>
      </c>
      <c r="D32" s="3" t="inlineStr">
        <is>
          <t>A B SILVA</t>
        </is>
      </c>
      <c r="E32" s="3" t="n">
        <v>57.5</v>
      </c>
      <c r="F32" s="3" t="inlineStr">
        <is>
          <t>Aprovado</t>
        </is>
      </c>
      <c r="G32" s="3" t="inlineStr">
        <is>
          <t>Saque VExpenses</t>
        </is>
      </c>
      <c r="H32" s="3" t="inlineStr">
        <is>
          <t>03/06/2025</t>
        </is>
      </c>
    </row>
    <row r="33">
      <c r="A33" s="3" t="inlineStr">
        <is>
          <t>62905739</t>
        </is>
      </c>
      <c r="B33" s="3" t="n">
        <v>7573940</v>
      </c>
      <c r="C33" s="3" t="inlineStr">
        <is>
          <t>CAIXA 06/2025 CARTÃO VEXPENSES</t>
        </is>
      </c>
      <c r="D33" s="3" t="inlineStr">
        <is>
          <t>CARDIO MASTER-GESTAO ELETRONICA DE SST PARA ESOCIAL</t>
        </is>
      </c>
      <c r="E33" s="3" t="n">
        <v>50</v>
      </c>
      <c r="F33" s="3" t="inlineStr">
        <is>
          <t>Aprovado</t>
        </is>
      </c>
      <c r="G33" s="3" t="inlineStr">
        <is>
          <t>Saque VExpenses</t>
        </is>
      </c>
      <c r="H33" s="3" t="inlineStr">
        <is>
          <t>27/06/2025</t>
        </is>
      </c>
    </row>
    <row r="34">
      <c r="A34" s="3" t="inlineStr">
        <is>
          <t>67901258</t>
        </is>
      </c>
      <c r="B34" s="3" t="n">
        <v>8278689</v>
      </c>
      <c r="C34" s="3" t="inlineStr">
        <is>
          <t>CAIXA 09/25 CARTÃO VEXPENSES</t>
        </is>
      </c>
      <c r="D34" s="3" t="inlineStr">
        <is>
          <t>J A IRES FILHO</t>
        </is>
      </c>
      <c r="E34" s="3" t="n">
        <v>48</v>
      </c>
      <c r="F34" s="3" t="inlineStr">
        <is>
          <t>Aprovado</t>
        </is>
      </c>
      <c r="G34" s="3" t="inlineStr">
        <is>
          <t>Saque VExpenses</t>
        </is>
      </c>
      <c r="H34" s="3" t="inlineStr">
        <is>
          <t>15/09/2025</t>
        </is>
      </c>
    </row>
    <row r="35">
      <c r="A35" s="3" t="inlineStr">
        <is>
          <t>61574707</t>
        </is>
      </c>
      <c r="B35" s="3" t="n">
        <v>7573940</v>
      </c>
      <c r="C35" s="3" t="inlineStr">
        <is>
          <t>CAIXA 06/2025 CARTÃO VEXPENSES</t>
        </is>
      </c>
      <c r="D35" s="3" t="inlineStr">
        <is>
          <t>IGOR AZEVEDO CHAVES</t>
        </is>
      </c>
      <c r="E35" s="3" t="n">
        <v>46</v>
      </c>
      <c r="F35" s="3" t="inlineStr">
        <is>
          <t>Aprovado</t>
        </is>
      </c>
      <c r="G35" s="3" t="inlineStr">
        <is>
          <t>Saque VExpenses</t>
        </is>
      </c>
      <c r="H35" s="3" t="inlineStr">
        <is>
          <t>03/06/2025</t>
        </is>
      </c>
    </row>
    <row r="36">
      <c r="A36" s="3" t="inlineStr">
        <is>
          <t>68211758</t>
        </is>
      </c>
      <c r="B36" s="3" t="n">
        <v>8278689</v>
      </c>
      <c r="C36" s="3" t="inlineStr">
        <is>
          <t>CAIXA 09/25 CARTÃO VEXPENSES</t>
        </is>
      </c>
      <c r="D36" s="3" t="inlineStr">
        <is>
          <t>J BIZAMA PORTELA &amp; CIA</t>
        </is>
      </c>
      <c r="E36" s="3" t="n">
        <v>45.65</v>
      </c>
      <c r="F36" s="3" t="inlineStr">
        <is>
          <t>Aprovado</t>
        </is>
      </c>
      <c r="G36" s="3" t="inlineStr">
        <is>
          <t>Saque VExpenses</t>
        </is>
      </c>
      <c r="H36" s="3" t="inlineStr">
        <is>
          <t>23/09/2025</t>
        </is>
      </c>
    </row>
    <row r="37">
      <c r="A37" s="3" t="inlineStr">
        <is>
          <t>67385834</t>
        </is>
      </c>
      <c r="B37" s="3" t="n">
        <v>8278689</v>
      </c>
      <c r="C37" s="3" t="inlineStr">
        <is>
          <t>CAIXA 09/25 CARTÃO VEXPENSES</t>
        </is>
      </c>
      <c r="D37" s="3" t="inlineStr">
        <is>
          <t>C259 NORTH SHOPPING - CE</t>
        </is>
      </c>
      <c r="E37" s="3" t="n">
        <v>45</v>
      </c>
      <c r="F37" s="3" t="inlineStr">
        <is>
          <t>Aprovado</t>
        </is>
      </c>
      <c r="G37" s="3" t="inlineStr">
        <is>
          <t>Saque VExpenses</t>
        </is>
      </c>
      <c r="H37" s="3" t="inlineStr">
        <is>
          <t>04/09/2025</t>
        </is>
      </c>
    </row>
    <row r="38">
      <c r="A38" s="3" t="inlineStr">
        <is>
          <t>61385969</t>
        </is>
      </c>
      <c r="B38" s="3" t="n">
        <v>7542195</v>
      </c>
      <c r="C38" s="3" t="inlineStr">
        <is>
          <t>CAIXA 05/25 CARTÃO VEXPENSES</t>
        </is>
      </c>
      <c r="D38" s="3" t="inlineStr">
        <is>
          <t>FINO FRIO</t>
        </is>
      </c>
      <c r="E38" s="3" t="n">
        <v>45</v>
      </c>
      <c r="F38" s="3" t="inlineStr">
        <is>
          <t>Aprovado</t>
        </is>
      </c>
      <c r="G38" s="3" t="inlineStr">
        <is>
          <t>Saque VExpenses</t>
        </is>
      </c>
      <c r="H38" s="3" t="inlineStr">
        <is>
          <t>29/05/2025</t>
        </is>
      </c>
    </row>
    <row r="39">
      <c r="A39" s="3" t="inlineStr">
        <is>
          <t>62279560</t>
        </is>
      </c>
      <c r="B39" s="3" t="n">
        <v>7573940</v>
      </c>
      <c r="C39" s="3" t="inlineStr">
        <is>
          <t>CAIXA 06/2025 CARTÃO VEXPENSES</t>
        </is>
      </c>
      <c r="D39" s="3" t="inlineStr">
        <is>
          <t>MERCADINHO NOSSA SENHORA APARECIDA</t>
        </is>
      </c>
      <c r="E39" s="3" t="n">
        <v>41.4</v>
      </c>
      <c r="F39" s="3" t="inlineStr">
        <is>
          <t>Aprovado</t>
        </is>
      </c>
      <c r="G39" s="3" t="inlineStr">
        <is>
          <t>Saque VExpenses</t>
        </is>
      </c>
      <c r="H39" s="3" t="inlineStr">
        <is>
          <t>26/05/2025</t>
        </is>
      </c>
    </row>
    <row r="40">
      <c r="A40" s="3" t="inlineStr">
        <is>
          <t>68834720</t>
        </is>
      </c>
      <c r="B40" s="3" t="n">
        <v>8278689</v>
      </c>
      <c r="C40" s="3" t="inlineStr">
        <is>
          <t>CAIXA 09/25 CARTÃO VEXPENSES</t>
        </is>
      </c>
      <c r="D40" s="3" t="inlineStr">
        <is>
          <t>HELENO JOSÉ GOMES DA SILVA</t>
        </is>
      </c>
      <c r="E40" s="3" t="n">
        <v>40</v>
      </c>
      <c r="F40" s="3" t="inlineStr">
        <is>
          <t>Aprovado</t>
        </is>
      </c>
      <c r="G40" s="3" t="inlineStr">
        <is>
          <t>Saque VExpenses</t>
        </is>
      </c>
      <c r="H40" s="3" t="inlineStr">
        <is>
          <t>30/09/2025</t>
        </is>
      </c>
    </row>
    <row r="41">
      <c r="A41" s="3" t="inlineStr">
        <is>
          <t>62279753</t>
        </is>
      </c>
      <c r="B41" s="3" t="n">
        <v>7573940</v>
      </c>
      <c r="C41" s="3" t="inlineStr">
        <is>
          <t>CAIXA 06/2025 CARTÃO VEXPENSES</t>
        </is>
      </c>
      <c r="D41" s="3" t="inlineStr">
        <is>
          <t>BORRACHARIA O CASSACO</t>
        </is>
      </c>
      <c r="E41" s="3" t="n">
        <v>40</v>
      </c>
      <c r="F41" s="3" t="inlineStr">
        <is>
          <t>Aprovado</t>
        </is>
      </c>
      <c r="G41" s="3" t="inlineStr">
        <is>
          <t>Saque VExpenses</t>
        </is>
      </c>
      <c r="H41" s="3" t="inlineStr">
        <is>
          <t>26/05/2025</t>
        </is>
      </c>
    </row>
    <row r="42">
      <c r="A42" s="3" t="inlineStr">
        <is>
          <t>61573785</t>
        </is>
      </c>
      <c r="B42" s="3" t="n">
        <v>7573940</v>
      </c>
      <c r="C42" s="3" t="inlineStr">
        <is>
          <t>CAIXA 06/2025 CARTÃO VEXPENSES</t>
        </is>
      </c>
      <c r="D42" s="3" t="inlineStr">
        <is>
          <t>ELETRONICA SMD</t>
        </is>
      </c>
      <c r="E42" s="3" t="n">
        <v>37</v>
      </c>
      <c r="F42" s="3" t="inlineStr">
        <is>
          <t>Aprovado</t>
        </is>
      </c>
      <c r="G42" s="3" t="inlineStr">
        <is>
          <t>Saque VExpenses</t>
        </is>
      </c>
      <c r="H42" s="3" t="inlineStr">
        <is>
          <t>30/05/2025</t>
        </is>
      </c>
    </row>
    <row r="43">
      <c r="A43" s="3" t="inlineStr">
        <is>
          <t>62844306</t>
        </is>
      </c>
      <c r="B43" s="3" t="n">
        <v>7573940</v>
      </c>
      <c r="C43" s="3" t="inlineStr">
        <is>
          <t>CAIXA 06/2025 CARTÃO VEXPENSES</t>
        </is>
      </c>
      <c r="D43" s="3" t="inlineStr">
        <is>
          <t>PAULO MACAXEIRA</t>
        </is>
      </c>
      <c r="E43" s="3" t="n">
        <v>35</v>
      </c>
      <c r="F43" s="3" t="inlineStr">
        <is>
          <t>Aprovado</t>
        </is>
      </c>
      <c r="G43" s="3" t="inlineStr">
        <is>
          <t>Saque VExpenses</t>
        </is>
      </c>
      <c r="H43" s="3" t="inlineStr">
        <is>
          <t>17/06/2025</t>
        </is>
      </c>
    </row>
    <row r="44">
      <c r="A44" s="3" t="inlineStr">
        <is>
          <t>62845954</t>
        </is>
      </c>
      <c r="B44" s="3" t="n">
        <v>7573940</v>
      </c>
      <c r="C44" s="3" t="inlineStr">
        <is>
          <t>CAIXA 06/2025 CARTÃO VEXPENSES</t>
        </is>
      </c>
      <c r="D44" s="3" t="inlineStr">
        <is>
          <t>PAULO MACAXEIRA</t>
        </is>
      </c>
      <c r="E44" s="3" t="n">
        <v>35</v>
      </c>
      <c r="F44" s="3" t="inlineStr">
        <is>
          <t>Aprovado</t>
        </is>
      </c>
      <c r="G44" s="3" t="inlineStr">
        <is>
          <t>Saque VExpenses</t>
        </is>
      </c>
      <c r="H44" s="3" t="inlineStr">
        <is>
          <t>18/06/2025</t>
        </is>
      </c>
    </row>
    <row r="45">
      <c r="A45" s="3" t="inlineStr">
        <is>
          <t>62844020</t>
        </is>
      </c>
      <c r="B45" s="3" t="n">
        <v>7573940</v>
      </c>
      <c r="C45" s="3" t="inlineStr">
        <is>
          <t>CAIXA 06/2025 CARTÃO VEXPENSES</t>
        </is>
      </c>
      <c r="D45" s="3" t="inlineStr">
        <is>
          <t>CHURASCARIA O PATUENSE</t>
        </is>
      </c>
      <c r="E45" s="3" t="n">
        <v>35</v>
      </c>
      <c r="F45" s="3" t="inlineStr">
        <is>
          <t>Aprovado</t>
        </is>
      </c>
      <c r="G45" s="3" t="inlineStr">
        <is>
          <t>Saque VExpenses</t>
        </is>
      </c>
      <c r="H45" s="3" t="inlineStr">
        <is>
          <t>12/06/2025</t>
        </is>
      </c>
    </row>
    <row r="46">
      <c r="A46" s="3" t="inlineStr">
        <is>
          <t>62843895</t>
        </is>
      </c>
      <c r="B46" s="3" t="n">
        <v>7573940</v>
      </c>
      <c r="C46" s="3" t="inlineStr">
        <is>
          <t>CAIXA 06/2025 CARTÃO VEXPENSES</t>
        </is>
      </c>
      <c r="D46" s="3" t="inlineStr">
        <is>
          <t>CHURASCARIA O PATUENSE</t>
        </is>
      </c>
      <c r="E46" s="3" t="n">
        <v>35</v>
      </c>
      <c r="F46" s="3" t="inlineStr">
        <is>
          <t>Aprovado</t>
        </is>
      </c>
      <c r="G46" s="3" t="inlineStr">
        <is>
          <t>Saque VExpenses</t>
        </is>
      </c>
      <c r="H46" s="3" t="inlineStr">
        <is>
          <t>12/06/2025</t>
        </is>
      </c>
    </row>
    <row r="47">
      <c r="A47" s="3" t="inlineStr">
        <is>
          <t>62846831</t>
        </is>
      </c>
      <c r="B47" s="3" t="n">
        <v>7573940</v>
      </c>
      <c r="C47" s="3" t="inlineStr">
        <is>
          <t>CAIXA 06/2025 CARTÃO VEXPENSES</t>
        </is>
      </c>
      <c r="D47" s="3" t="inlineStr">
        <is>
          <t>PAULO MACAXEIRA</t>
        </is>
      </c>
      <c r="E47" s="3" t="n">
        <v>35</v>
      </c>
      <c r="F47" s="3" t="inlineStr">
        <is>
          <t>Aprovado</t>
        </is>
      </c>
      <c r="G47" s="3" t="inlineStr">
        <is>
          <t>Saque VExpenses</t>
        </is>
      </c>
      <c r="H47" s="3" t="inlineStr">
        <is>
          <t>19/06/2025</t>
        </is>
      </c>
    </row>
    <row r="48">
      <c r="A48" s="3" t="inlineStr">
        <is>
          <t>62846277</t>
        </is>
      </c>
      <c r="B48" s="3" t="n">
        <v>7573940</v>
      </c>
      <c r="C48" s="3" t="inlineStr">
        <is>
          <t>CAIXA 06/2025 CARTÃO VEXPENSES</t>
        </is>
      </c>
      <c r="D48" s="3" t="inlineStr">
        <is>
          <t>PAULO MACAXEIRA</t>
        </is>
      </c>
      <c r="E48" s="3" t="n">
        <v>35</v>
      </c>
      <c r="F48" s="3" t="inlineStr">
        <is>
          <t>Aprovado</t>
        </is>
      </c>
      <c r="G48" s="3" t="inlineStr">
        <is>
          <t>Saque VExpenses</t>
        </is>
      </c>
      <c r="H48" s="3" t="inlineStr">
        <is>
          <t>19/06/2025</t>
        </is>
      </c>
    </row>
    <row r="49">
      <c r="A49" s="3" t="inlineStr">
        <is>
          <t>62844211</t>
        </is>
      </c>
      <c r="B49" s="3" t="n">
        <v>7573940</v>
      </c>
      <c r="C49" s="3" t="inlineStr">
        <is>
          <t>CAIXA 06/2025 CARTÃO VEXPENSES</t>
        </is>
      </c>
      <c r="D49" s="3" t="inlineStr">
        <is>
          <t>PAULO MACAXEIRA</t>
        </is>
      </c>
      <c r="E49" s="3" t="n">
        <v>35</v>
      </c>
      <c r="F49" s="3" t="inlineStr">
        <is>
          <t>Aprovado</t>
        </is>
      </c>
      <c r="G49" s="3" t="inlineStr">
        <is>
          <t>Saque VExpenses</t>
        </is>
      </c>
      <c r="H49" s="3" t="inlineStr">
        <is>
          <t>17/06/2025</t>
        </is>
      </c>
    </row>
    <row r="50">
      <c r="A50" s="3" t="inlineStr">
        <is>
          <t>63042968</t>
        </is>
      </c>
      <c r="B50" s="3" t="n">
        <v>7573940</v>
      </c>
      <c r="C50" s="3" t="inlineStr">
        <is>
          <t>CAIXA 06/2025 CARTÃO VEXPENSES</t>
        </is>
      </c>
      <c r="D50" s="3" t="inlineStr">
        <is>
          <t>POSTO TREVO</t>
        </is>
      </c>
      <c r="E50" s="3" t="n">
        <v>35</v>
      </c>
      <c r="F50" s="3" t="inlineStr">
        <is>
          <t>Aprovado</t>
        </is>
      </c>
      <c r="G50" s="3" t="inlineStr">
        <is>
          <t>Saque VExpenses</t>
        </is>
      </c>
      <c r="H50" s="3" t="inlineStr">
        <is>
          <t>25/06/2025</t>
        </is>
      </c>
    </row>
    <row r="51">
      <c r="A51" s="3" t="inlineStr">
        <is>
          <t>62846168</t>
        </is>
      </c>
      <c r="B51" s="3" t="n">
        <v>7573940</v>
      </c>
      <c r="C51" s="3" t="inlineStr">
        <is>
          <t>CAIXA 06/2025 CARTÃO VEXPENSES</t>
        </is>
      </c>
      <c r="D51" s="3" t="inlineStr">
        <is>
          <t>PAULO MACAXEIRA</t>
        </is>
      </c>
      <c r="E51" s="3" t="n">
        <v>35</v>
      </c>
      <c r="F51" s="3" t="inlineStr">
        <is>
          <t>Aprovado</t>
        </is>
      </c>
      <c r="G51" s="3" t="inlineStr">
        <is>
          <t>Saque VExpenses</t>
        </is>
      </c>
      <c r="H51" s="3" t="inlineStr">
        <is>
          <t>18/06/2025</t>
        </is>
      </c>
    </row>
    <row r="52">
      <c r="A52" s="3" t="inlineStr">
        <is>
          <t>63043205</t>
        </is>
      </c>
      <c r="B52" s="3" t="n">
        <v>7573940</v>
      </c>
      <c r="C52" s="3" t="inlineStr">
        <is>
          <t>CAIXA 06/2025 CARTÃO VEXPENSES</t>
        </is>
      </c>
      <c r="D52" s="3" t="inlineStr">
        <is>
          <t>POSTO TREVO</t>
        </is>
      </c>
      <c r="E52" s="3" t="n">
        <v>35</v>
      </c>
      <c r="F52" s="3" t="inlineStr">
        <is>
          <t>Aprovado</t>
        </is>
      </c>
      <c r="G52" s="3" t="inlineStr">
        <is>
          <t>Saque VExpenses</t>
        </is>
      </c>
      <c r="H52" s="3" t="inlineStr">
        <is>
          <t>25/06/2025</t>
        </is>
      </c>
    </row>
    <row r="53">
      <c r="A53" s="3" t="inlineStr">
        <is>
          <t>62236283</t>
        </is>
      </c>
      <c r="B53" s="3" t="n">
        <v>7573940</v>
      </c>
      <c r="C53" s="3" t="inlineStr">
        <is>
          <t>CAIXA 06/2025 CARTÃO VEXPENSES</t>
        </is>
      </c>
      <c r="D53" s="3" t="inlineStr">
        <is>
          <t>GRAGÃO DOS ACESSORIOS</t>
        </is>
      </c>
      <c r="E53" s="3" t="n">
        <v>31.5</v>
      </c>
      <c r="F53" s="3" t="inlineStr">
        <is>
          <t>Aprovado</t>
        </is>
      </c>
      <c r="G53" s="3" t="inlineStr">
        <is>
          <t>Saque VExpenses</t>
        </is>
      </c>
      <c r="H53" s="3" t="inlineStr">
        <is>
          <t>07/06/2025</t>
        </is>
      </c>
    </row>
    <row r="54">
      <c r="A54" s="3" t="inlineStr">
        <is>
          <t>61573997</t>
        </is>
      </c>
      <c r="B54" s="3" t="n">
        <v>7573940</v>
      </c>
      <c r="C54" s="3" t="inlineStr">
        <is>
          <t>CAIXA 06/2025 CARTÃO VEXPENSES</t>
        </is>
      </c>
      <c r="D54" s="3" t="inlineStr">
        <is>
          <t>ABIG PNEUS E AUTOPECAS EIRELI</t>
        </is>
      </c>
      <c r="E54" s="3" t="n">
        <v>31</v>
      </c>
      <c r="F54" s="3" t="inlineStr">
        <is>
          <t>Aprovado</t>
        </is>
      </c>
      <c r="G54" s="3" t="inlineStr">
        <is>
          <t>Saque VExpenses</t>
        </is>
      </c>
      <c r="H54" s="3" t="inlineStr">
        <is>
          <t>02/06/2025</t>
        </is>
      </c>
    </row>
    <row r="55">
      <c r="A55" s="3" t="inlineStr">
        <is>
          <t>62236344</t>
        </is>
      </c>
      <c r="B55" s="3" t="n">
        <v>7573940</v>
      </c>
      <c r="C55" s="3" t="inlineStr">
        <is>
          <t>CAIXA 06/2025 CARTÃO VEXPENSES</t>
        </is>
      </c>
      <c r="D55" s="3" t="inlineStr">
        <is>
          <t>BORRACHARIA O ZEZÃO</t>
        </is>
      </c>
      <c r="E55" s="3" t="n">
        <v>30</v>
      </c>
      <c r="F55" s="3" t="inlineStr">
        <is>
          <t>Aprovado</t>
        </is>
      </c>
      <c r="G55" s="3" t="inlineStr">
        <is>
          <t>Saque VExpenses</t>
        </is>
      </c>
      <c r="H55" s="3" t="inlineStr">
        <is>
          <t>15/06/2025</t>
        </is>
      </c>
    </row>
    <row r="56">
      <c r="A56" s="3" t="inlineStr">
        <is>
          <t>62781044</t>
        </is>
      </c>
      <c r="B56" s="3" t="n">
        <v>7573940</v>
      </c>
      <c r="C56" s="3" t="inlineStr">
        <is>
          <t>CAIXA 06/2025 CARTÃO VEXPENSES</t>
        </is>
      </c>
      <c r="D56" s="3" t="inlineStr">
        <is>
          <t>MULTIPEÇAS</t>
        </is>
      </c>
      <c r="E56" s="3" t="n">
        <v>30</v>
      </c>
      <c r="F56" s="3" t="inlineStr">
        <is>
          <t>Aprovado</t>
        </is>
      </c>
      <c r="G56" s="3" t="inlineStr">
        <is>
          <t>Saque VExpenses</t>
        </is>
      </c>
      <c r="H56" s="3" t="inlineStr">
        <is>
          <t>18/06/2025</t>
        </is>
      </c>
    </row>
    <row r="57">
      <c r="A57" s="3" t="inlineStr">
        <is>
          <t>67076413</t>
        </is>
      </c>
      <c r="B57" s="3" t="n">
        <v>8278689</v>
      </c>
      <c r="C57" s="3" t="inlineStr">
        <is>
          <t>CAIXA 09/25 CARTÃO VEXPENSES</t>
        </is>
      </c>
      <c r="D57" s="3" t="inlineStr">
        <is>
          <t>DANIEL GOMES FELIPE</t>
        </is>
      </c>
      <c r="E57" s="3" t="n">
        <v>30</v>
      </c>
      <c r="F57" s="3" t="inlineStr">
        <is>
          <t>Aprovado</t>
        </is>
      </c>
      <c r="G57" s="3" t="inlineStr">
        <is>
          <t>Saque VExpenses</t>
        </is>
      </c>
      <c r="H57" s="3" t="inlineStr">
        <is>
          <t>05/09/2025</t>
        </is>
      </c>
    </row>
    <row r="58">
      <c r="A58" s="3" t="inlineStr">
        <is>
          <t>67074199</t>
        </is>
      </c>
      <c r="B58" s="3" t="n">
        <v>8278689</v>
      </c>
      <c r="C58" s="3" t="inlineStr">
        <is>
          <t>CAIXA 09/25 CARTÃO VEXPENSES</t>
        </is>
      </c>
      <c r="D58" s="3" t="inlineStr">
        <is>
          <t>CHICO PARAFUSOS</t>
        </is>
      </c>
      <c r="E58" s="3" t="n">
        <v>29.5</v>
      </c>
      <c r="F58" s="3" t="inlineStr">
        <is>
          <t>Aprovado</t>
        </is>
      </c>
      <c r="G58" s="3" t="inlineStr">
        <is>
          <t>Saque VExpenses</t>
        </is>
      </c>
      <c r="H58" s="3" t="inlineStr">
        <is>
          <t>12/08/2025</t>
        </is>
      </c>
    </row>
    <row r="59">
      <c r="A59" s="3" t="inlineStr">
        <is>
          <t>67900295</t>
        </is>
      </c>
      <c r="B59" s="3" t="n">
        <v>8278689</v>
      </c>
      <c r="C59" s="3" t="inlineStr">
        <is>
          <t>CAIXA 09/25 CARTÃO VEXPENSES</t>
        </is>
      </c>
      <c r="D59" s="3" t="inlineStr">
        <is>
          <t>CHICO PARAFUSOS</t>
        </is>
      </c>
      <c r="E59" s="3" t="n">
        <v>29.5</v>
      </c>
      <c r="F59" s="3" t="inlineStr">
        <is>
          <t>Aprovado</t>
        </is>
      </c>
      <c r="G59" s="3" t="inlineStr">
        <is>
          <t>Saque VExpenses</t>
        </is>
      </c>
      <c r="H59" s="3" t="inlineStr">
        <is>
          <t>12/09/2025</t>
        </is>
      </c>
    </row>
    <row r="60">
      <c r="A60" s="3" t="inlineStr">
        <is>
          <t>67082538</t>
        </is>
      </c>
      <c r="B60" s="3" t="n">
        <v>8278689</v>
      </c>
      <c r="C60" s="3" t="inlineStr">
        <is>
          <t>CAIXA 09/25 CARTÃO VEXPENSES</t>
        </is>
      </c>
      <c r="D60" s="3" t="inlineStr">
        <is>
          <t>SENDAS DISTRIBUIDORA S/A</t>
        </is>
      </c>
      <c r="E60" s="3" t="n">
        <v>28.5</v>
      </c>
      <c r="F60" s="3" t="inlineStr">
        <is>
          <t>Aprovado</t>
        </is>
      </c>
      <c r="G60" s="3" t="inlineStr">
        <is>
          <t>Saque VExpenses</t>
        </is>
      </c>
      <c r="H60" s="3" t="inlineStr">
        <is>
          <t>02/09/2025</t>
        </is>
      </c>
    </row>
    <row r="61">
      <c r="A61" s="3" t="inlineStr">
        <is>
          <t>67901351</t>
        </is>
      </c>
      <c r="B61" s="3" t="n">
        <v>8278689</v>
      </c>
      <c r="C61" s="3" t="inlineStr">
        <is>
          <t>CAIXA 09/25 CARTÃO VEXPENSES</t>
        </is>
      </c>
      <c r="D61" s="3" t="inlineStr">
        <is>
          <t>KAZUMA PNEUS</t>
        </is>
      </c>
      <c r="E61" s="3" t="n">
        <v>25</v>
      </c>
      <c r="F61" s="3" t="inlineStr">
        <is>
          <t>Aprovado</t>
        </is>
      </c>
      <c r="G61" s="3" t="inlineStr">
        <is>
          <t>Saque VExpenses</t>
        </is>
      </c>
      <c r="H61" s="3" t="inlineStr">
        <is>
          <t>15/09/2025</t>
        </is>
      </c>
    </row>
    <row r="62">
      <c r="A62" s="3" t="inlineStr">
        <is>
          <t>61870626</t>
        </is>
      </c>
      <c r="B62" s="3" t="n">
        <v>7573940</v>
      </c>
      <c r="C62" s="3" t="inlineStr">
        <is>
          <t>CAIXA 06/2025 CARTÃO VEXPENSES</t>
        </is>
      </c>
      <c r="D62" s="3" t="inlineStr">
        <is>
          <t>CASA DO ELETRICISTA COMERCIO</t>
        </is>
      </c>
      <c r="E62" s="3" t="n">
        <v>23.8</v>
      </c>
      <c r="F62" s="3" t="inlineStr">
        <is>
          <t>Aprovado</t>
        </is>
      </c>
      <c r="G62" s="3" t="inlineStr">
        <is>
          <t>Saque VExpenses</t>
        </is>
      </c>
      <c r="H62" s="3" t="inlineStr">
        <is>
          <t>04/06/2025</t>
        </is>
      </c>
    </row>
    <row r="63">
      <c r="A63" s="3" t="inlineStr">
        <is>
          <t>61870915</t>
        </is>
      </c>
      <c r="B63" s="3" t="n">
        <v>7573940</v>
      </c>
      <c r="C63" s="3" t="inlineStr">
        <is>
          <t>CAIXA 06/2025 CARTÃO VEXPENSES</t>
        </is>
      </c>
      <c r="D63" s="3" t="inlineStr">
        <is>
          <t>BORRACHARIA 24H</t>
        </is>
      </c>
      <c r="E63" s="3" t="n">
        <v>20</v>
      </c>
      <c r="F63" s="3" t="inlineStr">
        <is>
          <t>Aprovado</t>
        </is>
      </c>
      <c r="G63" s="3" t="inlineStr">
        <is>
          <t>Saque VExpenses</t>
        </is>
      </c>
      <c r="H63" s="3" t="inlineStr">
        <is>
          <t>05/06/2025</t>
        </is>
      </c>
    </row>
    <row r="64">
      <c r="A64" s="3" t="inlineStr">
        <is>
          <t>67900152</t>
        </is>
      </c>
      <c r="B64" s="3" t="n">
        <v>8278689</v>
      </c>
      <c r="C64" s="3" t="inlineStr">
        <is>
          <t>CAIXA 09/25 CARTÃO VEXPENSES</t>
        </is>
      </c>
      <c r="D64" s="3" t="inlineStr">
        <is>
          <t>BORRACHARIA BMA</t>
        </is>
      </c>
      <c r="E64" s="3" t="n">
        <v>20</v>
      </c>
      <c r="F64" s="3" t="inlineStr">
        <is>
          <t>Aprovado</t>
        </is>
      </c>
      <c r="G64" s="3" t="inlineStr">
        <is>
          <t>Saque VExpenses</t>
        </is>
      </c>
      <c r="H64" s="3" t="inlineStr">
        <is>
          <t>11/09/2025</t>
        </is>
      </c>
    </row>
    <row r="65">
      <c r="A65" s="3" t="inlineStr">
        <is>
          <t>67901429</t>
        </is>
      </c>
      <c r="B65" s="3" t="n">
        <v>8278689</v>
      </c>
      <c r="C65" s="3" t="inlineStr">
        <is>
          <t>CAIXA 09/25 CARTÃO VEXPENSES</t>
        </is>
      </c>
      <c r="D65" s="3" t="inlineStr">
        <is>
          <t>AGROPET</t>
        </is>
      </c>
      <c r="E65" s="3" t="n">
        <v>12</v>
      </c>
      <c r="F65" s="3" t="inlineStr">
        <is>
          <t>Aprovado</t>
        </is>
      </c>
      <c r="G65" s="3" t="inlineStr">
        <is>
          <t>Saque VExpenses</t>
        </is>
      </c>
      <c r="H65" s="3" t="inlineStr">
        <is>
          <t>16/09/2025</t>
        </is>
      </c>
    </row>
    <row r="66">
      <c r="A66" s="3" t="inlineStr">
        <is>
          <t>67900710</t>
        </is>
      </c>
      <c r="B66" s="3" t="n">
        <v>8278689</v>
      </c>
      <c r="C66" s="3" t="inlineStr">
        <is>
          <t>CAIXA 09/25 CARTÃO VEXPENSES</t>
        </is>
      </c>
      <c r="D66" s="3" t="inlineStr">
        <is>
          <t>COMERCIAL CARIO</t>
        </is>
      </c>
      <c r="E66" s="3" t="n">
        <v>7</v>
      </c>
      <c r="F66" s="3" t="inlineStr">
        <is>
          <t>Aprovado</t>
        </is>
      </c>
      <c r="G66" s="3" t="inlineStr">
        <is>
          <t>Saque VExpenses</t>
        </is>
      </c>
      <c r="H66" s="3" t="inlineStr">
        <is>
          <t>15/09/2025</t>
        </is>
      </c>
    </row>
    <row r="68">
      <c r="A68" s="4">
        <f>== SÓ NA AUTOMAÇÃO (não tem na referência) ===</f>
        <v/>
      </c>
    </row>
    <row r="69">
      <c r="A69" s="1" t="inlineStr">
        <is>
          <t>Expense ID</t>
        </is>
      </c>
      <c r="B69" s="1" t="inlineStr">
        <is>
          <t>Report ID</t>
        </is>
      </c>
      <c r="C69" s="1" t="inlineStr">
        <is>
          <t>Report Name</t>
        </is>
      </c>
      <c r="D69" s="1" t="inlineStr">
        <is>
          <t>Descrição</t>
        </is>
      </c>
      <c r="E69" s="1" t="inlineStr">
        <is>
          <t>Valor</t>
        </is>
      </c>
      <c r="F69" s="1" t="inlineStr">
        <is>
          <t>Status</t>
        </is>
      </c>
      <c r="G69" s="1" t="inlineStr">
        <is>
          <t>PMID</t>
        </is>
      </c>
      <c r="H69" s="1" t="inlineStr">
        <is>
          <t>Data</t>
        </is>
      </c>
    </row>
    <row r="71">
      <c r="A71" s="5">
        <f>== VALORES DIFERENTES (mesmo expense ID, valor diferente) ===</f>
        <v/>
      </c>
    </row>
    <row r="72">
      <c r="A72" s="1" t="inlineStr">
        <is>
          <t>Expense ID</t>
        </is>
      </c>
      <c r="B72" s="1" t="inlineStr">
        <is>
          <t>Report ID (Ref)</t>
        </is>
      </c>
      <c r="C72" s="1" t="inlineStr">
        <is>
          <t>Report ID (Ours)</t>
        </is>
      </c>
      <c r="D72" s="1" t="inlineStr">
        <is>
          <t>Descrição (Ref)</t>
        </is>
      </c>
      <c r="E72" s="1" t="inlineStr">
        <is>
          <t>Descrição (Ours)</t>
        </is>
      </c>
      <c r="F72" s="1" t="inlineStr">
        <is>
          <t>Valor Ref</t>
        </is>
      </c>
      <c r="G72" s="1" t="inlineStr">
        <is>
          <t>Valor Automação</t>
        </is>
      </c>
      <c r="H72" s="1" t="inlineStr">
        <is>
          <t>Diferença</t>
        </is>
      </c>
    </row>
    <row r="74">
      <c r="A74" s="6">
        <f>== TOTAIS ===</f>
        <v/>
      </c>
    </row>
    <row r="75">
      <c r="A75" t="inlineStr"/>
      <c r="B75" t="inlineStr"/>
      <c r="C75" t="inlineStr"/>
      <c r="D75" t="inlineStr"/>
      <c r="E75" t="inlineStr">
        <is>
          <t>Soma Só Ref</t>
        </is>
      </c>
      <c r="F75" t="inlineStr">
        <is>
          <t>Soma Só Automação</t>
        </is>
      </c>
      <c r="G75" t="inlineStr">
        <is>
          <t>Dif Valores</t>
        </is>
      </c>
      <c r="H75" t="inlineStr"/>
    </row>
    <row r="76">
      <c r="A76" t="inlineStr"/>
      <c r="B76" t="inlineStr"/>
      <c r="C76" t="inlineStr"/>
      <c r="D76" t="inlineStr"/>
      <c r="E76" t="n">
        <v>5742.61</v>
      </c>
      <c r="F76" t="n">
        <v>0</v>
      </c>
      <c r="G76" t="n">
        <v>0</v>
      </c>
      <c r="H7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35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2">
        <f>== SÓ NA REFERÊNCIA (não temos na automação) ===</f>
        <v/>
      </c>
    </row>
    <row r="2">
      <c r="A2" s="1" t="inlineStr">
        <is>
          <t>Expense ID</t>
        </is>
      </c>
      <c r="B2" s="1" t="inlineStr">
        <is>
          <t>Report ID</t>
        </is>
      </c>
      <c r="C2" s="1" t="inlineStr">
        <is>
          <t>Report Name</t>
        </is>
      </c>
      <c r="D2" s="1" t="inlineStr">
        <is>
          <t>Descrição</t>
        </is>
      </c>
      <c r="E2" s="1" t="inlineStr">
        <is>
          <t>Valor</t>
        </is>
      </c>
      <c r="F2" s="1" t="inlineStr">
        <is>
          <t>Status</t>
        </is>
      </c>
      <c r="G2" s="1" t="inlineStr">
        <is>
          <t>Forma Pgto</t>
        </is>
      </c>
      <c r="H2" s="1" t="inlineStr">
        <is>
          <t>Data</t>
        </is>
      </c>
    </row>
    <row r="3">
      <c r="A3" s="3" t="inlineStr">
        <is>
          <t>75085641</t>
        </is>
      </c>
      <c r="B3" s="3" t="n">
        <v>9424902</v>
      </c>
      <c r="C3" s="3" t="inlineStr">
        <is>
          <t>FATURA 01/2026</t>
        </is>
      </c>
      <c r="D3" s="3" t="inlineStr">
        <is>
          <t>CRISTAL</t>
        </is>
      </c>
      <c r="E3" s="3" t="n">
        <v>19.6</v>
      </c>
      <c r="F3" s="3" t="inlineStr">
        <is>
          <t>Aprovado</t>
        </is>
      </c>
      <c r="G3" s="3" t="inlineStr">
        <is>
          <t>Cartão VExpenses</t>
        </is>
      </c>
      <c r="H3" s="3" t="inlineStr">
        <is>
          <t>20/01/2026</t>
        </is>
      </c>
    </row>
    <row r="4">
      <c r="A4" s="3" t="inlineStr">
        <is>
          <t>75047514</t>
        </is>
      </c>
      <c r="B4" s="3" t="n">
        <v>9424902</v>
      </c>
      <c r="C4" s="3" t="inlineStr">
        <is>
          <t>FATURA 01/2026</t>
        </is>
      </c>
      <c r="D4" s="3" t="inlineStr">
        <is>
          <t>RETIRO</t>
        </is>
      </c>
      <c r="E4" s="3" t="n">
        <v>19.6</v>
      </c>
      <c r="F4" s="3" t="inlineStr">
        <is>
          <t>Aprovado</t>
        </is>
      </c>
      <c r="G4" s="3" t="inlineStr">
        <is>
          <t>Cartão VExpenses</t>
        </is>
      </c>
      <c r="H4" s="3" t="inlineStr">
        <is>
          <t>20/01/2026</t>
        </is>
      </c>
    </row>
    <row r="5">
      <c r="A5" s="3" t="inlineStr">
        <is>
          <t>75081290</t>
        </is>
      </c>
      <c r="B5" s="3" t="n">
        <v>9424902</v>
      </c>
      <c r="C5" s="3" t="inlineStr">
        <is>
          <t>FATURA 01/2026</t>
        </is>
      </c>
      <c r="D5" s="3" t="inlineStr">
        <is>
          <t>RETIRO</t>
        </is>
      </c>
      <c r="E5" s="3" t="n">
        <v>19.6</v>
      </c>
      <c r="F5" s="3" t="inlineStr">
        <is>
          <t>Aprovado</t>
        </is>
      </c>
      <c r="G5" s="3" t="inlineStr">
        <is>
          <t>Cartão VExpenses</t>
        </is>
      </c>
      <c r="H5" s="3" t="inlineStr">
        <is>
          <t>20/01/2026</t>
        </is>
      </c>
    </row>
    <row r="6">
      <c r="A6" s="3" t="inlineStr">
        <is>
          <t>75566818</t>
        </is>
      </c>
      <c r="B6" s="3" t="n">
        <v>9424902</v>
      </c>
      <c r="C6" s="3" t="inlineStr">
        <is>
          <t>FATURA 01/2026</t>
        </is>
      </c>
      <c r="D6" s="3" t="inlineStr">
        <is>
          <t>RETIRO</t>
        </is>
      </c>
      <c r="E6" s="3" t="n">
        <v>19.6</v>
      </c>
      <c r="F6" s="3" t="inlineStr">
        <is>
          <t>Aprovado</t>
        </is>
      </c>
      <c r="G6" s="3" t="inlineStr">
        <is>
          <t>Cartão VExpenses</t>
        </is>
      </c>
      <c r="H6" s="3" t="inlineStr">
        <is>
          <t>28/01/2026</t>
        </is>
      </c>
    </row>
    <row r="7">
      <c r="A7" s="3" t="inlineStr">
        <is>
          <t>75570675</t>
        </is>
      </c>
      <c r="B7" s="3" t="n">
        <v>9424902</v>
      </c>
      <c r="C7" s="3" t="inlineStr">
        <is>
          <t>FATURA 01/2026</t>
        </is>
      </c>
      <c r="D7" s="3" t="inlineStr">
        <is>
          <t>CRISTAL</t>
        </is>
      </c>
      <c r="E7" s="3" t="n">
        <v>19.6</v>
      </c>
      <c r="F7" s="3" t="inlineStr">
        <is>
          <t>Aprovado</t>
        </is>
      </c>
      <c r="G7" s="3" t="inlineStr">
        <is>
          <t>Cartão VExpenses</t>
        </is>
      </c>
      <c r="H7" s="3" t="inlineStr">
        <is>
          <t>28/01/2026</t>
        </is>
      </c>
    </row>
    <row r="8">
      <c r="A8" s="3" t="inlineStr">
        <is>
          <t>75522043</t>
        </is>
      </c>
      <c r="B8" s="3" t="n">
        <v>9424902</v>
      </c>
      <c r="C8" s="3" t="inlineStr">
        <is>
          <t>FATURA 01/2026</t>
        </is>
      </c>
      <c r="D8" s="3" t="inlineStr">
        <is>
          <t>CRISTAL</t>
        </is>
      </c>
      <c r="E8" s="3" t="n">
        <v>19.6</v>
      </c>
      <c r="F8" s="3" t="inlineStr">
        <is>
          <t>Aprovado</t>
        </is>
      </c>
      <c r="G8" s="3" t="inlineStr">
        <is>
          <t>Cartão VExpenses</t>
        </is>
      </c>
      <c r="H8" s="3" t="inlineStr">
        <is>
          <t>28/01/2026</t>
        </is>
      </c>
    </row>
    <row r="9">
      <c r="A9" s="3" t="inlineStr">
        <is>
          <t>75524863</t>
        </is>
      </c>
      <c r="B9" s="3" t="n">
        <v>9424902</v>
      </c>
      <c r="C9" s="3" t="inlineStr">
        <is>
          <t>FATURA 01/2026</t>
        </is>
      </c>
      <c r="D9" s="3" t="inlineStr">
        <is>
          <t>RETIRO</t>
        </is>
      </c>
      <c r="E9" s="3" t="n">
        <v>19.6</v>
      </c>
      <c r="F9" s="3" t="inlineStr">
        <is>
          <t>Aprovado</t>
        </is>
      </c>
      <c r="G9" s="3" t="inlineStr">
        <is>
          <t>Cartão VExpenses</t>
        </is>
      </c>
      <c r="H9" s="3" t="inlineStr">
        <is>
          <t>28/01/2026</t>
        </is>
      </c>
    </row>
    <row r="10">
      <c r="A10" s="3" t="inlineStr">
        <is>
          <t>75044204</t>
        </is>
      </c>
      <c r="B10" s="3" t="n">
        <v>9424902</v>
      </c>
      <c r="C10" s="3" t="inlineStr">
        <is>
          <t>FATURA 01/2026</t>
        </is>
      </c>
      <c r="D10" s="3" t="inlineStr">
        <is>
          <t>CRISTAL</t>
        </is>
      </c>
      <c r="E10" s="3" t="n">
        <v>19.6</v>
      </c>
      <c r="F10" s="3" t="inlineStr">
        <is>
          <t>Aprovado</t>
        </is>
      </c>
      <c r="G10" s="3" t="inlineStr">
        <is>
          <t>Cartão VExpenses</t>
        </is>
      </c>
      <c r="H10" s="3" t="inlineStr">
        <is>
          <t>20/01/2026</t>
        </is>
      </c>
    </row>
    <row r="12">
      <c r="A12" s="4">
        <f>== SÓ NA AUTOMAÇÃO (não tem na referência) ===</f>
        <v/>
      </c>
    </row>
    <row r="13">
      <c r="A13" s="1" t="inlineStr">
        <is>
          <t>Expense ID</t>
        </is>
      </c>
      <c r="B13" s="1" t="inlineStr">
        <is>
          <t>Report ID</t>
        </is>
      </c>
      <c r="C13" s="1" t="inlineStr">
        <is>
          <t>Report Name</t>
        </is>
      </c>
      <c r="D13" s="1" t="inlineStr">
        <is>
          <t>Descrição</t>
        </is>
      </c>
      <c r="E13" s="1" t="inlineStr">
        <is>
          <t>Valor</t>
        </is>
      </c>
      <c r="F13" s="1" t="inlineStr">
        <is>
          <t>Status</t>
        </is>
      </c>
      <c r="G13" s="1" t="inlineStr">
        <is>
          <t>PMID</t>
        </is>
      </c>
      <c r="H13" s="1" t="inlineStr">
        <is>
          <t>Data</t>
        </is>
      </c>
    </row>
    <row r="15">
      <c r="A15" s="5">
        <f>== VALORES DIFERENTES (mesmo expense ID, valor diferente) ===</f>
        <v/>
      </c>
    </row>
    <row r="16">
      <c r="A16" s="1" t="inlineStr">
        <is>
          <t>Expense ID</t>
        </is>
      </c>
      <c r="B16" s="1" t="inlineStr">
        <is>
          <t>Report ID (Ref)</t>
        </is>
      </c>
      <c r="C16" s="1" t="inlineStr">
        <is>
          <t>Report ID (Ours)</t>
        </is>
      </c>
      <c r="D16" s="1" t="inlineStr">
        <is>
          <t>Descrição (Ref)</t>
        </is>
      </c>
      <c r="E16" s="1" t="inlineStr">
        <is>
          <t>Descrição (Ours)</t>
        </is>
      </c>
      <c r="F16" s="1" t="inlineStr">
        <is>
          <t>Valor Ref</t>
        </is>
      </c>
      <c r="G16" s="1" t="inlineStr">
        <is>
          <t>Valor Automação</t>
        </is>
      </c>
      <c r="H16" s="1" t="inlineStr">
        <is>
          <t>Diferença</t>
        </is>
      </c>
    </row>
    <row r="18">
      <c r="A18" s="6">
        <f>== TOTAIS ===</f>
        <v/>
      </c>
    </row>
    <row r="19">
      <c r="A19" t="inlineStr"/>
      <c r="B19" t="inlineStr"/>
      <c r="C19" t="inlineStr"/>
      <c r="D19" t="inlineStr"/>
      <c r="E19" t="inlineStr">
        <is>
          <t>Soma Só Ref</t>
        </is>
      </c>
      <c r="F19" t="inlineStr">
        <is>
          <t>Soma Só Automação</t>
        </is>
      </c>
      <c r="G19" t="inlineStr">
        <is>
          <t>Dif Valores</t>
        </is>
      </c>
      <c r="H19" t="inlineStr"/>
    </row>
    <row r="20">
      <c r="A20" t="inlineStr"/>
      <c r="B20" t="inlineStr"/>
      <c r="C20" t="inlineStr"/>
      <c r="D20" t="inlineStr"/>
      <c r="E20" t="n">
        <v>156.8</v>
      </c>
      <c r="F20" t="n">
        <v>0</v>
      </c>
      <c r="G20" t="n">
        <v>0</v>
      </c>
      <c r="H2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35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2">
        <f>== SÓ NA REFERÊNCIA (não temos na automação) ===</f>
        <v/>
      </c>
    </row>
    <row r="2">
      <c r="A2" s="1" t="inlineStr">
        <is>
          <t>Expense ID</t>
        </is>
      </c>
      <c r="B2" s="1" t="inlineStr">
        <is>
          <t>Report ID</t>
        </is>
      </c>
      <c r="C2" s="1" t="inlineStr">
        <is>
          <t>Report Name</t>
        </is>
      </c>
      <c r="D2" s="1" t="inlineStr">
        <is>
          <t>Descrição</t>
        </is>
      </c>
      <c r="E2" s="1" t="inlineStr">
        <is>
          <t>Valor</t>
        </is>
      </c>
      <c r="F2" s="1" t="inlineStr">
        <is>
          <t>Status</t>
        </is>
      </c>
      <c r="G2" s="1" t="inlineStr">
        <is>
          <t>Forma Pgto</t>
        </is>
      </c>
      <c r="H2" s="1" t="inlineStr">
        <is>
          <t>Data</t>
        </is>
      </c>
    </row>
    <row r="3">
      <c r="A3" s="3" t="inlineStr">
        <is>
          <t>88404486</t>
        </is>
      </c>
      <c r="B3" s="3" t="n">
        <v>11254506</v>
      </c>
      <c r="C3" s="3" t="inlineStr">
        <is>
          <t>FATURA 0902026</t>
        </is>
      </c>
      <c r="D3" s="3" t="inlineStr">
        <is>
          <t>ESTACIONAMENTO PASSO FUNDO 2</t>
        </is>
      </c>
      <c r="E3" s="3" t="n">
        <v>585</v>
      </c>
      <c r="F3" s="3" t="inlineStr">
        <is>
          <t>Enviado</t>
        </is>
      </c>
      <c r="G3" s="3" t="inlineStr">
        <is>
          <t>Saque VExpenses</t>
        </is>
      </c>
      <c r="H3" s="3" t="inlineStr">
        <is>
          <t>10/08/2026</t>
        </is>
      </c>
    </row>
    <row r="4">
      <c r="A4" s="3" t="inlineStr">
        <is>
          <t>88405018</t>
        </is>
      </c>
      <c r="B4" s="3" t="n">
        <v>11254506</v>
      </c>
      <c r="C4" s="3" t="inlineStr">
        <is>
          <t>FATURA 0902026</t>
        </is>
      </c>
      <c r="D4" s="3" t="inlineStr">
        <is>
          <t>ESTACIONAMENTO PASSO FUNDO 3</t>
        </is>
      </c>
      <c r="E4" s="3" t="n">
        <v>390</v>
      </c>
      <c r="F4" s="3" t="inlineStr">
        <is>
          <t>Enviado</t>
        </is>
      </c>
      <c r="G4" s="3" t="inlineStr">
        <is>
          <t>Saque VExpenses</t>
        </is>
      </c>
      <c r="H4" s="3" t="inlineStr">
        <is>
          <t>10/08/2026</t>
        </is>
      </c>
    </row>
    <row r="5">
      <c r="A5" s="3" t="inlineStr">
        <is>
          <t>88406341</t>
        </is>
      </c>
      <c r="B5" s="3" t="n">
        <v>11254506</v>
      </c>
      <c r="C5" s="3" t="inlineStr">
        <is>
          <t>FATURA 0902026</t>
        </is>
      </c>
      <c r="D5" s="3" t="inlineStr">
        <is>
          <t>LAVANDERIA 2</t>
        </is>
      </c>
      <c r="E5" s="3" t="n">
        <v>380</v>
      </c>
      <c r="F5" s="3" t="inlineStr">
        <is>
          <t>Enviado</t>
        </is>
      </c>
      <c r="G5" s="3" t="inlineStr">
        <is>
          <t>Saque VExpenses</t>
        </is>
      </c>
      <c r="H5" s="3" t="inlineStr">
        <is>
          <t>10/08/2026</t>
        </is>
      </c>
    </row>
    <row r="6">
      <c r="A6" s="3" t="inlineStr">
        <is>
          <t>88405551</t>
        </is>
      </c>
      <c r="B6" s="3" t="n">
        <v>11254506</v>
      </c>
      <c r="C6" s="3" t="inlineStr">
        <is>
          <t>FATURA 0902026</t>
        </is>
      </c>
      <c r="D6" s="3" t="inlineStr">
        <is>
          <t>ESTACIONAMENTO PASSO FUNDO 4</t>
        </is>
      </c>
      <c r="E6" s="3" t="n">
        <v>375</v>
      </c>
      <c r="F6" s="3" t="inlineStr">
        <is>
          <t>Enviado</t>
        </is>
      </c>
      <c r="G6" s="3" t="inlineStr">
        <is>
          <t>Saque VExpenses</t>
        </is>
      </c>
      <c r="H6" s="3" t="inlineStr">
        <is>
          <t>10/08/2026</t>
        </is>
      </c>
    </row>
    <row r="7">
      <c r="A7" s="3" t="inlineStr">
        <is>
          <t>88404313</t>
        </is>
      </c>
      <c r="B7" s="3" t="n">
        <v>11254506</v>
      </c>
      <c r="C7" s="3" t="inlineStr">
        <is>
          <t>FATURA 0902026</t>
        </is>
      </c>
      <c r="D7" s="3" t="inlineStr">
        <is>
          <t>ESTACIONAMENTO PASSO FUNDO 1</t>
        </is>
      </c>
      <c r="E7" s="3" t="n">
        <v>375</v>
      </c>
      <c r="F7" s="3" t="inlineStr">
        <is>
          <t>Enviado</t>
        </is>
      </c>
      <c r="G7" s="3" t="inlineStr">
        <is>
          <t>Saque VExpenses</t>
        </is>
      </c>
      <c r="H7" s="3" t="inlineStr">
        <is>
          <t>10/08/2026</t>
        </is>
      </c>
    </row>
    <row r="8">
      <c r="A8" s="3" t="inlineStr">
        <is>
          <t>88403801</t>
        </is>
      </c>
      <c r="B8" s="3" t="n">
        <v>11254506</v>
      </c>
      <c r="C8" s="3" t="inlineStr">
        <is>
          <t>FATURA 0902026</t>
        </is>
      </c>
      <c r="D8" s="3" t="inlineStr">
        <is>
          <t>TROCA DE TELA CELULR TECNICO</t>
        </is>
      </c>
      <c r="E8" s="3" t="n">
        <v>260</v>
      </c>
      <c r="F8" s="3" t="inlineStr">
        <is>
          <t>Enviado</t>
        </is>
      </c>
      <c r="G8" s="3" t="inlineStr">
        <is>
          <t>Saque VExpenses</t>
        </is>
      </c>
      <c r="H8" s="3" t="inlineStr">
        <is>
          <t>10/08/2026</t>
        </is>
      </c>
    </row>
    <row r="9">
      <c r="A9" s="3" t="inlineStr">
        <is>
          <t>88405955</t>
        </is>
      </c>
      <c r="B9" s="3" t="n">
        <v>11254506</v>
      </c>
      <c r="C9" s="3" t="inlineStr">
        <is>
          <t>FATURA 0902026</t>
        </is>
      </c>
      <c r="D9" s="3" t="inlineStr">
        <is>
          <t>LAVANDERIA 1</t>
        </is>
      </c>
      <c r="E9" s="3" t="n">
        <v>240</v>
      </c>
      <c r="F9" s="3" t="inlineStr">
        <is>
          <t>Enviado</t>
        </is>
      </c>
      <c r="G9" s="3" t="inlineStr">
        <is>
          <t>Saque VExpenses</t>
        </is>
      </c>
      <c r="H9" s="3" t="inlineStr">
        <is>
          <t>10/08/2026</t>
        </is>
      </c>
    </row>
    <row r="10">
      <c r="A10" s="3" t="inlineStr">
        <is>
          <t>88403236</t>
        </is>
      </c>
      <c r="B10" s="3" t="n">
        <v>11254506</v>
      </c>
      <c r="C10" s="3" t="inlineStr">
        <is>
          <t>FATURA 0902026</t>
        </is>
      </c>
      <c r="D10" s="3" t="inlineStr">
        <is>
          <t>PEDAGIO APOIO PASSO FUNDO 3</t>
        </is>
      </c>
      <c r="E10" s="3" t="n">
        <v>125.4</v>
      </c>
      <c r="F10" s="3" t="inlineStr">
        <is>
          <t>Enviado</t>
        </is>
      </c>
      <c r="G10" s="3" t="inlineStr">
        <is>
          <t>Saque VExpenses</t>
        </is>
      </c>
      <c r="H10" s="3" t="inlineStr">
        <is>
          <t>10/08/2026</t>
        </is>
      </c>
    </row>
    <row r="11">
      <c r="A11" s="3" t="inlineStr">
        <is>
          <t>88402267</t>
        </is>
      </c>
      <c r="B11" s="3" t="n">
        <v>11254506</v>
      </c>
      <c r="C11" s="3" t="inlineStr">
        <is>
          <t>FATURA 0902026</t>
        </is>
      </c>
      <c r="D11" s="3" t="inlineStr">
        <is>
          <t>PEDAGIO APOIO PASSO FUNDO</t>
        </is>
      </c>
      <c r="E11" s="3" t="n">
        <v>112.2</v>
      </c>
      <c r="F11" s="3" t="inlineStr">
        <is>
          <t>Enviado</t>
        </is>
      </c>
      <c r="G11" s="3" t="inlineStr">
        <is>
          <t>Saque VExpenses</t>
        </is>
      </c>
      <c r="H11" s="3" t="inlineStr">
        <is>
          <t>10/08/2026</t>
        </is>
      </c>
    </row>
    <row r="12">
      <c r="A12" s="3" t="inlineStr">
        <is>
          <t>88402814</t>
        </is>
      </c>
      <c r="B12" s="3" t="n">
        <v>11254506</v>
      </c>
      <c r="C12" s="3" t="inlineStr">
        <is>
          <t>FATURA 0902026</t>
        </is>
      </c>
      <c r="D12" s="3" t="inlineStr">
        <is>
          <t>PEDAGIO APOIO PASSO FUNDO 2</t>
        </is>
      </c>
      <c r="E12" s="3" t="n">
        <v>92.40000000000001</v>
      </c>
      <c r="F12" s="3" t="inlineStr">
        <is>
          <t>Enviado</t>
        </is>
      </c>
      <c r="G12" s="3" t="inlineStr">
        <is>
          <t>Saque VExpenses</t>
        </is>
      </c>
      <c r="H12" s="3" t="inlineStr">
        <is>
          <t>10/08/2026</t>
        </is>
      </c>
    </row>
    <row r="13">
      <c r="A13" s="3" t="inlineStr">
        <is>
          <t>88626478</t>
        </is>
      </c>
      <c r="B13" s="3" t="n">
        <v>11254506</v>
      </c>
      <c r="C13" s="3" t="inlineStr">
        <is>
          <t>FATURA 0902026</t>
        </is>
      </c>
      <c r="D13" s="3" t="inlineStr">
        <is>
          <t>PEDAGIO APOIO PASSO FUNDO 6</t>
        </is>
      </c>
      <c r="E13" s="3" t="n">
        <v>52.8</v>
      </c>
      <c r="F13" s="3" t="inlineStr">
        <is>
          <t>Enviado</t>
        </is>
      </c>
      <c r="G13" s="3" t="inlineStr">
        <is>
          <t>Saque VExpenses</t>
        </is>
      </c>
      <c r="H13" s="3" t="inlineStr">
        <is>
          <t>13/08/2026</t>
        </is>
      </c>
    </row>
    <row r="14">
      <c r="A14" s="3" t="inlineStr">
        <is>
          <t>88626689</t>
        </is>
      </c>
      <c r="B14" s="3" t="n">
        <v>11254506</v>
      </c>
      <c r="C14" s="3" t="inlineStr">
        <is>
          <t>FATURA 0902026</t>
        </is>
      </c>
      <c r="D14" s="3" t="inlineStr">
        <is>
          <t>PEDAGIO APOIO PASSO FUNDO 7</t>
        </is>
      </c>
      <c r="E14" s="3" t="n">
        <v>52.8</v>
      </c>
      <c r="F14" s="3" t="inlineStr">
        <is>
          <t>Enviado</t>
        </is>
      </c>
      <c r="G14" s="3" t="inlineStr">
        <is>
          <t>Saque VExpenses</t>
        </is>
      </c>
      <c r="H14" s="3" t="inlineStr">
        <is>
          <t>13/08/2026</t>
        </is>
      </c>
    </row>
    <row r="15">
      <c r="A15" s="3" t="inlineStr">
        <is>
          <t>88625352</t>
        </is>
      </c>
      <c r="B15" s="3" t="n">
        <v>11254506</v>
      </c>
      <c r="C15" s="3" t="inlineStr">
        <is>
          <t>FATURA 0902026</t>
        </is>
      </c>
      <c r="D15" s="3" t="inlineStr">
        <is>
          <t>PEDAGIO APOIO PASSO FUNDO 5</t>
        </is>
      </c>
      <c r="E15" s="3" t="n">
        <v>52.8</v>
      </c>
      <c r="F15" s="3" t="inlineStr">
        <is>
          <t>Enviado</t>
        </is>
      </c>
      <c r="G15" s="3" t="inlineStr">
        <is>
          <t>Saque VExpenses</t>
        </is>
      </c>
      <c r="H15" s="3" t="inlineStr">
        <is>
          <t>13/08/2026</t>
        </is>
      </c>
    </row>
    <row r="17">
      <c r="A17" s="4">
        <f>== SÓ NA AUTOMAÇÃO (não tem na referência) ===</f>
        <v/>
      </c>
    </row>
    <row r="18">
      <c r="A18" s="1" t="inlineStr">
        <is>
          <t>Expense ID</t>
        </is>
      </c>
      <c r="B18" s="1" t="inlineStr">
        <is>
          <t>Report ID</t>
        </is>
      </c>
      <c r="C18" s="1" t="inlineStr">
        <is>
          <t>Report Name</t>
        </is>
      </c>
      <c r="D18" s="1" t="inlineStr">
        <is>
          <t>Descrição</t>
        </is>
      </c>
      <c r="E18" s="1" t="inlineStr">
        <is>
          <t>Valor</t>
        </is>
      </c>
      <c r="F18" s="1" t="inlineStr">
        <is>
          <t>Status</t>
        </is>
      </c>
      <c r="G18" s="1" t="inlineStr">
        <is>
          <t>PMID</t>
        </is>
      </c>
      <c r="H18" s="1" t="inlineStr">
        <is>
          <t>Data</t>
        </is>
      </c>
    </row>
    <row r="20">
      <c r="A20" s="5">
        <f>== VALORES DIFERENTES (mesmo expense ID, valor diferente) ===</f>
        <v/>
      </c>
    </row>
    <row r="21">
      <c r="A21" s="1" t="inlineStr">
        <is>
          <t>Expense ID</t>
        </is>
      </c>
      <c r="B21" s="1" t="inlineStr">
        <is>
          <t>Report ID (Ref)</t>
        </is>
      </c>
      <c r="C21" s="1" t="inlineStr">
        <is>
          <t>Report ID (Ours)</t>
        </is>
      </c>
      <c r="D21" s="1" t="inlineStr">
        <is>
          <t>Descrição (Ref)</t>
        </is>
      </c>
      <c r="E21" s="1" t="inlineStr">
        <is>
          <t>Descrição (Ours)</t>
        </is>
      </c>
      <c r="F21" s="1" t="inlineStr">
        <is>
          <t>Valor Ref</t>
        </is>
      </c>
      <c r="G21" s="1" t="inlineStr">
        <is>
          <t>Valor Automação</t>
        </is>
      </c>
      <c r="H21" s="1" t="inlineStr">
        <is>
          <t>Diferença</t>
        </is>
      </c>
    </row>
    <row r="23">
      <c r="A23" s="6">
        <f>== TOTAIS ===</f>
        <v/>
      </c>
    </row>
    <row r="24">
      <c r="A24" t="inlineStr"/>
      <c r="B24" t="inlineStr"/>
      <c r="C24" t="inlineStr"/>
      <c r="D24" t="inlineStr"/>
      <c r="E24" t="inlineStr">
        <is>
          <t>Soma Só Ref</t>
        </is>
      </c>
      <c r="F24" t="inlineStr">
        <is>
          <t>Soma Só Automação</t>
        </is>
      </c>
      <c r="G24" t="inlineStr">
        <is>
          <t>Dif Valores</t>
        </is>
      </c>
      <c r="H24" t="inlineStr"/>
    </row>
    <row r="25">
      <c r="A25" t="inlineStr"/>
      <c r="B25" t="inlineStr"/>
      <c r="C25" t="inlineStr"/>
      <c r="D25" t="inlineStr"/>
      <c r="E25" t="n">
        <v>3093.4</v>
      </c>
      <c r="F25" t="n">
        <v>0</v>
      </c>
      <c r="G25" t="n">
        <v>0</v>
      </c>
      <c r="H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35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2">
        <f>== SÓ NA REFERÊNCIA (não temos na automação) ===</f>
        <v/>
      </c>
    </row>
    <row r="2">
      <c r="A2" s="1" t="inlineStr">
        <is>
          <t>Expense ID</t>
        </is>
      </c>
      <c r="B2" s="1" t="inlineStr">
        <is>
          <t>Report ID</t>
        </is>
      </c>
      <c r="C2" s="1" t="inlineStr">
        <is>
          <t>Report Name</t>
        </is>
      </c>
      <c r="D2" s="1" t="inlineStr">
        <is>
          <t>Descrição</t>
        </is>
      </c>
      <c r="E2" s="1" t="inlineStr">
        <is>
          <t>Valor</t>
        </is>
      </c>
      <c r="F2" s="1" t="inlineStr">
        <is>
          <t>Status</t>
        </is>
      </c>
      <c r="G2" s="1" t="inlineStr">
        <is>
          <t>Forma Pgto</t>
        </is>
      </c>
      <c r="H2" s="1" t="inlineStr">
        <is>
          <t>Data</t>
        </is>
      </c>
    </row>
    <row r="4">
      <c r="A4" s="4">
        <f>== SÓ NA AUTOMAÇÃO (não tem na referência) ===</f>
        <v/>
      </c>
    </row>
    <row r="5">
      <c r="A5" s="1" t="inlineStr">
        <is>
          <t>Expense ID</t>
        </is>
      </c>
      <c r="B5" s="1" t="inlineStr">
        <is>
          <t>Report ID</t>
        </is>
      </c>
      <c r="C5" s="1" t="inlineStr">
        <is>
          <t>Report Name</t>
        </is>
      </c>
      <c r="D5" s="1" t="inlineStr">
        <is>
          <t>Descrição</t>
        </is>
      </c>
      <c r="E5" s="1" t="inlineStr">
        <is>
          <t>Valor</t>
        </is>
      </c>
      <c r="F5" s="1" t="inlineStr">
        <is>
          <t>Status</t>
        </is>
      </c>
      <c r="G5" s="1" t="inlineStr">
        <is>
          <t>PMID</t>
        </is>
      </c>
      <c r="H5" s="1" t="inlineStr">
        <is>
          <t>Data</t>
        </is>
      </c>
    </row>
    <row r="6">
      <c r="A6" s="7" t="inlineStr">
        <is>
          <t>86290215</t>
        </is>
      </c>
      <c r="B6" s="7" t="n">
        <v>10938078</v>
      </c>
      <c r="C6" s="7" t="inlineStr">
        <is>
          <t>REEMBOLSO - THIAGO LUIZ GREGO AGUIAR</t>
        </is>
      </c>
      <c r="D6" s="7" t="inlineStr">
        <is>
          <t>THIAGO LUIZ GREGO DE AGUIAR</t>
        </is>
      </c>
      <c r="E6" s="7" t="n">
        <v>952.78</v>
      </c>
      <c r="F6" s="7" t="inlineStr">
        <is>
          <t>ENVIADO</t>
        </is>
      </c>
      <c r="G6" s="7" t="inlineStr">
        <is>
          <t>668240</t>
        </is>
      </c>
      <c r="H6" s="7" t="inlineStr">
        <is>
          <t>2026-07-09 00:00:00</t>
        </is>
      </c>
    </row>
    <row r="7">
      <c r="A7" s="7" t="inlineStr">
        <is>
          <t>86365017</t>
        </is>
      </c>
      <c r="B7" s="7" t="n">
        <v>11266186</v>
      </c>
      <c r="C7" s="7" t="inlineStr">
        <is>
          <t>COROA FLORES | ELOI JOSE FIGUEIREDO NETO</t>
        </is>
      </c>
      <c r="D7" s="7" t="inlineStr">
        <is>
          <t>PETALAS DE ROSAS FLORICULTURA LTDA</t>
        </is>
      </c>
      <c r="E7" s="7" t="n">
        <v>650</v>
      </c>
      <c r="F7" s="7" t="inlineStr">
        <is>
          <t>ENVIADO</t>
        </is>
      </c>
      <c r="G7" s="7" t="inlineStr">
        <is>
          <t>668240</t>
        </is>
      </c>
      <c r="H7" s="7" t="inlineStr">
        <is>
          <t>2026-07-10 00:00:00</t>
        </is>
      </c>
    </row>
    <row r="8">
      <c r="A8" s="7" t="inlineStr">
        <is>
          <t>87014979</t>
        </is>
      </c>
      <c r="B8" s="7" t="n">
        <v>11266158</v>
      </c>
      <c r="C8" s="7" t="inlineStr">
        <is>
          <t>AUXILIO FUNERAL | ELOI JOSE FIGUEIREDO NETO</t>
        </is>
      </c>
      <c r="D8" s="7" t="inlineStr">
        <is>
          <t>ELOI JOSE DE FIGUEIREDO NETO</t>
        </is>
      </c>
      <c r="E8" s="7" t="n">
        <v>500</v>
      </c>
      <c r="F8" s="7" t="inlineStr">
        <is>
          <t>ENVIADO</t>
        </is>
      </c>
      <c r="G8" s="7" t="inlineStr">
        <is>
          <t>668240</t>
        </is>
      </c>
      <c r="H8" s="7" t="inlineStr">
        <is>
          <t>2026-07-21 00:00:00</t>
        </is>
      </c>
    </row>
    <row r="9">
      <c r="A9" s="7" t="inlineStr">
        <is>
          <t>86359402</t>
        </is>
      </c>
      <c r="B9" s="7" t="n">
        <v>11266081</v>
      </c>
      <c r="C9" s="7" t="inlineStr">
        <is>
          <t>REEMBOLSO | ANELISE MENDONÇA DE AVILA</t>
        </is>
      </c>
      <c r="D9" s="7" t="inlineStr">
        <is>
          <t>Anelise Mendonca de Avila</t>
        </is>
      </c>
      <c r="E9" s="7" t="n">
        <v>423</v>
      </c>
      <c r="F9" s="7" t="inlineStr">
        <is>
          <t>ENVIADO</t>
        </is>
      </c>
      <c r="G9" s="7" t="inlineStr">
        <is>
          <t>668240</t>
        </is>
      </c>
      <c r="H9" s="7" t="inlineStr">
        <is>
          <t>2026-07-10 00:00:00</t>
        </is>
      </c>
    </row>
    <row r="10">
      <c r="A10" s="7" t="inlineStr">
        <is>
          <t>86466539</t>
        </is>
      </c>
      <c r="B10" s="7" t="n">
        <v>11266107</v>
      </c>
      <c r="C10" s="7" t="inlineStr">
        <is>
          <t>REEMBOLSO | FELIPE MELLILO FONTAN</t>
        </is>
      </c>
      <c r="D10" s="7" t="inlineStr">
        <is>
          <t>FELIPE MELILLO FONTAN</t>
        </is>
      </c>
      <c r="E10" s="7" t="n">
        <v>112.4</v>
      </c>
      <c r="F10" s="7" t="inlineStr">
        <is>
          <t>ENVIADO</t>
        </is>
      </c>
      <c r="G10" s="7" t="inlineStr">
        <is>
          <t>668240</t>
        </is>
      </c>
      <c r="H10" s="7" t="inlineStr">
        <is>
          <t>2026-07-13 00:00:00</t>
        </is>
      </c>
    </row>
    <row r="12">
      <c r="A12" s="5">
        <f>== VALORES DIFERENTES (mesmo expense ID, valor diferente) ===</f>
        <v/>
      </c>
    </row>
    <row r="13">
      <c r="A13" s="1" t="inlineStr">
        <is>
          <t>Expense ID</t>
        </is>
      </c>
      <c r="B13" s="1" t="inlineStr">
        <is>
          <t>Report ID (Ref)</t>
        </is>
      </c>
      <c r="C13" s="1" t="inlineStr">
        <is>
          <t>Report ID (Ours)</t>
        </is>
      </c>
      <c r="D13" s="1" t="inlineStr">
        <is>
          <t>Descrição (Ref)</t>
        </is>
      </c>
      <c r="E13" s="1" t="inlineStr">
        <is>
          <t>Descrição (Ours)</t>
        </is>
      </c>
      <c r="F13" s="1" t="inlineStr">
        <is>
          <t>Valor Ref</t>
        </is>
      </c>
      <c r="G13" s="1" t="inlineStr">
        <is>
          <t>Valor Automação</t>
        </is>
      </c>
      <c r="H13" s="1" t="inlineStr">
        <is>
          <t>Diferença</t>
        </is>
      </c>
    </row>
    <row r="15">
      <c r="A15" s="6">
        <f>== TOTAIS ===</f>
        <v/>
      </c>
    </row>
    <row r="16">
      <c r="A16" t="inlineStr"/>
      <c r="B16" t="inlineStr"/>
      <c r="C16" t="inlineStr"/>
      <c r="D16" t="inlineStr"/>
      <c r="E16" t="inlineStr">
        <is>
          <t>Soma Só Ref</t>
        </is>
      </c>
      <c r="F16" t="inlineStr">
        <is>
          <t>Soma Só Automação</t>
        </is>
      </c>
      <c r="G16" t="inlineStr">
        <is>
          <t>Dif Valores</t>
        </is>
      </c>
      <c r="H16" t="inlineStr"/>
    </row>
    <row r="17">
      <c r="A17" t="inlineStr"/>
      <c r="B17" t="inlineStr"/>
      <c r="C17" t="inlineStr"/>
      <c r="D17" t="inlineStr"/>
      <c r="E17" t="n">
        <v>0</v>
      </c>
      <c r="F17" t="n">
        <v>2638.18</v>
      </c>
      <c r="G17" t="n">
        <v>0</v>
      </c>
      <c r="H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35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2">
        <f>== SÓ NA REFERÊNCIA (não temos na automação) ===</f>
        <v/>
      </c>
    </row>
    <row r="2">
      <c r="A2" s="1" t="inlineStr">
        <is>
          <t>Expense ID</t>
        </is>
      </c>
      <c r="B2" s="1" t="inlineStr">
        <is>
          <t>Report ID</t>
        </is>
      </c>
      <c r="C2" s="1" t="inlineStr">
        <is>
          <t>Report Name</t>
        </is>
      </c>
      <c r="D2" s="1" t="inlineStr">
        <is>
          <t>Descrição</t>
        </is>
      </c>
      <c r="E2" s="1" t="inlineStr">
        <is>
          <t>Valor</t>
        </is>
      </c>
      <c r="F2" s="1" t="inlineStr">
        <is>
          <t>Status</t>
        </is>
      </c>
      <c r="G2" s="1" t="inlineStr">
        <is>
          <t>Forma Pgto</t>
        </is>
      </c>
      <c r="H2" s="1" t="inlineStr">
        <is>
          <t>Data</t>
        </is>
      </c>
    </row>
    <row r="4">
      <c r="A4" s="4">
        <f>== SÓ NA AUTOMAÇÃO (não tem na referência) ===</f>
        <v/>
      </c>
    </row>
    <row r="5">
      <c r="A5" s="1" t="inlineStr">
        <is>
          <t>Expense ID</t>
        </is>
      </c>
      <c r="B5" s="1" t="inlineStr">
        <is>
          <t>Report ID</t>
        </is>
      </c>
      <c r="C5" s="1" t="inlineStr">
        <is>
          <t>Report Name</t>
        </is>
      </c>
      <c r="D5" s="1" t="inlineStr">
        <is>
          <t>Descrição</t>
        </is>
      </c>
      <c r="E5" s="1" t="inlineStr">
        <is>
          <t>Valor</t>
        </is>
      </c>
      <c r="F5" s="1" t="inlineStr">
        <is>
          <t>Status</t>
        </is>
      </c>
      <c r="G5" s="1" t="inlineStr">
        <is>
          <t>PMID</t>
        </is>
      </c>
      <c r="H5" s="1" t="inlineStr">
        <is>
          <t>Data</t>
        </is>
      </c>
    </row>
    <row r="7">
      <c r="A7" s="5">
        <f>== VALORES DIFERENTES (mesmo expense ID, valor diferente) ===</f>
        <v/>
      </c>
    </row>
    <row r="8">
      <c r="A8" s="1" t="inlineStr">
        <is>
          <t>Expense ID</t>
        </is>
      </c>
      <c r="B8" s="1" t="inlineStr">
        <is>
          <t>Report ID (Ref)</t>
        </is>
      </c>
      <c r="C8" s="1" t="inlineStr">
        <is>
          <t>Report ID (Ours)</t>
        </is>
      </c>
      <c r="D8" s="1" t="inlineStr">
        <is>
          <t>Descrição (Ref)</t>
        </is>
      </c>
      <c r="E8" s="1" t="inlineStr">
        <is>
          <t>Descrição (Ours)</t>
        </is>
      </c>
      <c r="F8" s="1" t="inlineStr">
        <is>
          <t>Valor Ref</t>
        </is>
      </c>
      <c r="G8" s="1" t="inlineStr">
        <is>
          <t>Valor Automação</t>
        </is>
      </c>
      <c r="H8" s="1" t="inlineStr">
        <is>
          <t>Diferença</t>
        </is>
      </c>
    </row>
    <row r="9">
      <c r="A9" s="8" t="inlineStr">
        <is>
          <t>88656642</t>
        </is>
      </c>
      <c r="B9" s="8" t="n">
        <v>11257835</v>
      </c>
      <c r="C9" s="8" t="n">
        <v>11257835</v>
      </c>
      <c r="D9" s="8" t="inlineStr">
        <is>
          <t>material vivo</t>
        </is>
      </c>
      <c r="E9" s="8" t="inlineStr">
        <is>
          <t>material vivo</t>
        </is>
      </c>
      <c r="F9" s="8" t="n">
        <v>185</v>
      </c>
      <c r="G9" s="8" t="n">
        <v>165</v>
      </c>
      <c r="H9" s="8" t="n">
        <v>20</v>
      </c>
    </row>
    <row r="11">
      <c r="A11" s="6">
        <f>== TOTAIS ===</f>
        <v/>
      </c>
    </row>
    <row r="12">
      <c r="A12" t="inlineStr"/>
      <c r="B12" t="inlineStr"/>
      <c r="C12" t="inlineStr"/>
      <c r="D12" t="inlineStr"/>
      <c r="E12" t="inlineStr">
        <is>
          <t>Soma Só Ref</t>
        </is>
      </c>
      <c r="F12" t="inlineStr">
        <is>
          <t>Soma Só Automação</t>
        </is>
      </c>
      <c r="G12" t="inlineStr">
        <is>
          <t>Dif Valores</t>
        </is>
      </c>
      <c r="H12" t="inlineStr"/>
    </row>
    <row r="13">
      <c r="A13" t="inlineStr"/>
      <c r="B13" t="inlineStr"/>
      <c r="C13" t="inlineStr"/>
      <c r="D13" t="inlineStr"/>
      <c r="E13" t="n">
        <v>0</v>
      </c>
      <c r="F13" t="n">
        <v>0</v>
      </c>
      <c r="G13" t="n">
        <v>20</v>
      </c>
      <c r="H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35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2">
        <f>== SÓ NA REFERÊNCIA (não temos na automação) ===</f>
        <v/>
      </c>
    </row>
    <row r="2">
      <c r="A2" s="1" t="inlineStr">
        <is>
          <t>Expense ID</t>
        </is>
      </c>
      <c r="B2" s="1" t="inlineStr">
        <is>
          <t>Report ID</t>
        </is>
      </c>
      <c r="C2" s="1" t="inlineStr">
        <is>
          <t>Report Name</t>
        </is>
      </c>
      <c r="D2" s="1" t="inlineStr">
        <is>
          <t>Descrição</t>
        </is>
      </c>
      <c r="E2" s="1" t="inlineStr">
        <is>
          <t>Valor</t>
        </is>
      </c>
      <c r="F2" s="1" t="inlineStr">
        <is>
          <t>Status</t>
        </is>
      </c>
      <c r="G2" s="1" t="inlineStr">
        <is>
          <t>Forma Pgto</t>
        </is>
      </c>
      <c r="H2" s="1" t="inlineStr">
        <is>
          <t>Data</t>
        </is>
      </c>
    </row>
    <row r="3">
      <c r="A3" s="3" t="inlineStr">
        <is>
          <t>87250361</t>
        </is>
      </c>
      <c r="B3" s="3" t="n">
        <v>11059577</v>
      </c>
      <c r="C3" s="3" t="inlineStr">
        <is>
          <t>Caixa 07/2026</t>
        </is>
      </c>
      <c r="D3" s="3" t="inlineStr">
        <is>
          <t>TOTI MAT CONSTRUCAO</t>
        </is>
      </c>
      <c r="E3" s="3" t="n">
        <v>135.3</v>
      </c>
      <c r="F3" s="3" t="inlineStr">
        <is>
          <t>Enviado</t>
        </is>
      </c>
      <c r="G3" s="3" t="inlineStr">
        <is>
          <t>Cartão VExpenses</t>
        </is>
      </c>
      <c r="H3" s="3" t="inlineStr">
        <is>
          <t>24/07/2026</t>
        </is>
      </c>
    </row>
    <row r="4">
      <c r="A4" s="3" t="inlineStr">
        <is>
          <t>87245727</t>
        </is>
      </c>
      <c r="B4" s="3" t="n">
        <v>11059577</v>
      </c>
      <c r="C4" s="3" t="inlineStr">
        <is>
          <t>Caixa 07/2026</t>
        </is>
      </c>
      <c r="D4" s="3" t="inlineStr">
        <is>
          <t>RESPLEDORES ACABAMENTO</t>
        </is>
      </c>
      <c r="E4" s="3" t="n">
        <v>69.40000000000001</v>
      </c>
      <c r="F4" s="3" t="inlineStr">
        <is>
          <t>Enviado</t>
        </is>
      </c>
      <c r="G4" s="3" t="inlineStr">
        <is>
          <t>Cartão VExpenses</t>
        </is>
      </c>
      <c r="H4" s="3" t="inlineStr">
        <is>
          <t>24/07/2026</t>
        </is>
      </c>
    </row>
    <row r="5">
      <c r="A5" s="3" t="inlineStr">
        <is>
          <t>86774824</t>
        </is>
      </c>
      <c r="B5" s="3" t="n">
        <v>11059577</v>
      </c>
      <c r="C5" s="3" t="inlineStr">
        <is>
          <t>Caixa 07/2026</t>
        </is>
      </c>
      <c r="D5" s="3" t="inlineStr">
        <is>
          <t>RESPLEDORES ACABAMENTO</t>
        </is>
      </c>
      <c r="E5" s="3" t="n">
        <v>59.8</v>
      </c>
      <c r="F5" s="3" t="inlineStr">
        <is>
          <t>Enviado</t>
        </is>
      </c>
      <c r="G5" s="3" t="inlineStr">
        <is>
          <t>Cartão VExpenses</t>
        </is>
      </c>
      <c r="H5" s="3" t="inlineStr">
        <is>
          <t>17/07/2026</t>
        </is>
      </c>
    </row>
    <row r="6">
      <c r="A6" s="3" t="inlineStr">
        <is>
          <t>87713203</t>
        </is>
      </c>
      <c r="B6" s="3" t="n">
        <v>11059577</v>
      </c>
      <c r="C6" s="3" t="inlineStr">
        <is>
          <t>Caixa 07/2026</t>
        </is>
      </c>
      <c r="D6" s="3" t="inlineStr">
        <is>
          <t>RESPLEDORES ACABAMENTO</t>
        </is>
      </c>
      <c r="E6" s="3" t="n">
        <v>45</v>
      </c>
      <c r="F6" s="3" t="inlineStr">
        <is>
          <t>Enviado</t>
        </is>
      </c>
      <c r="G6" s="3" t="inlineStr">
        <is>
          <t>Cartão VExpenses</t>
        </is>
      </c>
      <c r="H6" s="3" t="inlineStr">
        <is>
          <t>31/07/2026</t>
        </is>
      </c>
    </row>
    <row r="7">
      <c r="A7" s="3" t="inlineStr">
        <is>
          <t>86773610</t>
        </is>
      </c>
      <c r="B7" s="3" t="n">
        <v>11059577</v>
      </c>
      <c r="C7" s="3" t="inlineStr">
        <is>
          <t>Caixa 07/2026</t>
        </is>
      </c>
      <c r="D7" s="3" t="inlineStr">
        <is>
          <t>TOTI MAT CONSTRUCAO</t>
        </is>
      </c>
      <c r="E7" s="3" t="n">
        <v>38.7</v>
      </c>
      <c r="F7" s="3" t="inlineStr">
        <is>
          <t>Enviado</t>
        </is>
      </c>
      <c r="G7" s="3" t="inlineStr">
        <is>
          <t>Cartão VExpenses</t>
        </is>
      </c>
      <c r="H7" s="3" t="inlineStr">
        <is>
          <t>17/07/2026</t>
        </is>
      </c>
    </row>
    <row r="8">
      <c r="A8" s="3" t="inlineStr">
        <is>
          <t>87456769</t>
        </is>
      </c>
      <c r="B8" s="3" t="n">
        <v>11059577</v>
      </c>
      <c r="C8" s="3" t="inlineStr">
        <is>
          <t>Caixa 07/2026</t>
        </is>
      </c>
      <c r="D8" s="3" t="inlineStr">
        <is>
          <t>RESPLEDORES ACABAMENTO</t>
        </is>
      </c>
      <c r="E8" s="3" t="n">
        <v>18</v>
      </c>
      <c r="F8" s="3" t="inlineStr">
        <is>
          <t>Enviado</t>
        </is>
      </c>
      <c r="G8" s="3" t="inlineStr">
        <is>
          <t>Cartão VExpenses</t>
        </is>
      </c>
      <c r="H8" s="3" t="inlineStr">
        <is>
          <t>28/07/2026</t>
        </is>
      </c>
    </row>
    <row r="10">
      <c r="A10" s="4">
        <f>== SÓ NA AUTOMAÇÃO (não tem na referência) ===</f>
        <v/>
      </c>
    </row>
    <row r="11">
      <c r="A11" s="1" t="inlineStr">
        <is>
          <t>Expense ID</t>
        </is>
      </c>
      <c r="B11" s="1" t="inlineStr">
        <is>
          <t>Report ID</t>
        </is>
      </c>
      <c r="C11" s="1" t="inlineStr">
        <is>
          <t>Report Name</t>
        </is>
      </c>
      <c r="D11" s="1" t="inlineStr">
        <is>
          <t>Descrição</t>
        </is>
      </c>
      <c r="E11" s="1" t="inlineStr">
        <is>
          <t>Valor</t>
        </is>
      </c>
      <c r="F11" s="1" t="inlineStr">
        <is>
          <t>Status</t>
        </is>
      </c>
      <c r="G11" s="1" t="inlineStr">
        <is>
          <t>PMID</t>
        </is>
      </c>
      <c r="H11" s="1" t="inlineStr">
        <is>
          <t>Data</t>
        </is>
      </c>
    </row>
    <row r="13">
      <c r="A13" s="5">
        <f>== VALORES DIFERENTES (mesmo expense ID, valor diferente) ===</f>
        <v/>
      </c>
    </row>
    <row r="14">
      <c r="A14" s="1" t="inlineStr">
        <is>
          <t>Expense ID</t>
        </is>
      </c>
      <c r="B14" s="1" t="inlineStr">
        <is>
          <t>Report ID (Ref)</t>
        </is>
      </c>
      <c r="C14" s="1" t="inlineStr">
        <is>
          <t>Report ID (Ours)</t>
        </is>
      </c>
      <c r="D14" s="1" t="inlineStr">
        <is>
          <t>Descrição (Ref)</t>
        </is>
      </c>
      <c r="E14" s="1" t="inlineStr">
        <is>
          <t>Descrição (Ours)</t>
        </is>
      </c>
      <c r="F14" s="1" t="inlineStr">
        <is>
          <t>Valor Ref</t>
        </is>
      </c>
      <c r="G14" s="1" t="inlineStr">
        <is>
          <t>Valor Automação</t>
        </is>
      </c>
      <c r="H14" s="1" t="inlineStr">
        <is>
          <t>Diferença</t>
        </is>
      </c>
    </row>
    <row r="16">
      <c r="A16" s="6">
        <f>== TOTAIS ===</f>
        <v/>
      </c>
    </row>
    <row r="17">
      <c r="A17" t="inlineStr"/>
      <c r="B17" t="inlineStr"/>
      <c r="C17" t="inlineStr"/>
      <c r="D17" t="inlineStr"/>
      <c r="E17" t="inlineStr">
        <is>
          <t>Soma Só Ref</t>
        </is>
      </c>
      <c r="F17" t="inlineStr">
        <is>
          <t>Soma Só Automação</t>
        </is>
      </c>
      <c r="G17" t="inlineStr">
        <is>
          <t>Dif Valores</t>
        </is>
      </c>
      <c r="H17" t="inlineStr"/>
    </row>
    <row r="18">
      <c r="A18" t="inlineStr"/>
      <c r="B18" t="inlineStr"/>
      <c r="C18" t="inlineStr"/>
      <c r="D18" t="inlineStr"/>
      <c r="E18" t="n">
        <v>366.2</v>
      </c>
      <c r="F18" t="n">
        <v>0</v>
      </c>
      <c r="G18" t="n">
        <v>0</v>
      </c>
      <c r="H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35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2">
        <f>== SÓ NA REFERÊNCIA (não temos na automação) ===</f>
        <v/>
      </c>
    </row>
    <row r="2">
      <c r="A2" s="1" t="inlineStr">
        <is>
          <t>Expense ID</t>
        </is>
      </c>
      <c r="B2" s="1" t="inlineStr">
        <is>
          <t>Report ID</t>
        </is>
      </c>
      <c r="C2" s="1" t="inlineStr">
        <is>
          <t>Report Name</t>
        </is>
      </c>
      <c r="D2" s="1" t="inlineStr">
        <is>
          <t>Descrição</t>
        </is>
      </c>
      <c r="E2" s="1" t="inlineStr">
        <is>
          <t>Valor</t>
        </is>
      </c>
      <c r="F2" s="1" t="inlineStr">
        <is>
          <t>Status</t>
        </is>
      </c>
      <c r="G2" s="1" t="inlineStr">
        <is>
          <t>Forma Pgto</t>
        </is>
      </c>
      <c r="H2" s="1" t="inlineStr">
        <is>
          <t>Data</t>
        </is>
      </c>
    </row>
    <row r="3">
      <c r="A3" s="3" t="inlineStr">
        <is>
          <t>79179362</t>
        </is>
      </c>
      <c r="B3" s="3" t="n">
        <v>10581527</v>
      </c>
      <c r="C3" s="3" t="inlineStr">
        <is>
          <t>VEXPENSES FATURA 03/2026</t>
        </is>
      </c>
      <c r="D3" s="3" t="inlineStr">
        <is>
          <t>MILIUM LOJA 77</t>
        </is>
      </c>
      <c r="E3" s="3" t="n">
        <v>31.8</v>
      </c>
      <c r="F3" s="3" t="inlineStr">
        <is>
          <t>Aprovado</t>
        </is>
      </c>
      <c r="G3" s="3" t="inlineStr">
        <is>
          <t>Cartão VExpenses</t>
        </is>
      </c>
      <c r="H3" s="3" t="inlineStr">
        <is>
          <t>26/03/2026</t>
        </is>
      </c>
    </row>
    <row r="5">
      <c r="A5" s="4">
        <f>== SÓ NA AUTOMAÇÃO (não tem na referência) ===</f>
        <v/>
      </c>
    </row>
    <row r="6">
      <c r="A6" s="1" t="inlineStr">
        <is>
          <t>Expense ID</t>
        </is>
      </c>
      <c r="B6" s="1" t="inlineStr">
        <is>
          <t>Report ID</t>
        </is>
      </c>
      <c r="C6" s="1" t="inlineStr">
        <is>
          <t>Report Name</t>
        </is>
      </c>
      <c r="D6" s="1" t="inlineStr">
        <is>
          <t>Descrição</t>
        </is>
      </c>
      <c r="E6" s="1" t="inlineStr">
        <is>
          <t>Valor</t>
        </is>
      </c>
      <c r="F6" s="1" t="inlineStr">
        <is>
          <t>Status</t>
        </is>
      </c>
      <c r="G6" s="1" t="inlineStr">
        <is>
          <t>PMID</t>
        </is>
      </c>
      <c r="H6" s="1" t="inlineStr">
        <is>
          <t>Data</t>
        </is>
      </c>
    </row>
    <row r="8">
      <c r="A8" s="5">
        <f>== VALORES DIFERENTES (mesmo expense ID, valor diferente) ===</f>
        <v/>
      </c>
    </row>
    <row r="9">
      <c r="A9" s="1" t="inlineStr">
        <is>
          <t>Expense ID</t>
        </is>
      </c>
      <c r="B9" s="1" t="inlineStr">
        <is>
          <t>Report ID (Ref)</t>
        </is>
      </c>
      <c r="C9" s="1" t="inlineStr">
        <is>
          <t>Report ID (Ours)</t>
        </is>
      </c>
      <c r="D9" s="1" t="inlineStr">
        <is>
          <t>Descrição (Ref)</t>
        </is>
      </c>
      <c r="E9" s="1" t="inlineStr">
        <is>
          <t>Descrição (Ours)</t>
        </is>
      </c>
      <c r="F9" s="1" t="inlineStr">
        <is>
          <t>Valor Ref</t>
        </is>
      </c>
      <c r="G9" s="1" t="inlineStr">
        <is>
          <t>Valor Automação</t>
        </is>
      </c>
      <c r="H9" s="1" t="inlineStr">
        <is>
          <t>Diferença</t>
        </is>
      </c>
    </row>
    <row r="11">
      <c r="A11" s="6">
        <f>== TOTAIS ===</f>
        <v/>
      </c>
    </row>
    <row r="12">
      <c r="A12" t="inlineStr"/>
      <c r="B12" t="inlineStr"/>
      <c r="C12" t="inlineStr"/>
      <c r="D12" t="inlineStr"/>
      <c r="E12" t="inlineStr">
        <is>
          <t>Soma Só Ref</t>
        </is>
      </c>
      <c r="F12" t="inlineStr">
        <is>
          <t>Soma Só Automação</t>
        </is>
      </c>
      <c r="G12" t="inlineStr">
        <is>
          <t>Dif Valores</t>
        </is>
      </c>
      <c r="H12" t="inlineStr"/>
    </row>
    <row r="13">
      <c r="A13" t="inlineStr"/>
      <c r="B13" t="inlineStr"/>
      <c r="C13" t="inlineStr"/>
      <c r="D13" t="inlineStr"/>
      <c r="E13" t="n">
        <v>31.8</v>
      </c>
      <c r="F13" t="n">
        <v>0</v>
      </c>
      <c r="G13" t="n">
        <v>0</v>
      </c>
      <c r="H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35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2">
        <f>== SÓ NA REFERÊNCIA (não temos na automação) ===</f>
        <v/>
      </c>
    </row>
    <row r="2">
      <c r="A2" s="1" t="inlineStr">
        <is>
          <t>Expense ID</t>
        </is>
      </c>
      <c r="B2" s="1" t="inlineStr">
        <is>
          <t>Report ID</t>
        </is>
      </c>
      <c r="C2" s="1" t="inlineStr">
        <is>
          <t>Report Name</t>
        </is>
      </c>
      <c r="D2" s="1" t="inlineStr">
        <is>
          <t>Descrição</t>
        </is>
      </c>
      <c r="E2" s="1" t="inlineStr">
        <is>
          <t>Valor</t>
        </is>
      </c>
      <c r="F2" s="1" t="inlineStr">
        <is>
          <t>Status</t>
        </is>
      </c>
      <c r="G2" s="1" t="inlineStr">
        <is>
          <t>Forma Pgto</t>
        </is>
      </c>
      <c r="H2" s="1" t="inlineStr">
        <is>
          <t>Data</t>
        </is>
      </c>
    </row>
    <row r="3">
      <c r="A3" s="3" t="inlineStr">
        <is>
          <t>66188141</t>
        </is>
      </c>
      <c r="B3" s="3" t="n">
        <v>8116392</v>
      </c>
      <c r="C3" s="3" t="inlineStr">
        <is>
          <t>CAIXA 08/2025 - COMPRAS COM O CARTÃO</t>
        </is>
      </c>
      <c r="D3" s="3" t="inlineStr">
        <is>
          <t>NACIONAL PROTECAO</t>
        </is>
      </c>
      <c r="E3" s="3" t="n">
        <v>57</v>
      </c>
      <c r="F3" s="3" t="inlineStr">
        <is>
          <t>Aprovado</t>
        </is>
      </c>
      <c r="G3" s="3" t="inlineStr">
        <is>
          <t>Cartão VExpenses</t>
        </is>
      </c>
      <c r="H3" s="3" t="inlineStr">
        <is>
          <t>22/08/2025</t>
        </is>
      </c>
    </row>
    <row r="4">
      <c r="A4" s="3" t="inlineStr">
        <is>
          <t>65038147</t>
        </is>
      </c>
      <c r="B4" s="3" t="n">
        <v>8116392</v>
      </c>
      <c r="C4" s="3" t="inlineStr">
        <is>
          <t>CAIXA 08/2025 - COMPRAS COM O CARTÃO</t>
        </is>
      </c>
      <c r="D4" s="3" t="inlineStr">
        <is>
          <t>FERRAGENS BRASIL ATACA</t>
        </is>
      </c>
      <c r="E4" s="3" t="n">
        <v>50.55</v>
      </c>
      <c r="F4" s="3" t="inlineStr">
        <is>
          <t>Aprovado</t>
        </is>
      </c>
      <c r="G4" s="3" t="inlineStr">
        <is>
          <t>Cartão VExpenses</t>
        </is>
      </c>
      <c r="H4" s="3" t="inlineStr">
        <is>
          <t>04/08/2025</t>
        </is>
      </c>
    </row>
    <row r="5">
      <c r="A5" s="3" t="inlineStr">
        <is>
          <t>66189872</t>
        </is>
      </c>
      <c r="B5" s="3" t="n">
        <v>8116392</v>
      </c>
      <c r="C5" s="3" t="inlineStr">
        <is>
          <t>CAIXA 08/2025 - COMPRAS COM O CARTÃO</t>
        </is>
      </c>
      <c r="D5" s="3" t="inlineStr">
        <is>
          <t>CASA VITORIA</t>
        </is>
      </c>
      <c r="E5" s="3" t="n">
        <v>35</v>
      </c>
      <c r="F5" s="3" t="inlineStr">
        <is>
          <t>Aprovado</t>
        </is>
      </c>
      <c r="G5" s="3" t="inlineStr">
        <is>
          <t>Cartão VExpenses</t>
        </is>
      </c>
      <c r="H5" s="3" t="inlineStr">
        <is>
          <t>22/08/2025</t>
        </is>
      </c>
    </row>
    <row r="6">
      <c r="A6" s="3" t="inlineStr">
        <is>
          <t>65678338</t>
        </is>
      </c>
      <c r="B6" s="3" t="n">
        <v>8116392</v>
      </c>
      <c r="C6" s="3" t="inlineStr">
        <is>
          <t>CAIXA 08/2025 - COMPRAS COM O CARTÃO</t>
        </is>
      </c>
      <c r="D6" s="3" t="inlineStr">
        <is>
          <t>ARTE TINTAS</t>
        </is>
      </c>
      <c r="E6" s="3" t="n">
        <v>9</v>
      </c>
      <c r="F6" s="3" t="inlineStr">
        <is>
          <t>Aprovado</t>
        </is>
      </c>
      <c r="G6" s="3" t="inlineStr">
        <is>
          <t>Cartão VExpenses</t>
        </is>
      </c>
      <c r="H6" s="3" t="inlineStr">
        <is>
          <t>14/08/2025</t>
        </is>
      </c>
    </row>
    <row r="8">
      <c r="A8" s="4">
        <f>== SÓ NA AUTOMAÇÃO (não tem na referência) ===</f>
        <v/>
      </c>
    </row>
    <row r="9">
      <c r="A9" s="1" t="inlineStr">
        <is>
          <t>Expense ID</t>
        </is>
      </c>
      <c r="B9" s="1" t="inlineStr">
        <is>
          <t>Report ID</t>
        </is>
      </c>
      <c r="C9" s="1" t="inlineStr">
        <is>
          <t>Report Name</t>
        </is>
      </c>
      <c r="D9" s="1" t="inlineStr">
        <is>
          <t>Descrição</t>
        </is>
      </c>
      <c r="E9" s="1" t="inlineStr">
        <is>
          <t>Valor</t>
        </is>
      </c>
      <c r="F9" s="1" t="inlineStr">
        <is>
          <t>Status</t>
        </is>
      </c>
      <c r="G9" s="1" t="inlineStr">
        <is>
          <t>PMID</t>
        </is>
      </c>
      <c r="H9" s="1" t="inlineStr">
        <is>
          <t>Data</t>
        </is>
      </c>
    </row>
    <row r="11">
      <c r="A11" s="5">
        <f>== VALORES DIFERENTES (mesmo expense ID, valor diferente) ===</f>
        <v/>
      </c>
    </row>
    <row r="12">
      <c r="A12" s="1" t="inlineStr">
        <is>
          <t>Expense ID</t>
        </is>
      </c>
      <c r="B12" s="1" t="inlineStr">
        <is>
          <t>Report ID (Ref)</t>
        </is>
      </c>
      <c r="C12" s="1" t="inlineStr">
        <is>
          <t>Report ID (Ours)</t>
        </is>
      </c>
      <c r="D12" s="1" t="inlineStr">
        <is>
          <t>Descrição (Ref)</t>
        </is>
      </c>
      <c r="E12" s="1" t="inlineStr">
        <is>
          <t>Descrição (Ours)</t>
        </is>
      </c>
      <c r="F12" s="1" t="inlineStr">
        <is>
          <t>Valor Ref</t>
        </is>
      </c>
      <c r="G12" s="1" t="inlineStr">
        <is>
          <t>Valor Automação</t>
        </is>
      </c>
      <c r="H12" s="1" t="inlineStr">
        <is>
          <t>Diferença</t>
        </is>
      </c>
    </row>
    <row r="14">
      <c r="A14" s="6">
        <f>== TOTAIS ===</f>
        <v/>
      </c>
    </row>
    <row r="15">
      <c r="A15" t="inlineStr"/>
      <c r="B15" t="inlineStr"/>
      <c r="C15" t="inlineStr"/>
      <c r="D15" t="inlineStr"/>
      <c r="E15" t="inlineStr">
        <is>
          <t>Soma Só Ref</t>
        </is>
      </c>
      <c r="F15" t="inlineStr">
        <is>
          <t>Soma Só Automação</t>
        </is>
      </c>
      <c r="G15" t="inlineStr">
        <is>
          <t>Dif Valores</t>
        </is>
      </c>
      <c r="H15" t="inlineStr"/>
    </row>
    <row r="16">
      <c r="A16" t="inlineStr"/>
      <c r="B16" t="inlineStr"/>
      <c r="C16" t="inlineStr"/>
      <c r="D16" t="inlineStr"/>
      <c r="E16" t="n">
        <v>151.55</v>
      </c>
      <c r="F16" t="n">
        <v>0</v>
      </c>
      <c r="G16" t="n">
        <v>0</v>
      </c>
      <c r="H1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35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2">
        <f>== SÓ NA REFERÊNCIA (não temos na automação) ===</f>
        <v/>
      </c>
    </row>
    <row r="2">
      <c r="A2" s="1" t="inlineStr">
        <is>
          <t>Expense ID</t>
        </is>
      </c>
      <c r="B2" s="1" t="inlineStr">
        <is>
          <t>Report ID</t>
        </is>
      </c>
      <c r="C2" s="1" t="inlineStr">
        <is>
          <t>Report Name</t>
        </is>
      </c>
      <c r="D2" s="1" t="inlineStr">
        <is>
          <t>Descrição</t>
        </is>
      </c>
      <c r="E2" s="1" t="inlineStr">
        <is>
          <t>Valor</t>
        </is>
      </c>
      <c r="F2" s="1" t="inlineStr">
        <is>
          <t>Status</t>
        </is>
      </c>
      <c r="G2" s="1" t="inlineStr">
        <is>
          <t>Forma Pgto</t>
        </is>
      </c>
      <c r="H2" s="1" t="inlineStr">
        <is>
          <t>Data</t>
        </is>
      </c>
    </row>
    <row r="3">
      <c r="A3" s="3" t="inlineStr">
        <is>
          <t>62851034</t>
        </is>
      </c>
      <c r="B3" s="3" t="n">
        <v>7802955</v>
      </c>
      <c r="C3" s="3" t="inlineStr">
        <is>
          <t>Cartão Vexpenses (CAIXA 06/2025)</t>
        </is>
      </c>
      <c r="D3" s="3" t="inlineStr">
        <is>
          <t>VIVIAN FESTAS</t>
        </is>
      </c>
      <c r="E3" s="3" t="n">
        <v>378.78</v>
      </c>
      <c r="F3" s="3" t="inlineStr">
        <is>
          <t>Aprovado</t>
        </is>
      </c>
      <c r="G3" s="3" t="inlineStr">
        <is>
          <t>Cartão VExpenses</t>
        </is>
      </c>
      <c r="H3" s="3" t="inlineStr">
        <is>
          <t>26/06/2025</t>
        </is>
      </c>
    </row>
    <row r="4">
      <c r="A4" s="3" t="inlineStr">
        <is>
          <t>62791417</t>
        </is>
      </c>
      <c r="B4" s="3" t="n">
        <v>7802955</v>
      </c>
      <c r="C4" s="3" t="inlineStr">
        <is>
          <t>Cartão Vexpenses (CAIXA 06/2025)</t>
        </is>
      </c>
      <c r="D4" s="3" t="inlineStr">
        <is>
          <t>VIVIAN FESTAS</t>
        </is>
      </c>
      <c r="E4" s="3" t="n">
        <v>131.71</v>
      </c>
      <c r="F4" s="3" t="inlineStr">
        <is>
          <t>Aprovado</t>
        </is>
      </c>
      <c r="G4" s="3" t="inlineStr">
        <is>
          <t>Cartão VExpenses</t>
        </is>
      </c>
      <c r="H4" s="3" t="inlineStr">
        <is>
          <t>25/06/2025</t>
        </is>
      </c>
    </row>
    <row r="5">
      <c r="A5" s="3" t="inlineStr">
        <is>
          <t>62881864</t>
        </is>
      </c>
      <c r="B5" s="3" t="n">
        <v>7802955</v>
      </c>
      <c r="C5" s="3" t="inlineStr">
        <is>
          <t>Cartão Vexpenses (CAIXA 06/2025)</t>
        </is>
      </c>
      <c r="D5" s="3" t="inlineStr">
        <is>
          <t>DOM ATACADISTA - CAXIA</t>
        </is>
      </c>
      <c r="E5" s="3" t="n">
        <v>99.87</v>
      </c>
      <c r="F5" s="3" t="inlineStr">
        <is>
          <t>Aprovado</t>
        </is>
      </c>
      <c r="G5" s="3" t="inlineStr">
        <is>
          <t>Cartão VExpenses</t>
        </is>
      </c>
      <c r="H5" s="3" t="inlineStr">
        <is>
          <t>27/06/2025</t>
        </is>
      </c>
    </row>
    <row r="6">
      <c r="A6" s="3" t="inlineStr">
        <is>
          <t>63000536</t>
        </is>
      </c>
      <c r="B6" s="3" t="n">
        <v>7802955</v>
      </c>
      <c r="C6" s="3" t="inlineStr">
        <is>
          <t>Cartão Vexpenses (CAIXA 06/2025)</t>
        </is>
      </c>
      <c r="D6" s="3" t="inlineStr">
        <is>
          <t>DOM ATACADISTA - CAXIA</t>
        </is>
      </c>
      <c r="E6" s="3" t="n">
        <v>65.81999999999999</v>
      </c>
      <c r="F6" s="3" t="inlineStr">
        <is>
          <t>Aprovado</t>
        </is>
      </c>
      <c r="G6" s="3" t="inlineStr">
        <is>
          <t>Cartão VExpenses</t>
        </is>
      </c>
      <c r="H6" s="3" t="inlineStr">
        <is>
          <t>30/06/2025</t>
        </is>
      </c>
    </row>
    <row r="8">
      <c r="A8" s="4">
        <f>== SÓ NA AUTOMAÇÃO (não tem na referência) ===</f>
        <v/>
      </c>
    </row>
    <row r="9">
      <c r="A9" s="1" t="inlineStr">
        <is>
          <t>Expense ID</t>
        </is>
      </c>
      <c r="B9" s="1" t="inlineStr">
        <is>
          <t>Report ID</t>
        </is>
      </c>
      <c r="C9" s="1" t="inlineStr">
        <is>
          <t>Report Name</t>
        </is>
      </c>
      <c r="D9" s="1" t="inlineStr">
        <is>
          <t>Descrição</t>
        </is>
      </c>
      <c r="E9" s="1" t="inlineStr">
        <is>
          <t>Valor</t>
        </is>
      </c>
      <c r="F9" s="1" t="inlineStr">
        <is>
          <t>Status</t>
        </is>
      </c>
      <c r="G9" s="1" t="inlineStr">
        <is>
          <t>PMID</t>
        </is>
      </c>
      <c r="H9" s="1" t="inlineStr">
        <is>
          <t>Data</t>
        </is>
      </c>
    </row>
    <row r="11">
      <c r="A11" s="5">
        <f>== VALORES DIFERENTES (mesmo expense ID, valor diferente) ===</f>
        <v/>
      </c>
    </row>
    <row r="12">
      <c r="A12" s="1" t="inlineStr">
        <is>
          <t>Expense ID</t>
        </is>
      </c>
      <c r="B12" s="1" t="inlineStr">
        <is>
          <t>Report ID (Ref)</t>
        </is>
      </c>
      <c r="C12" s="1" t="inlineStr">
        <is>
          <t>Report ID (Ours)</t>
        </is>
      </c>
      <c r="D12" s="1" t="inlineStr">
        <is>
          <t>Descrição (Ref)</t>
        </is>
      </c>
      <c r="E12" s="1" t="inlineStr">
        <is>
          <t>Descrição (Ours)</t>
        </is>
      </c>
      <c r="F12" s="1" t="inlineStr">
        <is>
          <t>Valor Ref</t>
        </is>
      </c>
      <c r="G12" s="1" t="inlineStr">
        <is>
          <t>Valor Automação</t>
        </is>
      </c>
      <c r="H12" s="1" t="inlineStr">
        <is>
          <t>Diferença</t>
        </is>
      </c>
    </row>
    <row r="14">
      <c r="A14" s="6">
        <f>== TOTAIS ===</f>
        <v/>
      </c>
    </row>
    <row r="15">
      <c r="A15" t="inlineStr"/>
      <c r="B15" t="inlineStr"/>
      <c r="C15" t="inlineStr"/>
      <c r="D15" t="inlineStr"/>
      <c r="E15" t="inlineStr">
        <is>
          <t>Soma Só Ref</t>
        </is>
      </c>
      <c r="F15" t="inlineStr">
        <is>
          <t>Soma Só Automação</t>
        </is>
      </c>
      <c r="G15" t="inlineStr">
        <is>
          <t>Dif Valores</t>
        </is>
      </c>
      <c r="H15" t="inlineStr"/>
    </row>
    <row r="16">
      <c r="A16" t="inlineStr"/>
      <c r="B16" t="inlineStr"/>
      <c r="C16" t="inlineStr"/>
      <c r="D16" t="inlineStr"/>
      <c r="E16" t="n">
        <v>676.1799999999999</v>
      </c>
      <c r="F16" t="n">
        <v>0</v>
      </c>
      <c r="G16" t="n">
        <v>0</v>
      </c>
      <c r="H1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35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2">
        <f>== SÓ NA REFERÊNCIA (não temos na automação) ===</f>
        <v/>
      </c>
    </row>
    <row r="2">
      <c r="A2" s="1" t="inlineStr">
        <is>
          <t>Expense ID</t>
        </is>
      </c>
      <c r="B2" s="1" t="inlineStr">
        <is>
          <t>Report ID</t>
        </is>
      </c>
      <c r="C2" s="1" t="inlineStr">
        <is>
          <t>Report Name</t>
        </is>
      </c>
      <c r="D2" s="1" t="inlineStr">
        <is>
          <t>Descrição</t>
        </is>
      </c>
      <c r="E2" s="1" t="inlineStr">
        <is>
          <t>Valor</t>
        </is>
      </c>
      <c r="F2" s="1" t="inlineStr">
        <is>
          <t>Status</t>
        </is>
      </c>
      <c r="G2" s="1" t="inlineStr">
        <is>
          <t>Forma Pgto</t>
        </is>
      </c>
      <c r="H2" s="1" t="inlineStr">
        <is>
          <t>Data</t>
        </is>
      </c>
    </row>
    <row r="4">
      <c r="A4" s="4">
        <f>== SÓ NA AUTOMAÇÃO (não tem na referência) ===</f>
        <v/>
      </c>
    </row>
    <row r="5">
      <c r="A5" s="1" t="inlineStr">
        <is>
          <t>Expense ID</t>
        </is>
      </c>
      <c r="B5" s="1" t="inlineStr">
        <is>
          <t>Report ID</t>
        </is>
      </c>
      <c r="C5" s="1" t="inlineStr">
        <is>
          <t>Report Name</t>
        </is>
      </c>
      <c r="D5" s="1" t="inlineStr">
        <is>
          <t>Descrição</t>
        </is>
      </c>
      <c r="E5" s="1" t="inlineStr">
        <is>
          <t>Valor</t>
        </is>
      </c>
      <c r="F5" s="1" t="inlineStr">
        <is>
          <t>Status</t>
        </is>
      </c>
      <c r="G5" s="1" t="inlineStr">
        <is>
          <t>PMID</t>
        </is>
      </c>
      <c r="H5" s="1" t="inlineStr">
        <is>
          <t>Data</t>
        </is>
      </c>
    </row>
    <row r="6">
      <c r="A6" s="7" t="inlineStr">
        <is>
          <t>88718483</t>
        </is>
      </c>
      <c r="B6" s="7" t="n">
        <v>11264989</v>
      </c>
      <c r="C6" s="7" t="inlineStr">
        <is>
          <t>CAIXA 07/2026</t>
        </is>
      </c>
      <c r="D6" s="7" t="inlineStr">
        <is>
          <t>Relatório despesas de julho</t>
        </is>
      </c>
      <c r="E6" s="7" t="n">
        <v>59.31</v>
      </c>
      <c r="F6" s="7" t="inlineStr">
        <is>
          <t>ENVIADO</t>
        </is>
      </c>
      <c r="G6" s="7" t="inlineStr">
        <is>
          <t>630113</t>
        </is>
      </c>
      <c r="H6" s="7" t="inlineStr">
        <is>
          <t>2026-07-31 00:00:00</t>
        </is>
      </c>
    </row>
    <row r="7">
      <c r="A7" s="7" t="inlineStr">
        <is>
          <t>88718146</t>
        </is>
      </c>
      <c r="B7" s="7" t="n">
        <v>11264989</v>
      </c>
      <c r="C7" s="7" t="inlineStr">
        <is>
          <t>CAIXA 07/2026</t>
        </is>
      </c>
      <c r="D7" s="7" t="inlineStr">
        <is>
          <t>Relatório de despesas julho</t>
        </is>
      </c>
      <c r="E7" s="7" t="n">
        <v>30</v>
      </c>
      <c r="F7" s="7" t="inlineStr">
        <is>
          <t>ENVIADO</t>
        </is>
      </c>
      <c r="G7" s="7" t="inlineStr">
        <is>
          <t>630113</t>
        </is>
      </c>
      <c r="H7" s="7" t="inlineStr">
        <is>
          <t>2026-07-31 00:00:00</t>
        </is>
      </c>
    </row>
    <row r="9">
      <c r="A9" s="5">
        <f>== VALORES DIFERENTES (mesmo expense ID, valor diferente) ===</f>
        <v/>
      </c>
    </row>
    <row r="10">
      <c r="A10" s="1" t="inlineStr">
        <is>
          <t>Expense ID</t>
        </is>
      </c>
      <c r="B10" s="1" t="inlineStr">
        <is>
          <t>Report ID (Ref)</t>
        </is>
      </c>
      <c r="C10" s="1" t="inlineStr">
        <is>
          <t>Report ID (Ours)</t>
        </is>
      </c>
      <c r="D10" s="1" t="inlineStr">
        <is>
          <t>Descrição (Ref)</t>
        </is>
      </c>
      <c r="E10" s="1" t="inlineStr">
        <is>
          <t>Descrição (Ours)</t>
        </is>
      </c>
      <c r="F10" s="1" t="inlineStr">
        <is>
          <t>Valor Ref</t>
        </is>
      </c>
      <c r="G10" s="1" t="inlineStr">
        <is>
          <t>Valor Automação</t>
        </is>
      </c>
      <c r="H10" s="1" t="inlineStr">
        <is>
          <t>Diferença</t>
        </is>
      </c>
    </row>
    <row r="12">
      <c r="A12" s="6">
        <f>== TOTAIS ===</f>
        <v/>
      </c>
    </row>
    <row r="13">
      <c r="A13" t="inlineStr"/>
      <c r="B13" t="inlineStr"/>
      <c r="C13" t="inlineStr"/>
      <c r="D13" t="inlineStr"/>
      <c r="E13" t="inlineStr">
        <is>
          <t>Soma Só Ref</t>
        </is>
      </c>
      <c r="F13" t="inlineStr">
        <is>
          <t>Soma Só Automação</t>
        </is>
      </c>
      <c r="G13" t="inlineStr">
        <is>
          <t>Dif Valores</t>
        </is>
      </c>
      <c r="H13" t="inlineStr"/>
    </row>
    <row r="14">
      <c r="A14" t="inlineStr"/>
      <c r="B14" t="inlineStr"/>
      <c r="C14" t="inlineStr"/>
      <c r="D14" t="inlineStr"/>
      <c r="E14" t="n">
        <v>0</v>
      </c>
      <c r="F14" t="n">
        <v>89.31</v>
      </c>
      <c r="G14" t="n">
        <v>0</v>
      </c>
      <c r="H1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35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2">
        <f>== SÓ NA REFERÊNCIA (não temos na automação) ===</f>
        <v/>
      </c>
    </row>
    <row r="2">
      <c r="A2" s="1" t="inlineStr">
        <is>
          <t>Expense ID</t>
        </is>
      </c>
      <c r="B2" s="1" t="inlineStr">
        <is>
          <t>Report ID</t>
        </is>
      </c>
      <c r="C2" s="1" t="inlineStr">
        <is>
          <t>Report Name</t>
        </is>
      </c>
      <c r="D2" s="1" t="inlineStr">
        <is>
          <t>Descrição</t>
        </is>
      </c>
      <c r="E2" s="1" t="inlineStr">
        <is>
          <t>Valor</t>
        </is>
      </c>
      <c r="F2" s="1" t="inlineStr">
        <is>
          <t>Status</t>
        </is>
      </c>
      <c r="G2" s="1" t="inlineStr">
        <is>
          <t>Forma Pgto</t>
        </is>
      </c>
      <c r="H2" s="1" t="inlineStr">
        <is>
          <t>Data</t>
        </is>
      </c>
    </row>
    <row r="3">
      <c r="A3" s="3" t="inlineStr">
        <is>
          <t>88683741</t>
        </is>
      </c>
      <c r="B3" s="3" t="n">
        <v>11261469</v>
      </c>
      <c r="C3" s="3" t="inlineStr">
        <is>
          <t>CAIXA 07/2026</t>
        </is>
      </c>
      <c r="D3" s="3" t="inlineStr">
        <is>
          <t>PEDAGIOS</t>
        </is>
      </c>
      <c r="E3" s="3" t="n">
        <v>182.3</v>
      </c>
      <c r="F3" s="3" t="inlineStr">
        <is>
          <t>Enviado</t>
        </is>
      </c>
      <c r="G3" s="3" t="inlineStr">
        <is>
          <t>Saque VExpenses</t>
        </is>
      </c>
      <c r="H3" s="3" t="inlineStr">
        <is>
          <t>31/07/2026</t>
        </is>
      </c>
    </row>
    <row r="5">
      <c r="A5" s="4">
        <f>== SÓ NA AUTOMAÇÃO (não tem na referência) ===</f>
        <v/>
      </c>
    </row>
    <row r="6">
      <c r="A6" s="1" t="inlineStr">
        <is>
          <t>Expense ID</t>
        </is>
      </c>
      <c r="B6" s="1" t="inlineStr">
        <is>
          <t>Report ID</t>
        </is>
      </c>
      <c r="C6" s="1" t="inlineStr">
        <is>
          <t>Report Name</t>
        </is>
      </c>
      <c r="D6" s="1" t="inlineStr">
        <is>
          <t>Descrição</t>
        </is>
      </c>
      <c r="E6" s="1" t="inlineStr">
        <is>
          <t>Valor</t>
        </is>
      </c>
      <c r="F6" s="1" t="inlineStr">
        <is>
          <t>Status</t>
        </is>
      </c>
      <c r="G6" s="1" t="inlineStr">
        <is>
          <t>PMID</t>
        </is>
      </c>
      <c r="H6" s="1" t="inlineStr">
        <is>
          <t>Data</t>
        </is>
      </c>
    </row>
    <row r="8">
      <c r="A8" s="5">
        <f>== VALORES DIFERENTES (mesmo expense ID, valor diferente) ===</f>
        <v/>
      </c>
    </row>
    <row r="9">
      <c r="A9" s="1" t="inlineStr">
        <is>
          <t>Expense ID</t>
        </is>
      </c>
      <c r="B9" s="1" t="inlineStr">
        <is>
          <t>Report ID (Ref)</t>
        </is>
      </c>
      <c r="C9" s="1" t="inlineStr">
        <is>
          <t>Report ID (Ours)</t>
        </is>
      </c>
      <c r="D9" s="1" t="inlineStr">
        <is>
          <t>Descrição (Ref)</t>
        </is>
      </c>
      <c r="E9" s="1" t="inlineStr">
        <is>
          <t>Descrição (Ours)</t>
        </is>
      </c>
      <c r="F9" s="1" t="inlineStr">
        <is>
          <t>Valor Ref</t>
        </is>
      </c>
      <c r="G9" s="1" t="inlineStr">
        <is>
          <t>Valor Automação</t>
        </is>
      </c>
      <c r="H9" s="1" t="inlineStr">
        <is>
          <t>Diferença</t>
        </is>
      </c>
    </row>
    <row r="11">
      <c r="A11" s="6">
        <f>== TOTAIS ===</f>
        <v/>
      </c>
    </row>
    <row r="12">
      <c r="A12" t="inlineStr"/>
      <c r="B12" t="inlineStr"/>
      <c r="C12" t="inlineStr"/>
      <c r="D12" t="inlineStr"/>
      <c r="E12" t="inlineStr">
        <is>
          <t>Soma Só Ref</t>
        </is>
      </c>
      <c r="F12" t="inlineStr">
        <is>
          <t>Soma Só Automação</t>
        </is>
      </c>
      <c r="G12" t="inlineStr">
        <is>
          <t>Dif Valores</t>
        </is>
      </c>
      <c r="H12" t="inlineStr"/>
    </row>
    <row r="13">
      <c r="A13" t="inlineStr"/>
      <c r="B13" t="inlineStr"/>
      <c r="C13" t="inlineStr"/>
      <c r="D13" t="inlineStr"/>
      <c r="E13" t="n">
        <v>182.3</v>
      </c>
      <c r="F13" t="n">
        <v>0</v>
      </c>
      <c r="G13" t="n">
        <v>0</v>
      </c>
      <c r="H1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35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2">
        <f>== SÓ NA REFERÊNCIA (não temos na automação) ===</f>
        <v/>
      </c>
    </row>
    <row r="2">
      <c r="A2" s="1" t="inlineStr">
        <is>
          <t>Expense ID</t>
        </is>
      </c>
      <c r="B2" s="1" t="inlineStr">
        <is>
          <t>Report ID</t>
        </is>
      </c>
      <c r="C2" s="1" t="inlineStr">
        <is>
          <t>Report Name</t>
        </is>
      </c>
      <c r="D2" s="1" t="inlineStr">
        <is>
          <t>Descrição</t>
        </is>
      </c>
      <c r="E2" s="1" t="inlineStr">
        <is>
          <t>Valor</t>
        </is>
      </c>
      <c r="F2" s="1" t="inlineStr">
        <is>
          <t>Status</t>
        </is>
      </c>
      <c r="G2" s="1" t="inlineStr">
        <is>
          <t>Forma Pgto</t>
        </is>
      </c>
      <c r="H2" s="1" t="inlineStr">
        <is>
          <t>Data</t>
        </is>
      </c>
    </row>
    <row r="3">
      <c r="A3" s="3" t="inlineStr">
        <is>
          <t>71212715</t>
        </is>
      </c>
      <c r="B3" s="3" t="n">
        <v>8869646</v>
      </c>
      <c r="C3" s="3" t="inlineStr">
        <is>
          <t>FATURA 11/2025</t>
        </is>
      </c>
      <c r="D3" s="3" t="inlineStr">
        <is>
          <t>GRUPO PREMIUM</t>
        </is>
      </c>
      <c r="E3" s="3" t="n">
        <v>500</v>
      </c>
      <c r="F3" s="3" t="inlineStr">
        <is>
          <t>Aprovado</t>
        </is>
      </c>
      <c r="G3" s="3" t="inlineStr">
        <is>
          <t>Saque VExpenses</t>
        </is>
      </c>
      <c r="H3" s="3" t="inlineStr">
        <is>
          <t>15/10/2025</t>
        </is>
      </c>
    </row>
    <row r="4">
      <c r="A4" s="3" t="inlineStr">
        <is>
          <t>71298565</t>
        </is>
      </c>
      <c r="B4" s="3" t="n">
        <v>8869646</v>
      </c>
      <c r="C4" s="3" t="inlineStr">
        <is>
          <t>FATURA 11/2025</t>
        </is>
      </c>
      <c r="D4" s="3" t="inlineStr">
        <is>
          <t>MORAES METALURGICO</t>
        </is>
      </c>
      <c r="E4" s="3" t="n">
        <v>300</v>
      </c>
      <c r="F4" s="3" t="inlineStr">
        <is>
          <t>Aprovado</t>
        </is>
      </c>
      <c r="G4" s="3" t="inlineStr">
        <is>
          <t>Saque VExpenses</t>
        </is>
      </c>
      <c r="H4" s="3" t="inlineStr">
        <is>
          <t>20/10/2025</t>
        </is>
      </c>
    </row>
    <row r="6">
      <c r="A6" s="4">
        <f>== SÓ NA AUTOMAÇÃO (não tem na referência) ===</f>
        <v/>
      </c>
    </row>
    <row r="7">
      <c r="A7" s="1" t="inlineStr">
        <is>
          <t>Expense ID</t>
        </is>
      </c>
      <c r="B7" s="1" t="inlineStr">
        <is>
          <t>Report ID</t>
        </is>
      </c>
      <c r="C7" s="1" t="inlineStr">
        <is>
          <t>Report Name</t>
        </is>
      </c>
      <c r="D7" s="1" t="inlineStr">
        <is>
          <t>Descrição</t>
        </is>
      </c>
      <c r="E7" s="1" t="inlineStr">
        <is>
          <t>Valor</t>
        </is>
      </c>
      <c r="F7" s="1" t="inlineStr">
        <is>
          <t>Status</t>
        </is>
      </c>
      <c r="G7" s="1" t="inlineStr">
        <is>
          <t>PMID</t>
        </is>
      </c>
      <c r="H7" s="1" t="inlineStr">
        <is>
          <t>Data</t>
        </is>
      </c>
    </row>
    <row r="9">
      <c r="A9" s="5">
        <f>== VALORES DIFERENTES (mesmo expense ID, valor diferente) ===</f>
        <v/>
      </c>
    </row>
    <row r="10">
      <c r="A10" s="1" t="inlineStr">
        <is>
          <t>Expense ID</t>
        </is>
      </c>
      <c r="B10" s="1" t="inlineStr">
        <is>
          <t>Report ID (Ref)</t>
        </is>
      </c>
      <c r="C10" s="1" t="inlineStr">
        <is>
          <t>Report ID (Ours)</t>
        </is>
      </c>
      <c r="D10" s="1" t="inlineStr">
        <is>
          <t>Descrição (Ref)</t>
        </is>
      </c>
      <c r="E10" s="1" t="inlineStr">
        <is>
          <t>Descrição (Ours)</t>
        </is>
      </c>
      <c r="F10" s="1" t="inlineStr">
        <is>
          <t>Valor Ref</t>
        </is>
      </c>
      <c r="G10" s="1" t="inlineStr">
        <is>
          <t>Valor Automação</t>
        </is>
      </c>
      <c r="H10" s="1" t="inlineStr">
        <is>
          <t>Diferença</t>
        </is>
      </c>
    </row>
    <row r="12">
      <c r="A12" s="6">
        <f>== TOTAIS ===</f>
        <v/>
      </c>
    </row>
    <row r="13">
      <c r="A13" t="inlineStr"/>
      <c r="B13" t="inlineStr"/>
      <c r="C13" t="inlineStr"/>
      <c r="D13" t="inlineStr"/>
      <c r="E13" t="inlineStr">
        <is>
          <t>Soma Só Ref</t>
        </is>
      </c>
      <c r="F13" t="inlineStr">
        <is>
          <t>Soma Só Automação</t>
        </is>
      </c>
      <c r="G13" t="inlineStr">
        <is>
          <t>Dif Valores</t>
        </is>
      </c>
      <c r="H13" t="inlineStr"/>
    </row>
    <row r="14">
      <c r="A14" t="inlineStr"/>
      <c r="B14" t="inlineStr"/>
      <c r="C14" t="inlineStr"/>
      <c r="D14" t="inlineStr"/>
      <c r="E14" t="n">
        <v>800</v>
      </c>
      <c r="F14" t="n">
        <v>0</v>
      </c>
      <c r="G14" t="n">
        <v>0</v>
      </c>
      <c r="H1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35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2">
        <f>== SÓ NA REFERÊNCIA (não temos na automação) ===</f>
        <v/>
      </c>
    </row>
    <row r="2">
      <c r="A2" s="1" t="inlineStr">
        <is>
          <t>Expense ID</t>
        </is>
      </c>
      <c r="B2" s="1" t="inlineStr">
        <is>
          <t>Report ID</t>
        </is>
      </c>
      <c r="C2" s="1" t="inlineStr">
        <is>
          <t>Report Name</t>
        </is>
      </c>
      <c r="D2" s="1" t="inlineStr">
        <is>
          <t>Descrição</t>
        </is>
      </c>
      <c r="E2" s="1" t="inlineStr">
        <is>
          <t>Valor</t>
        </is>
      </c>
      <c r="F2" s="1" t="inlineStr">
        <is>
          <t>Status</t>
        </is>
      </c>
      <c r="G2" s="1" t="inlineStr">
        <is>
          <t>Forma Pgto</t>
        </is>
      </c>
      <c r="H2" s="1" t="inlineStr">
        <is>
          <t>Data</t>
        </is>
      </c>
    </row>
    <row r="4">
      <c r="A4" s="4">
        <f>== SÓ NA AUTOMAÇÃO (não tem na referência) ===</f>
        <v/>
      </c>
    </row>
    <row r="5">
      <c r="A5" s="1" t="inlineStr">
        <is>
          <t>Expense ID</t>
        </is>
      </c>
      <c r="B5" s="1" t="inlineStr">
        <is>
          <t>Report ID</t>
        </is>
      </c>
      <c r="C5" s="1" t="inlineStr">
        <is>
          <t>Report Name</t>
        </is>
      </c>
      <c r="D5" s="1" t="inlineStr">
        <is>
          <t>Descrição</t>
        </is>
      </c>
      <c r="E5" s="1" t="inlineStr">
        <is>
          <t>Valor</t>
        </is>
      </c>
      <c r="F5" s="1" t="inlineStr">
        <is>
          <t>Status</t>
        </is>
      </c>
      <c r="G5" s="1" t="inlineStr">
        <is>
          <t>PMID</t>
        </is>
      </c>
      <c r="H5" s="1" t="inlineStr">
        <is>
          <t>Data</t>
        </is>
      </c>
    </row>
    <row r="6">
      <c r="A6" s="7" t="inlineStr">
        <is>
          <t>88718705</t>
        </is>
      </c>
      <c r="B6" s="7" t="n">
        <v>11262231</v>
      </c>
      <c r="C6" s="7" t="inlineStr">
        <is>
          <t>CAIXA 07/2026</t>
        </is>
      </c>
      <c r="D6" s="7" t="inlineStr">
        <is>
          <t>DESPESA JULHO/26</t>
        </is>
      </c>
      <c r="E6" s="7" t="n">
        <v>244</v>
      </c>
      <c r="F6" s="7" t="inlineStr">
        <is>
          <t>ENVIADO</t>
        </is>
      </c>
      <c r="G6" s="7" t="inlineStr">
        <is>
          <t>627721</t>
        </is>
      </c>
      <c r="H6" s="7" t="inlineStr">
        <is>
          <t>2026-07-24 00:00:00</t>
        </is>
      </c>
    </row>
    <row r="7">
      <c r="A7" s="7" t="inlineStr">
        <is>
          <t>88718969</t>
        </is>
      </c>
      <c r="B7" s="7" t="n">
        <v>11262231</v>
      </c>
      <c r="C7" s="7" t="inlineStr">
        <is>
          <t>CAIXA 07/2026</t>
        </is>
      </c>
      <c r="D7" s="7" t="inlineStr">
        <is>
          <t>DESPESA JULHO/26</t>
        </is>
      </c>
      <c r="E7" s="7" t="n">
        <v>152</v>
      </c>
      <c r="F7" s="7" t="inlineStr">
        <is>
          <t>ENVIADO</t>
        </is>
      </c>
      <c r="G7" s="7" t="inlineStr">
        <is>
          <t>627721</t>
        </is>
      </c>
      <c r="H7" s="7" t="inlineStr">
        <is>
          <t>2026-07-13 00:00:00</t>
        </is>
      </c>
    </row>
    <row r="8">
      <c r="A8" s="7" t="inlineStr">
        <is>
          <t>88717746</t>
        </is>
      </c>
      <c r="B8" s="7" t="n">
        <v>11262231</v>
      </c>
      <c r="C8" s="7" t="inlineStr">
        <is>
          <t>CAIXA 07/2026</t>
        </is>
      </c>
      <c r="D8" s="7" t="inlineStr">
        <is>
          <t>DESPESA JULHO/26</t>
        </is>
      </c>
      <c r="E8" s="7" t="n">
        <v>140</v>
      </c>
      <c r="F8" s="7" t="inlineStr">
        <is>
          <t>ENVIADO</t>
        </is>
      </c>
      <c r="G8" s="7" t="inlineStr">
        <is>
          <t>627721</t>
        </is>
      </c>
      <c r="H8" s="7" t="inlineStr">
        <is>
          <t>2026-07-07 00:00:00</t>
        </is>
      </c>
    </row>
    <row r="9">
      <c r="A9" s="7" t="inlineStr">
        <is>
          <t>88720781</t>
        </is>
      </c>
      <c r="B9" s="7" t="n">
        <v>11262231</v>
      </c>
      <c r="C9" s="7" t="inlineStr">
        <is>
          <t>CAIXA 07/2026</t>
        </is>
      </c>
      <c r="D9" s="7" t="inlineStr">
        <is>
          <t>DESPESA JULHO/26</t>
        </is>
      </c>
      <c r="E9" s="7" t="n">
        <v>138.6</v>
      </c>
      <c r="F9" s="7" t="inlineStr">
        <is>
          <t>ENVIADO</t>
        </is>
      </c>
      <c r="G9" s="7" t="inlineStr">
        <is>
          <t>627721</t>
        </is>
      </c>
      <c r="H9" s="7" t="inlineStr">
        <is>
          <t>2026-07-31 00:00:00</t>
        </is>
      </c>
    </row>
    <row r="10">
      <c r="A10" s="7" t="inlineStr">
        <is>
          <t>88718000</t>
        </is>
      </c>
      <c r="B10" s="7" t="n">
        <v>11262231</v>
      </c>
      <c r="C10" s="7" t="inlineStr">
        <is>
          <t>CAIXA 07/2026</t>
        </is>
      </c>
      <c r="D10" s="7" t="inlineStr">
        <is>
          <t>DESPESA JULHO/26</t>
        </is>
      </c>
      <c r="E10" s="7" t="n">
        <v>124.5</v>
      </c>
      <c r="F10" s="7" t="inlineStr">
        <is>
          <t>ENVIADO</t>
        </is>
      </c>
      <c r="G10" s="7" t="inlineStr">
        <is>
          <t>627721</t>
        </is>
      </c>
      <c r="H10" s="7" t="inlineStr">
        <is>
          <t>2026-07-27 00:00:00</t>
        </is>
      </c>
    </row>
    <row r="11">
      <c r="A11" s="7" t="inlineStr">
        <is>
          <t>88718468</t>
        </is>
      </c>
      <c r="B11" s="7" t="n">
        <v>11262231</v>
      </c>
      <c r="C11" s="7" t="inlineStr">
        <is>
          <t>CAIXA 07/2026</t>
        </is>
      </c>
      <c r="D11" s="7" t="inlineStr">
        <is>
          <t>DESPESA JULHO/26</t>
        </is>
      </c>
      <c r="E11" s="7" t="n">
        <v>120</v>
      </c>
      <c r="F11" s="7" t="inlineStr">
        <is>
          <t>ENVIADO</t>
        </is>
      </c>
      <c r="G11" s="7" t="inlineStr">
        <is>
          <t>627721</t>
        </is>
      </c>
      <c r="H11" s="7" t="inlineStr">
        <is>
          <t>2026-07-13 00:00:00</t>
        </is>
      </c>
    </row>
    <row r="12">
      <c r="A12" s="7" t="inlineStr">
        <is>
          <t>88720132</t>
        </is>
      </c>
      <c r="B12" s="7" t="n">
        <v>11262231</v>
      </c>
      <c r="C12" s="7" t="inlineStr">
        <is>
          <t>CAIXA 07/2026</t>
        </is>
      </c>
      <c r="D12" s="7" t="inlineStr">
        <is>
          <t>DESPESA JULHO/26</t>
        </is>
      </c>
      <c r="E12" s="7" t="n">
        <v>83</v>
      </c>
      <c r="F12" s="7" t="inlineStr">
        <is>
          <t>ENVIADO</t>
        </is>
      </c>
      <c r="G12" s="7" t="inlineStr">
        <is>
          <t>627721</t>
        </is>
      </c>
      <c r="H12" s="7" t="inlineStr">
        <is>
          <t>2026-07-01 00:00:00</t>
        </is>
      </c>
    </row>
    <row r="13">
      <c r="A13" s="7" t="inlineStr">
        <is>
          <t>88720010</t>
        </is>
      </c>
      <c r="B13" s="7" t="n">
        <v>11262231</v>
      </c>
      <c r="C13" s="7" t="inlineStr">
        <is>
          <t>CAIXA 07/2026</t>
        </is>
      </c>
      <c r="D13" s="7" t="inlineStr">
        <is>
          <t>DESPESA JULHO/26</t>
        </is>
      </c>
      <c r="E13" s="7" t="n">
        <v>79.5</v>
      </c>
      <c r="F13" s="7" t="inlineStr">
        <is>
          <t>ENVIADO</t>
        </is>
      </c>
      <c r="G13" s="7" t="inlineStr">
        <is>
          <t>627721</t>
        </is>
      </c>
      <c r="H13" s="7" t="inlineStr">
        <is>
          <t>2026-07-17 00:00:00</t>
        </is>
      </c>
    </row>
    <row r="14">
      <c r="A14" s="7" t="inlineStr">
        <is>
          <t>88717354</t>
        </is>
      </c>
      <c r="B14" s="7" t="n">
        <v>11262231</v>
      </c>
      <c r="C14" s="7" t="inlineStr">
        <is>
          <t>CAIXA 07/2026</t>
        </is>
      </c>
      <c r="D14" s="7" t="inlineStr">
        <is>
          <t>DESPESA JULHO/26</t>
        </is>
      </c>
      <c r="E14" s="7" t="n">
        <v>76.43000000000001</v>
      </c>
      <c r="F14" s="7" t="inlineStr">
        <is>
          <t>ENVIADO</t>
        </is>
      </c>
      <c r="G14" s="7" t="inlineStr">
        <is>
          <t>627721</t>
        </is>
      </c>
      <c r="H14" s="7" t="inlineStr">
        <is>
          <t>2026-07-06 00:00:00</t>
        </is>
      </c>
    </row>
    <row r="15">
      <c r="A15" s="7" t="inlineStr">
        <is>
          <t>88718547</t>
        </is>
      </c>
      <c r="B15" s="7" t="n">
        <v>11262231</v>
      </c>
      <c r="C15" s="7" t="inlineStr">
        <is>
          <t>CAIXA 07/2026</t>
        </is>
      </c>
      <c r="D15" s="7" t="inlineStr">
        <is>
          <t>DESPESA JULHO/26</t>
        </is>
      </c>
      <c r="E15" s="7" t="n">
        <v>60</v>
      </c>
      <c r="F15" s="7" t="inlineStr">
        <is>
          <t>ENVIADO</t>
        </is>
      </c>
      <c r="G15" s="7" t="inlineStr">
        <is>
          <t>627721</t>
        </is>
      </c>
      <c r="H15" s="7" t="inlineStr">
        <is>
          <t>2026-07-20 00:00:00</t>
        </is>
      </c>
    </row>
    <row r="16">
      <c r="A16" s="7" t="inlineStr">
        <is>
          <t>88719058</t>
        </is>
      </c>
      <c r="B16" s="7" t="n">
        <v>11262231</v>
      </c>
      <c r="C16" s="7" t="inlineStr">
        <is>
          <t>CAIXA 07/2026</t>
        </is>
      </c>
      <c r="D16" s="7" t="inlineStr">
        <is>
          <t>DESPESA JULHO/26</t>
        </is>
      </c>
      <c r="E16" s="7" t="n">
        <v>40</v>
      </c>
      <c r="F16" s="7" t="inlineStr">
        <is>
          <t>ENVIADO</t>
        </is>
      </c>
      <c r="G16" s="7" t="inlineStr">
        <is>
          <t>627721</t>
        </is>
      </c>
      <c r="H16" s="7" t="inlineStr">
        <is>
          <t>2026-07-16 00:00:00</t>
        </is>
      </c>
    </row>
    <row r="17">
      <c r="A17" s="7" t="inlineStr">
        <is>
          <t>88718130</t>
        </is>
      </c>
      <c r="B17" s="7" t="n">
        <v>11262231</v>
      </c>
      <c r="C17" s="7" t="inlineStr">
        <is>
          <t>CAIXA 07/2026</t>
        </is>
      </c>
      <c r="D17" s="7" t="inlineStr">
        <is>
          <t>DESPESA JULHO/26</t>
        </is>
      </c>
      <c r="E17" s="7" t="n">
        <v>34</v>
      </c>
      <c r="F17" s="7" t="inlineStr">
        <is>
          <t>ENVIADO</t>
        </is>
      </c>
      <c r="G17" s="7" t="inlineStr">
        <is>
          <t>627721</t>
        </is>
      </c>
      <c r="H17" s="7" t="inlineStr">
        <is>
          <t>2026-07-10 00:00:00</t>
        </is>
      </c>
    </row>
    <row r="18">
      <c r="A18" s="7" t="inlineStr">
        <is>
          <t>88716733</t>
        </is>
      </c>
      <c r="B18" s="7" t="n">
        <v>11262231</v>
      </c>
      <c r="C18" s="7" t="inlineStr">
        <is>
          <t>CAIXA 07/2026</t>
        </is>
      </c>
      <c r="D18" s="7" t="inlineStr">
        <is>
          <t>DESPESA JULHO/26</t>
        </is>
      </c>
      <c r="E18" s="7" t="n">
        <v>31</v>
      </c>
      <c r="F18" s="7" t="inlineStr">
        <is>
          <t>ENVIADO</t>
        </is>
      </c>
      <c r="G18" s="7" t="inlineStr">
        <is>
          <t>627721</t>
        </is>
      </c>
      <c r="H18" s="7" t="inlineStr">
        <is>
          <t>2026-07-17 00:00:00</t>
        </is>
      </c>
    </row>
    <row r="19">
      <c r="A19" s="7" t="inlineStr">
        <is>
          <t>88717904</t>
        </is>
      </c>
      <c r="B19" s="7" t="n">
        <v>11262231</v>
      </c>
      <c r="C19" s="7" t="inlineStr">
        <is>
          <t>CAIXA 07/2026</t>
        </is>
      </c>
      <c r="D19" s="7" t="inlineStr">
        <is>
          <t>DESPESA JULHO/26</t>
        </is>
      </c>
      <c r="E19" s="7" t="n">
        <v>28.56</v>
      </c>
      <c r="F19" s="7" t="inlineStr">
        <is>
          <t>ENVIADO</t>
        </is>
      </c>
      <c r="G19" s="7" t="inlineStr">
        <is>
          <t>627721</t>
        </is>
      </c>
      <c r="H19" s="7" t="inlineStr">
        <is>
          <t>2026-07-28 00:00:00</t>
        </is>
      </c>
    </row>
    <row r="20">
      <c r="A20" s="7" t="inlineStr">
        <is>
          <t>88718286</t>
        </is>
      </c>
      <c r="B20" s="7" t="n">
        <v>11262231</v>
      </c>
      <c r="C20" s="7" t="inlineStr">
        <is>
          <t>CAIXA 07/2026</t>
        </is>
      </c>
      <c r="D20" s="7" t="inlineStr">
        <is>
          <t>DESPESA JULHO/26</t>
        </is>
      </c>
      <c r="E20" s="7" t="n">
        <v>20</v>
      </c>
      <c r="F20" s="7" t="inlineStr">
        <is>
          <t>ENVIADO</t>
        </is>
      </c>
      <c r="G20" s="7" t="inlineStr">
        <is>
          <t>627721</t>
        </is>
      </c>
      <c r="H20" s="7" t="inlineStr">
        <is>
          <t>2026-07-17 00:00:00</t>
        </is>
      </c>
    </row>
    <row r="21">
      <c r="A21" s="7" t="inlineStr">
        <is>
          <t>88720234</t>
        </is>
      </c>
      <c r="B21" s="7" t="n">
        <v>11262231</v>
      </c>
      <c r="C21" s="7" t="inlineStr">
        <is>
          <t>CAIXA 07/2026</t>
        </is>
      </c>
      <c r="D21" s="7" t="inlineStr">
        <is>
          <t>DESPESA JULHO/26</t>
        </is>
      </c>
      <c r="E21" s="7" t="n">
        <v>20</v>
      </c>
      <c r="F21" s="7" t="inlineStr">
        <is>
          <t>ENVIADO</t>
        </is>
      </c>
      <c r="G21" s="7" t="inlineStr">
        <is>
          <t>627721</t>
        </is>
      </c>
      <c r="H21" s="7" t="inlineStr">
        <is>
          <t>2026-07-23 00:00:00</t>
        </is>
      </c>
    </row>
    <row r="22">
      <c r="A22" s="7" t="inlineStr">
        <is>
          <t>88717568</t>
        </is>
      </c>
      <c r="B22" s="7" t="n">
        <v>11262231</v>
      </c>
      <c r="C22" s="7" t="inlineStr">
        <is>
          <t>CAIXA 07/2026</t>
        </is>
      </c>
      <c r="D22" s="7" t="inlineStr">
        <is>
          <t>DESPESA JULHO/26</t>
        </is>
      </c>
      <c r="E22" s="7" t="n">
        <v>5</v>
      </c>
      <c r="F22" s="7" t="inlineStr">
        <is>
          <t>ENVIADO</t>
        </is>
      </c>
      <c r="G22" s="7" t="inlineStr">
        <is>
          <t>627721</t>
        </is>
      </c>
      <c r="H22" s="7" t="inlineStr">
        <is>
          <t>2026-07-06 00:00:00</t>
        </is>
      </c>
    </row>
    <row r="23">
      <c r="A23" s="7" t="inlineStr">
        <is>
          <t>88720902</t>
        </is>
      </c>
      <c r="B23" s="7" t="n">
        <v>11262231</v>
      </c>
      <c r="C23" s="7" t="inlineStr">
        <is>
          <t>CAIXA 07/2026</t>
        </is>
      </c>
      <c r="D23" s="7" t="inlineStr">
        <is>
          <t>DESPESA JULHO/26</t>
        </is>
      </c>
      <c r="E23" s="7" t="n">
        <v>3</v>
      </c>
      <c r="F23" s="7" t="inlineStr">
        <is>
          <t>ENVIADO</t>
        </is>
      </c>
      <c r="G23" s="7" t="inlineStr">
        <is>
          <t>627721</t>
        </is>
      </c>
      <c r="H23" s="7" t="inlineStr">
        <is>
          <t>2026-07-30 00:00:00</t>
        </is>
      </c>
    </row>
    <row r="25">
      <c r="A25" s="5">
        <f>== VALORES DIFERENTES (mesmo expense ID, valor diferente) ===</f>
        <v/>
      </c>
    </row>
    <row r="26">
      <c r="A26" s="1" t="inlineStr">
        <is>
          <t>Expense ID</t>
        </is>
      </c>
      <c r="B26" s="1" t="inlineStr">
        <is>
          <t>Report ID (Ref)</t>
        </is>
      </c>
      <c r="C26" s="1" t="inlineStr">
        <is>
          <t>Report ID (Ours)</t>
        </is>
      </c>
      <c r="D26" s="1" t="inlineStr">
        <is>
          <t>Descrição (Ref)</t>
        </is>
      </c>
      <c r="E26" s="1" t="inlineStr">
        <is>
          <t>Descrição (Ours)</t>
        </is>
      </c>
      <c r="F26" s="1" t="inlineStr">
        <is>
          <t>Valor Ref</t>
        </is>
      </c>
      <c r="G26" s="1" t="inlineStr">
        <is>
          <t>Valor Automação</t>
        </is>
      </c>
      <c r="H26" s="1" t="inlineStr">
        <is>
          <t>Diferença</t>
        </is>
      </c>
    </row>
    <row r="28">
      <c r="A28" s="6">
        <f>== TOTAIS ===</f>
        <v/>
      </c>
    </row>
    <row r="29">
      <c r="A29" t="inlineStr"/>
      <c r="B29" t="inlineStr"/>
      <c r="C29" t="inlineStr"/>
      <c r="D29" t="inlineStr"/>
      <c r="E29" t="inlineStr">
        <is>
          <t>Soma Só Ref</t>
        </is>
      </c>
      <c r="F29" t="inlineStr">
        <is>
          <t>Soma Só Automação</t>
        </is>
      </c>
      <c r="G29" t="inlineStr">
        <is>
          <t>Dif Valores</t>
        </is>
      </c>
      <c r="H29" t="inlineStr"/>
    </row>
    <row r="30">
      <c r="A30" t="inlineStr"/>
      <c r="B30" t="inlineStr"/>
      <c r="C30" t="inlineStr"/>
      <c r="D30" t="inlineStr"/>
      <c r="E30" t="n">
        <v>0</v>
      </c>
      <c r="F30" t="n">
        <v>1399.59</v>
      </c>
      <c r="G30" t="n">
        <v>0</v>
      </c>
      <c r="H30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35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2">
        <f>== SÓ NA REFERÊNCIA (não temos na automação) ===</f>
        <v/>
      </c>
    </row>
    <row r="2">
      <c r="A2" s="1" t="inlineStr">
        <is>
          <t>Expense ID</t>
        </is>
      </c>
      <c r="B2" s="1" t="inlineStr">
        <is>
          <t>Report ID</t>
        </is>
      </c>
      <c r="C2" s="1" t="inlineStr">
        <is>
          <t>Report Name</t>
        </is>
      </c>
      <c r="D2" s="1" t="inlineStr">
        <is>
          <t>Descrição</t>
        </is>
      </c>
      <c r="E2" s="1" t="inlineStr">
        <is>
          <t>Valor</t>
        </is>
      </c>
      <c r="F2" s="1" t="inlineStr">
        <is>
          <t>Status</t>
        </is>
      </c>
      <c r="G2" s="1" t="inlineStr">
        <is>
          <t>Forma Pgto</t>
        </is>
      </c>
      <c r="H2" s="1" t="inlineStr">
        <is>
          <t>Data</t>
        </is>
      </c>
    </row>
    <row r="3">
      <c r="A3" s="3" t="inlineStr">
        <is>
          <t>75925001</t>
        </is>
      </c>
      <c r="B3" s="3" t="n">
        <v>8990379</v>
      </c>
      <c r="C3" s="3" t="inlineStr">
        <is>
          <t>FATURA 12/2025</t>
        </is>
      </c>
      <c r="D3" s="3" t="inlineStr">
        <is>
          <t>CASA DO CONSTRUTOR</t>
        </is>
      </c>
      <c r="E3" s="3" t="n">
        <v>40</v>
      </c>
      <c r="F3" s="3" t="inlineStr">
        <is>
          <t>Aprovado</t>
        </is>
      </c>
      <c r="G3" s="3" t="inlineStr">
        <is>
          <t>Saque VExpenses</t>
        </is>
      </c>
      <c r="H3" s="3" t="inlineStr">
        <is>
          <t>03/02/2026</t>
        </is>
      </c>
    </row>
    <row r="5">
      <c r="A5" s="4">
        <f>== SÓ NA AUTOMAÇÃO (não tem na referência) ===</f>
        <v/>
      </c>
    </row>
    <row r="6">
      <c r="A6" s="1" t="inlineStr">
        <is>
          <t>Expense ID</t>
        </is>
      </c>
      <c r="B6" s="1" t="inlineStr">
        <is>
          <t>Report ID</t>
        </is>
      </c>
      <c r="C6" s="1" t="inlineStr">
        <is>
          <t>Report Name</t>
        </is>
      </c>
      <c r="D6" s="1" t="inlineStr">
        <is>
          <t>Descrição</t>
        </is>
      </c>
      <c r="E6" s="1" t="inlineStr">
        <is>
          <t>Valor</t>
        </is>
      </c>
      <c r="F6" s="1" t="inlineStr">
        <is>
          <t>Status</t>
        </is>
      </c>
      <c r="G6" s="1" t="inlineStr">
        <is>
          <t>PMID</t>
        </is>
      </c>
      <c r="H6" s="1" t="inlineStr">
        <is>
          <t>Data</t>
        </is>
      </c>
    </row>
    <row r="8">
      <c r="A8" s="5">
        <f>== VALORES DIFERENTES (mesmo expense ID, valor diferente) ===</f>
        <v/>
      </c>
    </row>
    <row r="9">
      <c r="A9" s="1" t="inlineStr">
        <is>
          <t>Expense ID</t>
        </is>
      </c>
      <c r="B9" s="1" t="inlineStr">
        <is>
          <t>Report ID (Ref)</t>
        </is>
      </c>
      <c r="C9" s="1" t="inlineStr">
        <is>
          <t>Report ID (Ours)</t>
        </is>
      </c>
      <c r="D9" s="1" t="inlineStr">
        <is>
          <t>Descrição (Ref)</t>
        </is>
      </c>
      <c r="E9" s="1" t="inlineStr">
        <is>
          <t>Descrição (Ours)</t>
        </is>
      </c>
      <c r="F9" s="1" t="inlineStr">
        <is>
          <t>Valor Ref</t>
        </is>
      </c>
      <c r="G9" s="1" t="inlineStr">
        <is>
          <t>Valor Automação</t>
        </is>
      </c>
      <c r="H9" s="1" t="inlineStr">
        <is>
          <t>Diferença</t>
        </is>
      </c>
    </row>
    <row r="11">
      <c r="A11" s="6">
        <f>== TOTAIS ===</f>
        <v/>
      </c>
    </row>
    <row r="12">
      <c r="A12" t="inlineStr"/>
      <c r="B12" t="inlineStr"/>
      <c r="C12" t="inlineStr"/>
      <c r="D12" t="inlineStr"/>
      <c r="E12" t="inlineStr">
        <is>
          <t>Soma Só Ref</t>
        </is>
      </c>
      <c r="F12" t="inlineStr">
        <is>
          <t>Soma Só Automação</t>
        </is>
      </c>
      <c r="G12" t="inlineStr">
        <is>
          <t>Dif Valores</t>
        </is>
      </c>
      <c r="H12" t="inlineStr"/>
    </row>
    <row r="13">
      <c r="A13" t="inlineStr"/>
      <c r="B13" t="inlineStr"/>
      <c r="C13" t="inlineStr"/>
      <c r="D13" t="inlineStr"/>
      <c r="E13" t="n">
        <v>40</v>
      </c>
      <c r="F13" t="n">
        <v>0</v>
      </c>
      <c r="G13" t="n">
        <v>0</v>
      </c>
      <c r="H1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35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2">
        <f>== SÓ NA REFERÊNCIA (não temos na automação) ===</f>
        <v/>
      </c>
    </row>
    <row r="2">
      <c r="A2" s="1" t="inlineStr">
        <is>
          <t>Expense ID</t>
        </is>
      </c>
      <c r="B2" s="1" t="inlineStr">
        <is>
          <t>Report ID</t>
        </is>
      </c>
      <c r="C2" s="1" t="inlineStr">
        <is>
          <t>Report Name</t>
        </is>
      </c>
      <c r="D2" s="1" t="inlineStr">
        <is>
          <t>Descrição</t>
        </is>
      </c>
      <c r="E2" s="1" t="inlineStr">
        <is>
          <t>Valor</t>
        </is>
      </c>
      <c r="F2" s="1" t="inlineStr">
        <is>
          <t>Status</t>
        </is>
      </c>
      <c r="G2" s="1" t="inlineStr">
        <is>
          <t>Forma Pgto</t>
        </is>
      </c>
      <c r="H2" s="1" t="inlineStr">
        <is>
          <t>Data</t>
        </is>
      </c>
    </row>
    <row r="3">
      <c r="A3" s="3" t="inlineStr">
        <is>
          <t>86358943</t>
        </is>
      </c>
      <c r="B3" s="3" t="n">
        <v>10866932</v>
      </c>
      <c r="C3" s="3" t="inlineStr">
        <is>
          <t>CAIXA07/2026</t>
        </is>
      </c>
      <c r="D3" s="3" t="inlineStr">
        <is>
          <t>Silvana Panzarin</t>
        </is>
      </c>
      <c r="E3" s="3" t="n">
        <v>500</v>
      </c>
      <c r="F3" s="3" t="inlineStr">
        <is>
          <t>Enviado</t>
        </is>
      </c>
      <c r="G3" s="3" t="inlineStr">
        <is>
          <t>Saque VExpenses</t>
        </is>
      </c>
      <c r="H3" s="3" t="inlineStr">
        <is>
          <t>10/07/2026</t>
        </is>
      </c>
    </row>
    <row r="4">
      <c r="A4" s="3" t="inlineStr">
        <is>
          <t>87061808</t>
        </is>
      </c>
      <c r="B4" s="3" t="n">
        <v>10866932</v>
      </c>
      <c r="C4" s="3" t="inlineStr">
        <is>
          <t>CAIXA07/2026</t>
        </is>
      </c>
      <c r="D4" s="3" t="inlineStr">
        <is>
          <t>BETO PORTOES</t>
        </is>
      </c>
      <c r="E4" s="3" t="n">
        <v>500</v>
      </c>
      <c r="F4" s="3" t="inlineStr">
        <is>
          <t>Enviado</t>
        </is>
      </c>
      <c r="G4" s="3" t="inlineStr">
        <is>
          <t>Saque VExpenses</t>
        </is>
      </c>
      <c r="H4" s="3" t="inlineStr">
        <is>
          <t>22/07/2026</t>
        </is>
      </c>
    </row>
    <row r="5">
      <c r="A5" s="3" t="inlineStr">
        <is>
          <t>87062392</t>
        </is>
      </c>
      <c r="B5" s="3" t="n">
        <v>10866932</v>
      </c>
      <c r="C5" s="3" t="inlineStr">
        <is>
          <t>CAIXA07/2026</t>
        </is>
      </c>
      <c r="D5" s="3" t="inlineStr">
        <is>
          <t>obramax</t>
        </is>
      </c>
      <c r="E5" s="3" t="n">
        <v>495</v>
      </c>
      <c r="F5" s="3" t="inlineStr">
        <is>
          <t>Enviado</t>
        </is>
      </c>
      <c r="G5" s="3" t="inlineStr">
        <is>
          <t>Saque VExpenses</t>
        </is>
      </c>
      <c r="H5" s="3" t="inlineStr">
        <is>
          <t>22/07/2026</t>
        </is>
      </c>
    </row>
    <row r="6">
      <c r="A6" s="3" t="inlineStr">
        <is>
          <t>87064462</t>
        </is>
      </c>
      <c r="B6" s="3" t="n">
        <v>10866932</v>
      </c>
      <c r="C6" s="3" t="inlineStr">
        <is>
          <t>CAIXA07/2026</t>
        </is>
      </c>
      <c r="D6" s="3" t="inlineStr">
        <is>
          <t>Pedágio Colaborador</t>
        </is>
      </c>
      <c r="E6" s="3" t="n">
        <v>372.58</v>
      </c>
      <c r="F6" s="3" t="inlineStr">
        <is>
          <t>Enviado</t>
        </is>
      </c>
      <c r="G6" s="3" t="inlineStr">
        <is>
          <t>Saque VExpenses</t>
        </is>
      </c>
      <c r="H6" s="3" t="inlineStr">
        <is>
          <t>22/07/2026</t>
        </is>
      </c>
    </row>
    <row r="7">
      <c r="A7" s="3" t="inlineStr">
        <is>
          <t>86338764</t>
        </is>
      </c>
      <c r="B7" s="3" t="n">
        <v>10866932</v>
      </c>
      <c r="C7" s="3" t="inlineStr">
        <is>
          <t>CAIXA07/2026</t>
        </is>
      </c>
      <c r="D7" s="3" t="inlineStr">
        <is>
          <t>Oximatao transportes e comércio de gases industriais ltda</t>
        </is>
      </c>
      <c r="E7" s="3" t="n">
        <v>340</v>
      </c>
      <c r="F7" s="3" t="inlineStr">
        <is>
          <t>Enviado</t>
        </is>
      </c>
      <c r="G7" s="3" t="inlineStr">
        <is>
          <t>Saque VExpenses</t>
        </is>
      </c>
      <c r="H7" s="3" t="inlineStr">
        <is>
          <t>08/07/2026</t>
        </is>
      </c>
    </row>
    <row r="8">
      <c r="A8" s="3" t="inlineStr">
        <is>
          <t>85879367</t>
        </is>
      </c>
      <c r="B8" s="3" t="n">
        <v>10866932</v>
      </c>
      <c r="C8" s="3" t="inlineStr">
        <is>
          <t>CAIXA07/2026</t>
        </is>
      </c>
      <c r="D8" s="3" t="inlineStr">
        <is>
          <t>BMB MATERIAL DE CONSTRUÇÃO SA</t>
        </is>
      </c>
      <c r="E8" s="3" t="n">
        <v>279</v>
      </c>
      <c r="F8" s="3" t="inlineStr">
        <is>
          <t>Enviado</t>
        </is>
      </c>
      <c r="G8" s="3" t="inlineStr">
        <is>
          <t>Saque VExpenses</t>
        </is>
      </c>
      <c r="H8" s="3" t="inlineStr">
        <is>
          <t>02/07/2026</t>
        </is>
      </c>
    </row>
    <row r="9">
      <c r="A9" s="3" t="inlineStr">
        <is>
          <t>87063799</t>
        </is>
      </c>
      <c r="B9" s="3" t="n">
        <v>10866932</v>
      </c>
      <c r="C9" s="3" t="inlineStr">
        <is>
          <t>CAIXA07/2026</t>
        </is>
      </c>
      <c r="D9" s="3" t="inlineStr">
        <is>
          <t>Klint</t>
        </is>
      </c>
      <c r="E9" s="3" t="n">
        <v>246.58</v>
      </c>
      <c r="F9" s="3" t="inlineStr">
        <is>
          <t>Enviado</t>
        </is>
      </c>
      <c r="G9" s="3" t="inlineStr">
        <is>
          <t>Saque VExpenses</t>
        </is>
      </c>
      <c r="H9" s="3" t="inlineStr">
        <is>
          <t>22/07/2026</t>
        </is>
      </c>
    </row>
    <row r="10">
      <c r="A10" s="3" t="inlineStr">
        <is>
          <t>87651422</t>
        </is>
      </c>
      <c r="B10" s="3" t="n">
        <v>10866932</v>
      </c>
      <c r="C10" s="3" t="inlineStr">
        <is>
          <t>CAIXA07/2026</t>
        </is>
      </c>
      <c r="D10" s="3" t="inlineStr">
        <is>
          <t>OBRAMAX</t>
        </is>
      </c>
      <c r="E10" s="3" t="n">
        <v>235.15</v>
      </c>
      <c r="F10" s="3" t="inlineStr">
        <is>
          <t>Enviado</t>
        </is>
      </c>
      <c r="G10" s="3" t="inlineStr">
        <is>
          <t>Cartão VExpenses</t>
        </is>
      </c>
      <c r="H10" s="3" t="inlineStr">
        <is>
          <t>30/07/2026</t>
        </is>
      </c>
    </row>
    <row r="11">
      <c r="A11" s="3" t="inlineStr">
        <is>
          <t>85880926</t>
        </is>
      </c>
      <c r="B11" s="3" t="n">
        <v>10866932</v>
      </c>
      <c r="C11" s="3" t="inlineStr">
        <is>
          <t>CAIXA07/2026</t>
        </is>
      </c>
      <c r="D11" s="3" t="inlineStr">
        <is>
          <t>LIMPEZA BASE PIRACICABA</t>
        </is>
      </c>
      <c r="E11" s="3" t="n">
        <v>220</v>
      </c>
      <c r="F11" s="3" t="inlineStr">
        <is>
          <t>Enviado</t>
        </is>
      </c>
      <c r="G11" s="3" t="inlineStr">
        <is>
          <t>Saque VExpenses</t>
        </is>
      </c>
      <c r="H11" s="3" t="inlineStr">
        <is>
          <t>02/07/2026</t>
        </is>
      </c>
    </row>
    <row r="12">
      <c r="A12" s="3" t="inlineStr">
        <is>
          <t>85910098</t>
        </is>
      </c>
      <c r="B12" s="3" t="n">
        <v>10866932</v>
      </c>
      <c r="C12" s="3" t="inlineStr">
        <is>
          <t>CAIXA07/2026</t>
        </is>
      </c>
      <c r="D12" s="3" t="inlineStr">
        <is>
          <t>FRIGELAR COMERCIO E INDUSTRIA LTDA</t>
        </is>
      </c>
      <c r="E12" s="3" t="n">
        <v>204</v>
      </c>
      <c r="F12" s="3" t="inlineStr">
        <is>
          <t>Enviado</t>
        </is>
      </c>
      <c r="G12" s="3" t="inlineStr">
        <is>
          <t>Saque VExpenses</t>
        </is>
      </c>
      <c r="H12" s="3" t="inlineStr">
        <is>
          <t>03/07/2026</t>
        </is>
      </c>
    </row>
    <row r="13">
      <c r="A13" s="3" t="inlineStr">
        <is>
          <t>86340396</t>
        </is>
      </c>
      <c r="B13" s="3" t="n">
        <v>10866932</v>
      </c>
      <c r="C13" s="3" t="inlineStr">
        <is>
          <t>CAIXA07/2026</t>
        </is>
      </c>
      <c r="D13" s="3" t="inlineStr">
        <is>
          <t>Nascimento refrigeração peças ltda</t>
        </is>
      </c>
      <c r="E13" s="3" t="n">
        <v>204</v>
      </c>
      <c r="F13" s="3" t="inlineStr">
        <is>
          <t>Enviado</t>
        </is>
      </c>
      <c r="G13" s="3" t="inlineStr">
        <is>
          <t>Saque VExpenses</t>
        </is>
      </c>
      <c r="H13" s="3" t="inlineStr">
        <is>
          <t>08/07/2026</t>
        </is>
      </c>
    </row>
    <row r="14">
      <c r="A14" s="3" t="inlineStr">
        <is>
          <t>87700680</t>
        </is>
      </c>
      <c r="B14" s="3" t="n">
        <v>10866932</v>
      </c>
      <c r="C14" s="3" t="inlineStr">
        <is>
          <t>CAIXA07/2026</t>
        </is>
      </c>
      <c r="D14" s="3" t="inlineStr">
        <is>
          <t>Consumac comercial ltda</t>
        </is>
      </c>
      <c r="E14" s="3" t="n">
        <v>200</v>
      </c>
      <c r="F14" s="3" t="inlineStr">
        <is>
          <t>Enviado</t>
        </is>
      </c>
      <c r="G14" s="3" t="inlineStr">
        <is>
          <t>Saque VExpenses</t>
        </is>
      </c>
      <c r="H14" s="3" t="inlineStr">
        <is>
          <t>28/07/2026</t>
        </is>
      </c>
    </row>
    <row r="15">
      <c r="A15" s="3" t="inlineStr">
        <is>
          <t>85787382</t>
        </is>
      </c>
      <c r="B15" s="3" t="n">
        <v>10866932</v>
      </c>
      <c r="C15" s="3" t="inlineStr">
        <is>
          <t>CAIXA07/2026</t>
        </is>
      </c>
      <c r="D15" s="3" t="inlineStr">
        <is>
          <t>OBRAMAX</t>
        </is>
      </c>
      <c r="E15" s="3" t="n">
        <v>194.68</v>
      </c>
      <c r="F15" s="3" t="inlineStr">
        <is>
          <t>Enviado</t>
        </is>
      </c>
      <c r="G15" s="3" t="inlineStr">
        <is>
          <t>Cartão VExpenses</t>
        </is>
      </c>
      <c r="H15" s="3" t="inlineStr">
        <is>
          <t>02/07/2026</t>
        </is>
      </c>
    </row>
    <row r="16">
      <c r="A16" s="3" t="inlineStr">
        <is>
          <t>86786320</t>
        </is>
      </c>
      <c r="B16" s="3" t="n">
        <v>10866932</v>
      </c>
      <c r="C16" s="3" t="inlineStr">
        <is>
          <t>CAIXA07/2026</t>
        </is>
      </c>
      <c r="D16" s="3" t="inlineStr">
        <is>
          <t>DAAZ ROLAMENTOS FERRA</t>
        </is>
      </c>
      <c r="E16" s="3" t="n">
        <v>171</v>
      </c>
      <c r="F16" s="3" t="inlineStr">
        <is>
          <t>Enviado</t>
        </is>
      </c>
      <c r="G16" s="3" t="inlineStr">
        <is>
          <t>Cartão VExpenses</t>
        </is>
      </c>
      <c r="H16" s="3" t="inlineStr">
        <is>
          <t>17/07/2026</t>
        </is>
      </c>
    </row>
    <row r="17">
      <c r="A17" s="3" t="inlineStr">
        <is>
          <t>85909618</t>
        </is>
      </c>
      <c r="B17" s="3" t="n">
        <v>10866932</v>
      </c>
      <c r="C17" s="3" t="inlineStr">
        <is>
          <t>CAIXA07/2026</t>
        </is>
      </c>
      <c r="D17" s="3" t="inlineStr">
        <is>
          <t>Mult suportes eletrônicos ltda</t>
        </is>
      </c>
      <c r="E17" s="3" t="n">
        <v>140</v>
      </c>
      <c r="F17" s="3" t="inlineStr">
        <is>
          <t>Enviado</t>
        </is>
      </c>
      <c r="G17" s="3" t="inlineStr">
        <is>
          <t>Saque VExpenses</t>
        </is>
      </c>
      <c r="H17" s="3" t="inlineStr">
        <is>
          <t>02/07/2026</t>
        </is>
      </c>
    </row>
    <row r="18">
      <c r="A18" s="3" t="inlineStr">
        <is>
          <t>87063575</t>
        </is>
      </c>
      <c r="B18" s="3" t="n">
        <v>10866932</v>
      </c>
      <c r="C18" s="3" t="inlineStr">
        <is>
          <t>CAIXA07/2026</t>
        </is>
      </c>
      <c r="D18" s="3" t="inlineStr">
        <is>
          <t>mangueiras 3r</t>
        </is>
      </c>
      <c r="E18" s="3" t="n">
        <v>124</v>
      </c>
      <c r="F18" s="3" t="inlineStr">
        <is>
          <t>Enviado</t>
        </is>
      </c>
      <c r="G18" s="3" t="inlineStr">
        <is>
          <t>Saque VExpenses</t>
        </is>
      </c>
      <c r="H18" s="3" t="inlineStr">
        <is>
          <t>22/07/2026</t>
        </is>
      </c>
    </row>
    <row r="19">
      <c r="A19" s="3" t="inlineStr">
        <is>
          <t>87565412</t>
        </is>
      </c>
      <c r="B19" s="3" t="n">
        <v>10866932</v>
      </c>
      <c r="C19" s="3" t="inlineStr">
        <is>
          <t>CAIXA07/2026</t>
        </is>
      </c>
      <c r="D19" s="3" t="inlineStr">
        <is>
          <t>CONSUMAQ COMERCIAL LTD</t>
        </is>
      </c>
      <c r="E19" s="3" t="n">
        <v>120</v>
      </c>
      <c r="F19" s="3" t="inlineStr">
        <is>
          <t>Enviado</t>
        </is>
      </c>
      <c r="G19" s="3" t="inlineStr">
        <is>
          <t>Cartão VExpenses</t>
        </is>
      </c>
      <c r="H19" s="3" t="inlineStr">
        <is>
          <t>29/07/2026</t>
        </is>
      </c>
    </row>
    <row r="20">
      <c r="A20" s="3" t="inlineStr">
        <is>
          <t>87748500</t>
        </is>
      </c>
      <c r="B20" s="3" t="n">
        <v>10866932</v>
      </c>
      <c r="C20" s="3" t="inlineStr">
        <is>
          <t>CAIXA07/2026</t>
        </is>
      </c>
      <c r="D20" s="3" t="inlineStr">
        <is>
          <t>CONSUMAQ COMERCIAL LTD</t>
        </is>
      </c>
      <c r="E20" s="3" t="n">
        <v>120</v>
      </c>
      <c r="F20" s="3" t="inlineStr">
        <is>
          <t>Enviado</t>
        </is>
      </c>
      <c r="G20" s="3" t="inlineStr">
        <is>
          <t>Cartão VExpenses</t>
        </is>
      </c>
      <c r="H20" s="3" t="inlineStr">
        <is>
          <t>31/07/2026</t>
        </is>
      </c>
    </row>
    <row r="21">
      <c r="A21" s="3" t="inlineStr">
        <is>
          <t>87473713</t>
        </is>
      </c>
      <c r="B21" s="3" t="n">
        <v>10866932</v>
      </c>
      <c r="C21" s="3" t="inlineStr">
        <is>
          <t>CAIXA07/2026</t>
        </is>
      </c>
      <c r="D21" s="3" t="inlineStr">
        <is>
          <t>OBRAMAX</t>
        </is>
      </c>
      <c r="E21" s="3" t="n">
        <v>119.8</v>
      </c>
      <c r="F21" s="3" t="inlineStr">
        <is>
          <t>Enviado</t>
        </is>
      </c>
      <c r="G21" s="3" t="inlineStr">
        <is>
          <t>Cartão VExpenses</t>
        </is>
      </c>
      <c r="H21" s="3" t="inlineStr">
        <is>
          <t>28/07/2026</t>
        </is>
      </c>
    </row>
    <row r="22">
      <c r="A22" s="3" t="inlineStr">
        <is>
          <t>86637725</t>
        </is>
      </c>
      <c r="B22" s="3" t="n">
        <v>10866932</v>
      </c>
      <c r="C22" s="3" t="inlineStr">
        <is>
          <t>CAIXA07/2026</t>
        </is>
      </c>
      <c r="D22" s="3" t="inlineStr">
        <is>
          <t>OBRAMAX</t>
        </is>
      </c>
      <c r="E22" s="3" t="n">
        <v>114.34</v>
      </c>
      <c r="F22" s="3" t="inlineStr">
        <is>
          <t>Enviado</t>
        </is>
      </c>
      <c r="G22" s="3" t="inlineStr">
        <is>
          <t>Cartão VExpenses</t>
        </is>
      </c>
      <c r="H22" s="3" t="inlineStr">
        <is>
          <t>15/07/2026</t>
        </is>
      </c>
    </row>
    <row r="23">
      <c r="A23" s="3" t="inlineStr">
        <is>
          <t>87062168</t>
        </is>
      </c>
      <c r="B23" s="3" t="n">
        <v>10866932</v>
      </c>
      <c r="C23" s="3" t="inlineStr">
        <is>
          <t>CAIXA07/2026</t>
        </is>
      </c>
      <c r="D23" s="3" t="inlineStr">
        <is>
          <t>cold shop</t>
        </is>
      </c>
      <c r="E23" s="3" t="n">
        <v>102</v>
      </c>
      <c r="F23" s="3" t="inlineStr">
        <is>
          <t>Enviado</t>
        </is>
      </c>
      <c r="G23" s="3" t="inlineStr">
        <is>
          <t>Saque VExpenses</t>
        </is>
      </c>
      <c r="H23" s="3" t="inlineStr">
        <is>
          <t>22/07/2026</t>
        </is>
      </c>
    </row>
    <row r="24">
      <c r="A24" s="3" t="inlineStr">
        <is>
          <t>87701455</t>
        </is>
      </c>
      <c r="B24" s="3" t="n">
        <v>10866932</v>
      </c>
      <c r="C24" s="3" t="inlineStr">
        <is>
          <t>CAIXA07/2026</t>
        </is>
      </c>
      <c r="D24" s="3" t="inlineStr">
        <is>
          <t>S. V. Comércio de Presentes Ltda</t>
        </is>
      </c>
      <c r="E24" s="3" t="n">
        <v>64.97</v>
      </c>
      <c r="F24" s="3" t="inlineStr">
        <is>
          <t>Enviado</t>
        </is>
      </c>
      <c r="G24" s="3" t="inlineStr">
        <is>
          <t>Saque VExpenses</t>
        </is>
      </c>
      <c r="H24" s="3" t="inlineStr">
        <is>
          <t>20/07/2026</t>
        </is>
      </c>
    </row>
    <row r="25">
      <c r="A25" s="3" t="inlineStr">
        <is>
          <t>86718046</t>
        </is>
      </c>
      <c r="B25" s="3" t="n">
        <v>10866932</v>
      </c>
      <c r="C25" s="3" t="inlineStr">
        <is>
          <t>CAIXA07/2026</t>
        </is>
      </c>
      <c r="D25" s="3" t="inlineStr">
        <is>
          <t>ATACADAO 819 AS</t>
        </is>
      </c>
      <c r="E25" s="3" t="n">
        <v>60.56</v>
      </c>
      <c r="F25" s="3" t="inlineStr">
        <is>
          <t>Enviado</t>
        </is>
      </c>
      <c r="G25" s="3" t="inlineStr">
        <is>
          <t>Cartão VExpenses</t>
        </is>
      </c>
      <c r="H25" s="3" t="inlineStr">
        <is>
          <t>16/07/2026</t>
        </is>
      </c>
    </row>
    <row r="26">
      <c r="A26" s="3" t="inlineStr">
        <is>
          <t>86338507</t>
        </is>
      </c>
      <c r="B26" s="3" t="n">
        <v>10866932</v>
      </c>
      <c r="C26" s="3" t="inlineStr">
        <is>
          <t>CAIXA07/2026</t>
        </is>
      </c>
      <c r="D26" s="3" t="inlineStr">
        <is>
          <t>Nascimento refrigeração ltda</t>
        </is>
      </c>
      <c r="E26" s="3" t="n">
        <v>54</v>
      </c>
      <c r="F26" s="3" t="inlineStr">
        <is>
          <t>Enviado</t>
        </is>
      </c>
      <c r="G26" s="3" t="inlineStr">
        <is>
          <t>Saque VExpenses</t>
        </is>
      </c>
      <c r="H26" s="3" t="inlineStr">
        <is>
          <t>08/07/2026</t>
        </is>
      </c>
    </row>
    <row r="27">
      <c r="A27" s="3" t="inlineStr">
        <is>
          <t>86358754</t>
        </is>
      </c>
      <c r="B27" s="3" t="n">
        <v>10866932</v>
      </c>
      <c r="C27" s="3" t="inlineStr">
        <is>
          <t>CAIXA07/2026</t>
        </is>
      </c>
      <c r="D27" s="3" t="inlineStr">
        <is>
          <t>Trelifer material para construção ltda</t>
        </is>
      </c>
      <c r="E27" s="3" t="n">
        <v>54</v>
      </c>
      <c r="F27" s="3" t="inlineStr">
        <is>
          <t>Enviado</t>
        </is>
      </c>
      <c r="G27" s="3" t="inlineStr">
        <is>
          <t>Saque VExpenses</t>
        </is>
      </c>
      <c r="H27" s="3" t="inlineStr">
        <is>
          <t>08/07/2026</t>
        </is>
      </c>
    </row>
    <row r="28">
      <c r="A28" s="3" t="inlineStr">
        <is>
          <t>86337776</t>
        </is>
      </c>
      <c r="B28" s="3" t="n">
        <v>10866932</v>
      </c>
      <c r="C28" s="3" t="inlineStr">
        <is>
          <t>CAIXA07/2026</t>
        </is>
      </c>
      <c r="D28" s="3" t="inlineStr">
        <is>
          <t>Proença comércio de peças ltda</t>
        </is>
      </c>
      <c r="E28" s="3" t="n">
        <v>40</v>
      </c>
      <c r="F28" s="3" t="inlineStr">
        <is>
          <t>Enviado</t>
        </is>
      </c>
      <c r="G28" s="3" t="inlineStr">
        <is>
          <t>Saque VExpenses</t>
        </is>
      </c>
      <c r="H28" s="3" t="inlineStr">
        <is>
          <t>07/07/2026</t>
        </is>
      </c>
    </row>
    <row r="29">
      <c r="A29" s="3" t="inlineStr">
        <is>
          <t>85909609</t>
        </is>
      </c>
      <c r="B29" s="3" t="n">
        <v>10866932</v>
      </c>
      <c r="C29" s="3" t="inlineStr">
        <is>
          <t>CAIXA07/2026</t>
        </is>
      </c>
      <c r="D29" s="3" t="inlineStr">
        <is>
          <t>Coper frio comércio de peças para refrigeração ltda</t>
        </is>
      </c>
      <c r="E29" s="3" t="n">
        <v>38</v>
      </c>
      <c r="F29" s="3" t="inlineStr">
        <is>
          <t>Enviado</t>
        </is>
      </c>
      <c r="G29" s="3" t="inlineStr">
        <is>
          <t>Saque VExpenses</t>
        </is>
      </c>
      <c r="H29" s="3" t="inlineStr">
        <is>
          <t>02/07/2026</t>
        </is>
      </c>
    </row>
    <row r="30">
      <c r="A30" s="3" t="inlineStr">
        <is>
          <t>86336478</t>
        </is>
      </c>
      <c r="B30" s="3" t="n">
        <v>10866932</v>
      </c>
      <c r="C30" s="3" t="inlineStr">
        <is>
          <t>CAIXA07/2026</t>
        </is>
      </c>
      <c r="D30" s="3" t="inlineStr">
        <is>
          <t>Casa da borracha piracicaba ltda epp</t>
        </is>
      </c>
      <c r="E30" s="3" t="n">
        <v>35.85</v>
      </c>
      <c r="F30" s="3" t="inlineStr">
        <is>
          <t>Enviado</t>
        </is>
      </c>
      <c r="G30" s="3" t="inlineStr">
        <is>
          <t>Saque VExpenses</t>
        </is>
      </c>
      <c r="H30" s="3" t="inlineStr">
        <is>
          <t>06/07/2026</t>
        </is>
      </c>
    </row>
    <row r="31">
      <c r="A31" s="3" t="inlineStr">
        <is>
          <t>86338240</t>
        </is>
      </c>
      <c r="B31" s="3" t="n">
        <v>10866932</v>
      </c>
      <c r="C31" s="3" t="inlineStr">
        <is>
          <t>CAIXA07/2026</t>
        </is>
      </c>
      <c r="D31" s="3" t="inlineStr">
        <is>
          <t>RR parafusos</t>
        </is>
      </c>
      <c r="E31" s="3" t="n">
        <v>34.12</v>
      </c>
      <c r="F31" s="3" t="inlineStr">
        <is>
          <t>Enviado</t>
        </is>
      </c>
      <c r="G31" s="3" t="inlineStr">
        <is>
          <t>Saque VExpenses</t>
        </is>
      </c>
      <c r="H31" s="3" t="inlineStr">
        <is>
          <t>07/07/2026</t>
        </is>
      </c>
    </row>
    <row r="32">
      <c r="A32" s="3" t="inlineStr">
        <is>
          <t>87701880</t>
        </is>
      </c>
      <c r="B32" s="3" t="n">
        <v>10866932</v>
      </c>
      <c r="C32" s="3" t="inlineStr">
        <is>
          <t>CAIXA07/2026</t>
        </is>
      </c>
      <c r="D32" s="3" t="inlineStr">
        <is>
          <t>Tem de tudo Romera</t>
        </is>
      </c>
      <c r="E32" s="3" t="n">
        <v>24.56</v>
      </c>
      <c r="F32" s="3" t="inlineStr">
        <is>
          <t>Enviado</t>
        </is>
      </c>
      <c r="G32" s="3" t="inlineStr">
        <is>
          <t>Saque VExpenses</t>
        </is>
      </c>
      <c r="H32" s="3" t="inlineStr">
        <is>
          <t>30/07/2026</t>
        </is>
      </c>
    </row>
    <row r="33">
      <c r="A33" s="3" t="inlineStr">
        <is>
          <t>87063697</t>
        </is>
      </c>
      <c r="B33" s="3" t="n">
        <v>10866932</v>
      </c>
      <c r="C33" s="3" t="inlineStr">
        <is>
          <t>CAIXA07/2026</t>
        </is>
      </c>
      <c r="D33" s="3" t="inlineStr">
        <is>
          <t>daaz</t>
        </is>
      </c>
      <c r="E33" s="3" t="n">
        <v>22.7</v>
      </c>
      <c r="F33" s="3" t="inlineStr">
        <is>
          <t>Enviado</t>
        </is>
      </c>
      <c r="G33" s="3" t="inlineStr">
        <is>
          <t>Saque VExpenses</t>
        </is>
      </c>
      <c r="H33" s="3" t="inlineStr">
        <is>
          <t>22/07/2026</t>
        </is>
      </c>
    </row>
    <row r="34">
      <c r="A34" s="3" t="inlineStr">
        <is>
          <t>87529134</t>
        </is>
      </c>
      <c r="B34" s="3" t="n">
        <v>10866932</v>
      </c>
      <c r="C34" s="3" t="inlineStr">
        <is>
          <t>CAIXA07/2026</t>
        </is>
      </c>
      <c r="D34" s="3" t="inlineStr">
        <is>
          <t>CRB FPAY</t>
        </is>
      </c>
      <c r="E34" s="3" t="n">
        <v>16.1</v>
      </c>
      <c r="F34" s="3" t="inlineStr">
        <is>
          <t>Enviado</t>
        </is>
      </c>
      <c r="G34" s="3" t="inlineStr">
        <is>
          <t>Cartão VExpenses</t>
        </is>
      </c>
      <c r="H34" s="3" t="inlineStr">
        <is>
          <t>29/07/2026</t>
        </is>
      </c>
    </row>
    <row r="35">
      <c r="A35" s="3" t="inlineStr">
        <is>
          <t>87764220</t>
        </is>
      </c>
      <c r="B35" s="3" t="n">
        <v>10866932</v>
      </c>
      <c r="C35" s="3" t="inlineStr">
        <is>
          <t>CAIXA07/2026</t>
        </is>
      </c>
      <c r="D35" s="3" t="inlineStr">
        <is>
          <t>CRB FPAY</t>
        </is>
      </c>
      <c r="E35" s="3" t="n">
        <v>16.1</v>
      </c>
      <c r="F35" s="3" t="inlineStr">
        <is>
          <t>Enviado</t>
        </is>
      </c>
      <c r="G35" s="3" t="inlineStr">
        <is>
          <t>Cartão VExpenses</t>
        </is>
      </c>
      <c r="H35" s="3" t="inlineStr">
        <is>
          <t>31/07/2026</t>
        </is>
      </c>
    </row>
    <row r="36">
      <c r="A36" s="3" t="inlineStr">
        <is>
          <t>85686986</t>
        </is>
      </c>
      <c r="B36" s="3" t="n">
        <v>10866932</v>
      </c>
      <c r="C36" s="3" t="inlineStr">
        <is>
          <t>CAIXA07/2026</t>
        </is>
      </c>
      <c r="D36" s="3" t="inlineStr">
        <is>
          <t>CRB FPAY</t>
        </is>
      </c>
      <c r="E36" s="3" t="n">
        <v>16.1</v>
      </c>
      <c r="F36" s="3" t="inlineStr">
        <is>
          <t>Enviado</t>
        </is>
      </c>
      <c r="G36" s="3" t="inlineStr">
        <is>
          <t>Cartão VExpenses</t>
        </is>
      </c>
      <c r="H36" s="3" t="inlineStr">
        <is>
          <t>01/07/2026</t>
        </is>
      </c>
    </row>
    <row r="37">
      <c r="A37" s="3" t="inlineStr">
        <is>
          <t>87610762</t>
        </is>
      </c>
      <c r="B37" s="3" t="n">
        <v>10866932</v>
      </c>
      <c r="C37" s="3" t="inlineStr">
        <is>
          <t>CAIXA07/2026</t>
        </is>
      </c>
      <c r="D37" s="3" t="inlineStr">
        <is>
          <t>CRB FPAY</t>
        </is>
      </c>
      <c r="E37" s="3" t="n">
        <v>16.1</v>
      </c>
      <c r="F37" s="3" t="inlineStr">
        <is>
          <t>Enviado</t>
        </is>
      </c>
      <c r="G37" s="3" t="inlineStr">
        <is>
          <t>Cartão VExpenses</t>
        </is>
      </c>
      <c r="H37" s="3" t="inlineStr">
        <is>
          <t>30/07/2026</t>
        </is>
      </c>
    </row>
    <row r="38">
      <c r="A38" s="3" t="inlineStr">
        <is>
          <t>85780631</t>
        </is>
      </c>
      <c r="B38" s="3" t="n">
        <v>10866932</v>
      </c>
      <c r="C38" s="3" t="inlineStr">
        <is>
          <t>CAIXA07/2026</t>
        </is>
      </c>
      <c r="D38" s="3" t="inlineStr">
        <is>
          <t>CRB FPAY</t>
        </is>
      </c>
      <c r="E38" s="3" t="n">
        <v>16.1</v>
      </c>
      <c r="F38" s="3" t="inlineStr">
        <is>
          <t>Enviado</t>
        </is>
      </c>
      <c r="G38" s="3" t="inlineStr">
        <is>
          <t>Cartão VExpenses</t>
        </is>
      </c>
      <c r="H38" s="3" t="inlineStr">
        <is>
          <t>02/07/2026</t>
        </is>
      </c>
    </row>
    <row r="39">
      <c r="A39" s="3" t="inlineStr">
        <is>
          <t>85931671</t>
        </is>
      </c>
      <c r="B39" s="3" t="n">
        <v>10866932</v>
      </c>
      <c r="C39" s="3" t="inlineStr">
        <is>
          <t>CAIXA07/2026</t>
        </is>
      </c>
      <c r="D39" s="3" t="inlineStr">
        <is>
          <t>CRB FPAY</t>
        </is>
      </c>
      <c r="E39" s="3" t="n">
        <v>16.1</v>
      </c>
      <c r="F39" s="3" t="inlineStr">
        <is>
          <t>Enviado</t>
        </is>
      </c>
      <c r="G39" s="3" t="inlineStr">
        <is>
          <t>Cartão VExpenses</t>
        </is>
      </c>
      <c r="H39" s="3" t="inlineStr">
        <is>
          <t>03/07/2026</t>
        </is>
      </c>
    </row>
    <row r="40">
      <c r="A40" s="3" t="inlineStr">
        <is>
          <t>86337204</t>
        </is>
      </c>
      <c r="B40" s="3" t="n">
        <v>10866932</v>
      </c>
      <c r="C40" s="3" t="inlineStr">
        <is>
          <t>CAIXA07/2026</t>
        </is>
      </c>
      <c r="D40" s="3" t="inlineStr">
        <is>
          <t>Concessionária rota das bandeiras</t>
        </is>
      </c>
      <c r="E40" s="3" t="n">
        <v>16.1</v>
      </c>
      <c r="F40" s="3" t="inlineStr">
        <is>
          <t>Enviado</t>
        </is>
      </c>
      <c r="G40" s="3" t="inlineStr">
        <is>
          <t>Saque VExpenses</t>
        </is>
      </c>
      <c r="H40" s="3" t="inlineStr">
        <is>
          <t>06/07/2026</t>
        </is>
      </c>
    </row>
    <row r="41">
      <c r="A41" s="3" t="inlineStr">
        <is>
          <t>85760190</t>
        </is>
      </c>
      <c r="B41" s="3" t="n">
        <v>10866932</v>
      </c>
      <c r="C41" s="3" t="inlineStr">
        <is>
          <t>CAIXA07/2026</t>
        </is>
      </c>
      <c r="D41" s="3" t="inlineStr">
        <is>
          <t>CONCESSIONARIA ROTA DA</t>
        </is>
      </c>
      <c r="E41" s="3" t="n">
        <v>16.1</v>
      </c>
      <c r="F41" s="3" t="inlineStr">
        <is>
          <t>Enviado</t>
        </is>
      </c>
      <c r="G41" s="3" t="inlineStr">
        <is>
          <t>Cartão VExpenses</t>
        </is>
      </c>
      <c r="H41" s="3" t="inlineStr">
        <is>
          <t>01/07/2026</t>
        </is>
      </c>
    </row>
    <row r="42">
      <c r="A42" s="3" t="inlineStr">
        <is>
          <t>87674166</t>
        </is>
      </c>
      <c r="B42" s="3" t="n">
        <v>10866932</v>
      </c>
      <c r="C42" s="3" t="inlineStr">
        <is>
          <t>CAIXA07/2026</t>
        </is>
      </c>
      <c r="D42" s="3" t="inlineStr">
        <is>
          <t>CRB FPAY</t>
        </is>
      </c>
      <c r="E42" s="3" t="n">
        <v>16.1</v>
      </c>
      <c r="F42" s="3" t="inlineStr">
        <is>
          <t>Enviado</t>
        </is>
      </c>
      <c r="G42" s="3" t="inlineStr">
        <is>
          <t>Cartão VExpenses</t>
        </is>
      </c>
      <c r="H42" s="3" t="inlineStr">
        <is>
          <t>30/07/2026</t>
        </is>
      </c>
    </row>
    <row r="43">
      <c r="A43" s="3" t="inlineStr">
        <is>
          <t>87512640</t>
        </is>
      </c>
      <c r="B43" s="3" t="n">
        <v>10866932</v>
      </c>
      <c r="C43" s="3" t="inlineStr">
        <is>
          <t>CAIXA07/2026</t>
        </is>
      </c>
      <c r="D43" s="3" t="inlineStr">
        <is>
          <t>CRB FPAY</t>
        </is>
      </c>
      <c r="E43" s="3" t="n">
        <v>16.1</v>
      </c>
      <c r="F43" s="3" t="inlineStr">
        <is>
          <t>Enviado</t>
        </is>
      </c>
      <c r="G43" s="3" t="inlineStr">
        <is>
          <t>Cartão VExpenses</t>
        </is>
      </c>
      <c r="H43" s="3" t="inlineStr">
        <is>
          <t>28/07/2026</t>
        </is>
      </c>
    </row>
    <row r="44">
      <c r="A44" s="3" t="inlineStr">
        <is>
          <t>87593063</t>
        </is>
      </c>
      <c r="B44" s="3" t="n">
        <v>10866932</v>
      </c>
      <c r="C44" s="3" t="inlineStr">
        <is>
          <t>CAIXA07/2026</t>
        </is>
      </c>
      <c r="D44" s="3" t="inlineStr">
        <is>
          <t>CRB FPAY</t>
        </is>
      </c>
      <c r="E44" s="3" t="n">
        <v>16.1</v>
      </c>
      <c r="F44" s="3" t="inlineStr">
        <is>
          <t>Enviado</t>
        </is>
      </c>
      <c r="G44" s="3" t="inlineStr">
        <is>
          <t>Cartão VExpenses</t>
        </is>
      </c>
      <c r="H44" s="3" t="inlineStr">
        <is>
          <t>29/07/2026</t>
        </is>
      </c>
    </row>
    <row r="45">
      <c r="A45" s="3" t="inlineStr">
        <is>
          <t>87700189</t>
        </is>
      </c>
      <c r="B45" s="3" t="n">
        <v>10866932</v>
      </c>
      <c r="C45" s="3" t="inlineStr">
        <is>
          <t>CAIXA07/2026</t>
        </is>
      </c>
      <c r="D45" s="3" t="inlineStr">
        <is>
          <t>Concessionária rota das bandeiras</t>
        </is>
      </c>
      <c r="E45" s="3" t="n">
        <v>16.1</v>
      </c>
      <c r="F45" s="3" t="inlineStr">
        <is>
          <t>Enviado</t>
        </is>
      </c>
      <c r="G45" s="3" t="inlineStr">
        <is>
          <t>Saque VExpenses</t>
        </is>
      </c>
      <c r="H45" s="3" t="inlineStr">
        <is>
          <t>28/07/2026</t>
        </is>
      </c>
    </row>
    <row r="46">
      <c r="A46" s="3" t="inlineStr">
        <is>
          <t>87696258</t>
        </is>
      </c>
      <c r="B46" s="3" t="n">
        <v>10866932</v>
      </c>
      <c r="C46" s="3" t="inlineStr">
        <is>
          <t>CAIXA07/2026</t>
        </is>
      </c>
      <c r="D46" s="3" t="inlineStr">
        <is>
          <t>CRB FPAY</t>
        </is>
      </c>
      <c r="E46" s="3" t="n">
        <v>16.1</v>
      </c>
      <c r="F46" s="3" t="inlineStr">
        <is>
          <t>Enviado</t>
        </is>
      </c>
      <c r="G46" s="3" t="inlineStr">
        <is>
          <t>Cartão VExpenses</t>
        </is>
      </c>
      <c r="H46" s="3" t="inlineStr">
        <is>
          <t>31/07/2026</t>
        </is>
      </c>
    </row>
    <row r="47">
      <c r="A47" s="3" t="inlineStr">
        <is>
          <t>86337085</t>
        </is>
      </c>
      <c r="B47" s="3" t="n">
        <v>10866932</v>
      </c>
      <c r="C47" s="3" t="inlineStr">
        <is>
          <t>CAIXA07/2026</t>
        </is>
      </c>
      <c r="D47" s="3" t="inlineStr">
        <is>
          <t>Concessionária rota das bandeiras</t>
        </is>
      </c>
      <c r="E47" s="3" t="n">
        <v>16.1</v>
      </c>
      <c r="F47" s="3" t="inlineStr">
        <is>
          <t>Enviado</t>
        </is>
      </c>
      <c r="G47" s="3" t="inlineStr">
        <is>
          <t>Saque VExpenses</t>
        </is>
      </c>
      <c r="H47" s="3" t="inlineStr">
        <is>
          <t>10/07/2026</t>
        </is>
      </c>
    </row>
    <row r="48">
      <c r="A48" s="3" t="inlineStr">
        <is>
          <t>86337389</t>
        </is>
      </c>
      <c r="B48" s="3" t="n">
        <v>10866932</v>
      </c>
      <c r="C48" s="3" t="inlineStr">
        <is>
          <t>CAIXA07/2026</t>
        </is>
      </c>
      <c r="D48" s="3" t="inlineStr">
        <is>
          <t>Concessionária sistema anhanguera bandeirantes sa</t>
        </is>
      </c>
      <c r="E48" s="3" t="n">
        <v>12.8</v>
      </c>
      <c r="F48" s="3" t="inlineStr">
        <is>
          <t>Enviado</t>
        </is>
      </c>
      <c r="G48" s="3" t="inlineStr">
        <is>
          <t>Saque VExpenses</t>
        </is>
      </c>
      <c r="H48" s="3" t="inlineStr">
        <is>
          <t>06/07/2026</t>
        </is>
      </c>
    </row>
    <row r="49">
      <c r="A49" s="3" t="inlineStr">
        <is>
          <t>85926674</t>
        </is>
      </c>
      <c r="B49" s="3" t="n">
        <v>10866932</v>
      </c>
      <c r="C49" s="3" t="inlineStr">
        <is>
          <t>CAIXA07/2026</t>
        </is>
      </c>
      <c r="D49" s="3" t="inlineStr">
        <is>
          <t>AUTO BAN</t>
        </is>
      </c>
      <c r="E49" s="3" t="n">
        <v>12.8</v>
      </c>
      <c r="F49" s="3" t="inlineStr">
        <is>
          <t>Enviado</t>
        </is>
      </c>
      <c r="G49" s="3" t="inlineStr">
        <is>
          <t>Cartão VExpenses</t>
        </is>
      </c>
      <c r="H49" s="3" t="inlineStr">
        <is>
          <t>03/07/2026</t>
        </is>
      </c>
    </row>
    <row r="50">
      <c r="A50" s="3" t="inlineStr">
        <is>
          <t>87670145</t>
        </is>
      </c>
      <c r="B50" s="3" t="n">
        <v>10866932</v>
      </c>
      <c r="C50" s="3" t="inlineStr">
        <is>
          <t>CAIXA07/2026</t>
        </is>
      </c>
      <c r="D50" s="3" t="inlineStr">
        <is>
          <t>AUTO BAN</t>
        </is>
      </c>
      <c r="E50" s="3" t="n">
        <v>12.8</v>
      </c>
      <c r="F50" s="3" t="inlineStr">
        <is>
          <t>Enviado</t>
        </is>
      </c>
      <c r="G50" s="3" t="inlineStr">
        <is>
          <t>Cartão VExpenses</t>
        </is>
      </c>
      <c r="H50" s="3" t="inlineStr">
        <is>
          <t>30/07/2026</t>
        </is>
      </c>
    </row>
    <row r="51">
      <c r="A51" s="3" t="inlineStr">
        <is>
          <t>87697145</t>
        </is>
      </c>
      <c r="B51" s="3" t="n">
        <v>10866932</v>
      </c>
      <c r="C51" s="3" t="inlineStr">
        <is>
          <t>CAIXA07/2026</t>
        </is>
      </c>
      <c r="D51" s="3" t="inlineStr">
        <is>
          <t>AUTO BAN</t>
        </is>
      </c>
      <c r="E51" s="3" t="n">
        <v>12.8</v>
      </c>
      <c r="F51" s="3" t="inlineStr">
        <is>
          <t>Enviado</t>
        </is>
      </c>
      <c r="G51" s="3" t="inlineStr">
        <is>
          <t>Cartão VExpenses</t>
        </is>
      </c>
      <c r="H51" s="3" t="inlineStr">
        <is>
          <t>31/07/2026</t>
        </is>
      </c>
    </row>
    <row r="52">
      <c r="A52" s="3" t="inlineStr">
        <is>
          <t>86002776</t>
        </is>
      </c>
      <c r="B52" s="3" t="n">
        <v>10866932</v>
      </c>
      <c r="C52" s="3" t="inlineStr">
        <is>
          <t>CAIXA07/2026</t>
        </is>
      </c>
      <c r="D52" s="3" t="inlineStr">
        <is>
          <t>AUTO BAN</t>
        </is>
      </c>
      <c r="E52" s="3" t="n">
        <v>12.8</v>
      </c>
      <c r="F52" s="3" t="inlineStr">
        <is>
          <t>Enviado</t>
        </is>
      </c>
      <c r="G52" s="3" t="inlineStr">
        <is>
          <t>Cartão VExpenses</t>
        </is>
      </c>
      <c r="H52" s="3" t="inlineStr">
        <is>
          <t>06/07/2026</t>
        </is>
      </c>
    </row>
    <row r="53">
      <c r="A53" s="3" t="inlineStr">
        <is>
          <t>87759177</t>
        </is>
      </c>
      <c r="B53" s="3" t="n">
        <v>10866932</v>
      </c>
      <c r="C53" s="3" t="inlineStr">
        <is>
          <t>CAIXA07/2026</t>
        </is>
      </c>
      <c r="D53" s="3" t="inlineStr">
        <is>
          <t>AUTO BAN</t>
        </is>
      </c>
      <c r="E53" s="3" t="n">
        <v>12.8</v>
      </c>
      <c r="F53" s="3" t="inlineStr">
        <is>
          <t>Enviado</t>
        </is>
      </c>
      <c r="G53" s="3" t="inlineStr">
        <is>
          <t>Cartão VExpenses</t>
        </is>
      </c>
      <c r="H53" s="3" t="inlineStr">
        <is>
          <t>31/07/2026</t>
        </is>
      </c>
    </row>
    <row r="54">
      <c r="A54" s="3" t="inlineStr">
        <is>
          <t>86336954</t>
        </is>
      </c>
      <c r="B54" s="3" t="n">
        <v>10866932</v>
      </c>
      <c r="C54" s="3" t="inlineStr">
        <is>
          <t>CAIXA07/2026</t>
        </is>
      </c>
      <c r="D54" s="3" t="inlineStr">
        <is>
          <t>Concessionária sistema anhanguera bandeirantes sa</t>
        </is>
      </c>
      <c r="E54" s="3" t="n">
        <v>12.8</v>
      </c>
      <c r="F54" s="3" t="inlineStr">
        <is>
          <t>Enviado</t>
        </is>
      </c>
      <c r="G54" s="3" t="inlineStr">
        <is>
          <t>Saque VExpenses</t>
        </is>
      </c>
      <c r="H54" s="3" t="inlineStr">
        <is>
          <t>07/07/2026</t>
        </is>
      </c>
    </row>
    <row r="55">
      <c r="A55" s="3" t="inlineStr">
        <is>
          <t>87700090</t>
        </is>
      </c>
      <c r="B55" s="3" t="n">
        <v>10866932</v>
      </c>
      <c r="C55" s="3" t="inlineStr">
        <is>
          <t>CAIXA07/2026</t>
        </is>
      </c>
      <c r="D55" s="3" t="inlineStr">
        <is>
          <t>Concessionária sistema anhanguera bandeirantes sa</t>
        </is>
      </c>
      <c r="E55" s="3" t="n">
        <v>12.8</v>
      </c>
      <c r="F55" s="3" t="inlineStr">
        <is>
          <t>Enviado</t>
        </is>
      </c>
      <c r="G55" s="3" t="inlineStr">
        <is>
          <t>Saque VExpenses</t>
        </is>
      </c>
      <c r="H55" s="3" t="inlineStr">
        <is>
          <t>28/07/2026</t>
        </is>
      </c>
    </row>
    <row r="56">
      <c r="A56" s="3" t="inlineStr">
        <is>
          <t>87589765</t>
        </is>
      </c>
      <c r="B56" s="3" t="n">
        <v>10866932</v>
      </c>
      <c r="C56" s="3" t="inlineStr">
        <is>
          <t>CAIXA07/2026</t>
        </is>
      </c>
      <c r="D56" s="3" t="inlineStr">
        <is>
          <t>AUTO BAN</t>
        </is>
      </c>
      <c r="E56" s="3" t="n">
        <v>12.8</v>
      </c>
      <c r="F56" s="3" t="inlineStr">
        <is>
          <t>Enviado</t>
        </is>
      </c>
      <c r="G56" s="3" t="inlineStr">
        <is>
          <t>Cartão VExpenses</t>
        </is>
      </c>
      <c r="H56" s="3" t="inlineStr">
        <is>
          <t>29/07/2026</t>
        </is>
      </c>
    </row>
    <row r="57">
      <c r="A57" s="3" t="inlineStr">
        <is>
          <t>85700985</t>
        </is>
      </c>
      <c r="B57" s="3" t="n">
        <v>10866932</v>
      </c>
      <c r="C57" s="3" t="inlineStr">
        <is>
          <t>CAIXA07/2026</t>
        </is>
      </c>
      <c r="D57" s="3" t="inlineStr">
        <is>
          <t>AUTO BAN</t>
        </is>
      </c>
      <c r="E57" s="3" t="n">
        <v>12.8</v>
      </c>
      <c r="F57" s="3" t="inlineStr">
        <is>
          <t>Enviado</t>
        </is>
      </c>
      <c r="G57" s="3" t="inlineStr">
        <is>
          <t>Cartão VExpenses</t>
        </is>
      </c>
      <c r="H57" s="3" t="inlineStr">
        <is>
          <t>01/07/2026</t>
        </is>
      </c>
    </row>
    <row r="58">
      <c r="A58" s="3" t="inlineStr">
        <is>
          <t>85782172</t>
        </is>
      </c>
      <c r="B58" s="3" t="n">
        <v>10866932</v>
      </c>
      <c r="C58" s="3" t="inlineStr">
        <is>
          <t>CAIXA07/2026</t>
        </is>
      </c>
      <c r="D58" s="3" t="inlineStr">
        <is>
          <t>AUTO BAN</t>
        </is>
      </c>
      <c r="E58" s="3" t="n">
        <v>12.8</v>
      </c>
      <c r="F58" s="3" t="inlineStr">
        <is>
          <t>Enviado</t>
        </is>
      </c>
      <c r="G58" s="3" t="inlineStr">
        <is>
          <t>Cartão VExpenses</t>
        </is>
      </c>
      <c r="H58" s="3" t="inlineStr">
        <is>
          <t>02/07/2026</t>
        </is>
      </c>
    </row>
    <row r="59">
      <c r="A59" s="3" t="inlineStr">
        <is>
          <t>85757064</t>
        </is>
      </c>
      <c r="B59" s="3" t="n">
        <v>10866932</v>
      </c>
      <c r="C59" s="3" t="inlineStr">
        <is>
          <t>CAIXA07/2026</t>
        </is>
      </c>
      <c r="D59" s="3" t="inlineStr">
        <is>
          <t>AUTO BAN</t>
        </is>
      </c>
      <c r="E59" s="3" t="n">
        <v>12.8</v>
      </c>
      <c r="F59" s="3" t="inlineStr">
        <is>
          <t>Enviado</t>
        </is>
      </c>
      <c r="G59" s="3" t="inlineStr">
        <is>
          <t>Cartão VExpenses</t>
        </is>
      </c>
      <c r="H59" s="3" t="inlineStr">
        <is>
          <t>01/07/2026</t>
        </is>
      </c>
    </row>
    <row r="60">
      <c r="A60" s="3" t="inlineStr">
        <is>
          <t>87530189</t>
        </is>
      </c>
      <c r="B60" s="3" t="n">
        <v>10866932</v>
      </c>
      <c r="C60" s="3" t="inlineStr">
        <is>
          <t>CAIXA07/2026</t>
        </is>
      </c>
      <c r="D60" s="3" t="inlineStr">
        <is>
          <t>AUTO BAN</t>
        </is>
      </c>
      <c r="E60" s="3" t="n">
        <v>12.8</v>
      </c>
      <c r="F60" s="3" t="inlineStr">
        <is>
          <t>Enviado</t>
        </is>
      </c>
      <c r="G60" s="3" t="inlineStr">
        <is>
          <t>Cartão VExpenses</t>
        </is>
      </c>
      <c r="H60" s="3" t="inlineStr">
        <is>
          <t>29/07/2026</t>
        </is>
      </c>
    </row>
    <row r="61">
      <c r="A61" s="3" t="inlineStr">
        <is>
          <t>87612693</t>
        </is>
      </c>
      <c r="B61" s="3" t="n">
        <v>10866932</v>
      </c>
      <c r="C61" s="3" t="inlineStr">
        <is>
          <t>CAIXA07/2026</t>
        </is>
      </c>
      <c r="D61" s="3" t="inlineStr">
        <is>
          <t>AUTO BAN</t>
        </is>
      </c>
      <c r="E61" s="3" t="n">
        <v>12.8</v>
      </c>
      <c r="F61" s="3" t="inlineStr">
        <is>
          <t>Enviado</t>
        </is>
      </c>
      <c r="G61" s="3" t="inlineStr">
        <is>
          <t>Cartão VExpenses</t>
        </is>
      </c>
      <c r="H61" s="3" t="inlineStr">
        <is>
          <t>30/07/2026</t>
        </is>
      </c>
    </row>
    <row r="62">
      <c r="A62" s="3" t="inlineStr">
        <is>
          <t>87509828</t>
        </is>
      </c>
      <c r="B62" s="3" t="n">
        <v>10866932</v>
      </c>
      <c r="C62" s="3" t="inlineStr">
        <is>
          <t>CAIXA07/2026</t>
        </is>
      </c>
      <c r="D62" s="3" t="inlineStr">
        <is>
          <t>AUTO BAN</t>
        </is>
      </c>
      <c r="E62" s="3" t="n">
        <v>12.8</v>
      </c>
      <c r="F62" s="3" t="inlineStr">
        <is>
          <t>Enviado</t>
        </is>
      </c>
      <c r="G62" s="3" t="inlineStr">
        <is>
          <t>Cartão VExpenses</t>
        </is>
      </c>
      <c r="H62" s="3" t="inlineStr">
        <is>
          <t>28/07/2026</t>
        </is>
      </c>
    </row>
    <row r="63">
      <c r="A63" s="3" t="inlineStr">
        <is>
          <t>85827770</t>
        </is>
      </c>
      <c r="B63" s="3" t="n">
        <v>10866932</v>
      </c>
      <c r="C63" s="3" t="inlineStr">
        <is>
          <t>CAIXA07/2026</t>
        </is>
      </c>
      <c r="D63" s="3" t="inlineStr">
        <is>
          <t>EixoSp</t>
        </is>
      </c>
      <c r="E63" s="3" t="n">
        <v>11.6</v>
      </c>
      <c r="F63" s="3" t="inlineStr">
        <is>
          <t>Enviado</t>
        </is>
      </c>
      <c r="G63" s="3" t="inlineStr">
        <is>
          <t>Cartão VExpenses</t>
        </is>
      </c>
      <c r="H63" s="3" t="inlineStr">
        <is>
          <t>02/07/2026</t>
        </is>
      </c>
    </row>
    <row r="64">
      <c r="A64" s="3" t="inlineStr">
        <is>
          <t>85830403</t>
        </is>
      </c>
      <c r="B64" s="3" t="n">
        <v>10866932</v>
      </c>
      <c r="C64" s="3" t="inlineStr">
        <is>
          <t>CAIXA07/2026</t>
        </is>
      </c>
      <c r="D64" s="3" t="inlineStr">
        <is>
          <t>EixoSp</t>
        </is>
      </c>
      <c r="E64" s="3" t="n">
        <v>10</v>
      </c>
      <c r="F64" s="3" t="inlineStr">
        <is>
          <t>Enviado</t>
        </is>
      </c>
      <c r="G64" s="3" t="inlineStr">
        <is>
          <t>Cartão VExpenses</t>
        </is>
      </c>
      <c r="H64" s="3" t="inlineStr">
        <is>
          <t>02/07/2026</t>
        </is>
      </c>
    </row>
    <row r="65">
      <c r="A65" s="3" t="inlineStr">
        <is>
          <t>85878711</t>
        </is>
      </c>
      <c r="B65" s="3" t="n">
        <v>10866932</v>
      </c>
      <c r="C65" s="3" t="inlineStr">
        <is>
          <t>CAIXA07/2026</t>
        </is>
      </c>
      <c r="D65" s="3" t="inlineStr">
        <is>
          <t>Rodovias das Colinas sa</t>
        </is>
      </c>
      <c r="E65" s="3" t="n">
        <v>9.199999999999999</v>
      </c>
      <c r="F65" s="3" t="inlineStr">
        <is>
          <t>Enviado</t>
        </is>
      </c>
      <c r="G65" s="3" t="inlineStr">
        <is>
          <t>Saque VExpenses</t>
        </is>
      </c>
      <c r="H65" s="3" t="inlineStr">
        <is>
          <t>02/07/2026</t>
        </is>
      </c>
    </row>
    <row r="66">
      <c r="A66" s="3" t="inlineStr">
        <is>
          <t>85909602</t>
        </is>
      </c>
      <c r="B66" s="3" t="n">
        <v>10866932</v>
      </c>
      <c r="C66" s="3" t="inlineStr">
        <is>
          <t>CAIXA07/2026</t>
        </is>
      </c>
      <c r="D66" s="3" t="inlineStr">
        <is>
          <t>Jabu eletrica e hidráulico ltda</t>
        </is>
      </c>
      <c r="E66" s="3" t="n">
        <v>7.23</v>
      </c>
      <c r="F66" s="3" t="inlineStr">
        <is>
          <t>Enviado</t>
        </is>
      </c>
      <c r="G66" s="3" t="inlineStr">
        <is>
          <t>Saque VExpenses</t>
        </is>
      </c>
      <c r="H66" s="3" t="inlineStr">
        <is>
          <t>02/07/2026</t>
        </is>
      </c>
    </row>
    <row r="67">
      <c r="A67" s="3" t="inlineStr">
        <is>
          <t>85877611</t>
        </is>
      </c>
      <c r="B67" s="3" t="n">
        <v>10866932</v>
      </c>
      <c r="C67" s="3" t="inlineStr">
        <is>
          <t>CAIXA07/2026</t>
        </is>
      </c>
      <c r="D67" s="3" t="inlineStr">
        <is>
          <t>Andorinha parafusos ltda</t>
        </is>
      </c>
      <c r="E67" s="3" t="n">
        <v>4.6</v>
      </c>
      <c r="F67" s="3" t="inlineStr">
        <is>
          <t>Enviado</t>
        </is>
      </c>
      <c r="G67" s="3" t="inlineStr">
        <is>
          <t>Saque VExpenses</t>
        </is>
      </c>
      <c r="H67" s="3" t="inlineStr">
        <is>
          <t>01/07/2026</t>
        </is>
      </c>
    </row>
    <row r="68">
      <c r="A68" s="3" t="inlineStr">
        <is>
          <t>86337552</t>
        </is>
      </c>
      <c r="B68" s="3" t="n">
        <v>10866932</v>
      </c>
      <c r="C68" s="3" t="inlineStr">
        <is>
          <t>CAIXA07/2026</t>
        </is>
      </c>
      <c r="D68" s="3" t="inlineStr">
        <is>
          <t>Mobilidade tecnologia ltda</t>
        </is>
      </c>
      <c r="E68" s="3" t="n">
        <v>3.9</v>
      </c>
      <c r="F68" s="3" t="inlineStr">
        <is>
          <t>Enviado</t>
        </is>
      </c>
      <c r="G68" s="3" t="inlineStr">
        <is>
          <t>Saque VExpenses</t>
        </is>
      </c>
      <c r="H68" s="3" t="inlineStr">
        <is>
          <t>07/07/2026</t>
        </is>
      </c>
    </row>
    <row r="70">
      <c r="A70" s="4">
        <f>== SÓ NA AUTOMAÇÃO (não tem na referência) ===</f>
        <v/>
      </c>
    </row>
    <row r="71">
      <c r="A71" s="1" t="inlineStr">
        <is>
          <t>Expense ID</t>
        </is>
      </c>
      <c r="B71" s="1" t="inlineStr">
        <is>
          <t>Report ID</t>
        </is>
      </c>
      <c r="C71" s="1" t="inlineStr">
        <is>
          <t>Report Name</t>
        </is>
      </c>
      <c r="D71" s="1" t="inlineStr">
        <is>
          <t>Descrição</t>
        </is>
      </c>
      <c r="E71" s="1" t="inlineStr">
        <is>
          <t>Valor</t>
        </is>
      </c>
      <c r="F71" s="1" t="inlineStr">
        <is>
          <t>Status</t>
        </is>
      </c>
      <c r="G71" s="1" t="inlineStr">
        <is>
          <t>PMID</t>
        </is>
      </c>
      <c r="H71" s="1" t="inlineStr">
        <is>
          <t>Data</t>
        </is>
      </c>
    </row>
    <row r="73">
      <c r="A73" s="5">
        <f>== VALORES DIFERENTES (mesmo expense ID, valor diferente) ===</f>
        <v/>
      </c>
    </row>
    <row r="74">
      <c r="A74" s="1" t="inlineStr">
        <is>
          <t>Expense ID</t>
        </is>
      </c>
      <c r="B74" s="1" t="inlineStr">
        <is>
          <t>Report ID (Ref)</t>
        </is>
      </c>
      <c r="C74" s="1" t="inlineStr">
        <is>
          <t>Report ID (Ours)</t>
        </is>
      </c>
      <c r="D74" s="1" t="inlineStr">
        <is>
          <t>Descrição (Ref)</t>
        </is>
      </c>
      <c r="E74" s="1" t="inlineStr">
        <is>
          <t>Descrição (Ours)</t>
        </is>
      </c>
      <c r="F74" s="1" t="inlineStr">
        <is>
          <t>Valor Ref</t>
        </is>
      </c>
      <c r="G74" s="1" t="inlineStr">
        <is>
          <t>Valor Automação</t>
        </is>
      </c>
      <c r="H74" s="1" t="inlineStr">
        <is>
          <t>Diferença</t>
        </is>
      </c>
    </row>
    <row r="76">
      <c r="A76" s="6">
        <f>== TOTAIS ===</f>
        <v/>
      </c>
    </row>
    <row r="77">
      <c r="A77" t="inlineStr"/>
      <c r="B77" t="inlineStr"/>
      <c r="C77" t="inlineStr"/>
      <c r="D77" t="inlineStr"/>
      <c r="E77" t="inlineStr">
        <is>
          <t>Soma Só Ref</t>
        </is>
      </c>
      <c r="F77" t="inlineStr">
        <is>
          <t>Soma Só Automação</t>
        </is>
      </c>
      <c r="G77" t="inlineStr">
        <is>
          <t>Dif Valores</t>
        </is>
      </c>
      <c r="H77" t="inlineStr"/>
    </row>
    <row r="78">
      <c r="A78" t="inlineStr"/>
      <c r="B78" t="inlineStr"/>
      <c r="C78" t="inlineStr"/>
      <c r="D78" t="inlineStr"/>
      <c r="E78" t="n">
        <v>5894.82</v>
      </c>
      <c r="F78" t="n">
        <v>0</v>
      </c>
      <c r="G78" t="n">
        <v>0</v>
      </c>
      <c r="H78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35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2">
        <f>== SÓ NA REFERÊNCIA (não temos na automação) ===</f>
        <v/>
      </c>
    </row>
    <row r="2">
      <c r="A2" s="1" t="inlineStr">
        <is>
          <t>Expense ID</t>
        </is>
      </c>
      <c r="B2" s="1" t="inlineStr">
        <is>
          <t>Report ID</t>
        </is>
      </c>
      <c r="C2" s="1" t="inlineStr">
        <is>
          <t>Report Name</t>
        </is>
      </c>
      <c r="D2" s="1" t="inlineStr">
        <is>
          <t>Descrição</t>
        </is>
      </c>
      <c r="E2" s="1" t="inlineStr">
        <is>
          <t>Valor</t>
        </is>
      </c>
      <c r="F2" s="1" t="inlineStr">
        <is>
          <t>Status</t>
        </is>
      </c>
      <c r="G2" s="1" t="inlineStr">
        <is>
          <t>Forma Pgto</t>
        </is>
      </c>
      <c r="H2" s="1" t="inlineStr">
        <is>
          <t>Data</t>
        </is>
      </c>
    </row>
    <row r="3">
      <c r="A3" s="3" t="inlineStr">
        <is>
          <t>70760649</t>
        </is>
      </c>
      <c r="B3" s="3" t="n">
        <v>9302713</v>
      </c>
      <c r="C3" s="3" t="inlineStr">
        <is>
          <t>Cartão vexpenses 11/2025</t>
        </is>
      </c>
      <c r="D3" s="3" t="inlineStr">
        <is>
          <t>NACIONAL ADM</t>
        </is>
      </c>
      <c r="E3" s="3" t="n">
        <v>17.5</v>
      </c>
      <c r="F3" s="3" t="inlineStr">
        <is>
          <t>Aprovado</t>
        </is>
      </c>
      <c r="G3" s="3" t="inlineStr">
        <is>
          <t>Cartão VExpenses</t>
        </is>
      </c>
      <c r="H3" s="3" t="inlineStr">
        <is>
          <t>03/11/2025</t>
        </is>
      </c>
    </row>
    <row r="4">
      <c r="A4" s="3" t="inlineStr">
        <is>
          <t>71750858</t>
        </is>
      </c>
      <c r="B4" s="3" t="n">
        <v>9302713</v>
      </c>
      <c r="C4" s="3" t="inlineStr">
        <is>
          <t>Cartão vexpenses 11/2025</t>
        </is>
      </c>
      <c r="D4" s="3" t="inlineStr">
        <is>
          <t>CONCESSIONARIA DE RODO</t>
        </is>
      </c>
      <c r="E4" s="3" t="n">
        <v>12</v>
      </c>
      <c r="F4" s="3" t="inlineStr">
        <is>
          <t>Aprovado</t>
        </is>
      </c>
      <c r="G4" s="3" t="inlineStr">
        <is>
          <t>Cartão VExpenses</t>
        </is>
      </c>
      <c r="H4" s="3" t="inlineStr">
        <is>
          <t>18/11/2025</t>
        </is>
      </c>
    </row>
    <row r="5">
      <c r="A5" s="3" t="inlineStr">
        <is>
          <t>70869424</t>
        </is>
      </c>
      <c r="B5" s="3" t="n">
        <v>9302713</v>
      </c>
      <c r="C5" s="3" t="inlineStr">
        <is>
          <t>Cartão vexpenses 11/2025</t>
        </is>
      </c>
      <c r="D5" s="3" t="inlineStr">
        <is>
          <t>CONCESSIONARIA DE RODO</t>
        </is>
      </c>
      <c r="E5" s="3" t="n">
        <v>12</v>
      </c>
      <c r="F5" s="3" t="inlineStr">
        <is>
          <t>Aprovado</t>
        </is>
      </c>
      <c r="G5" s="3" t="inlineStr">
        <is>
          <t>Cartão VExpenses</t>
        </is>
      </c>
      <c r="H5" s="3" t="inlineStr">
        <is>
          <t>04/11/2025</t>
        </is>
      </c>
    </row>
    <row r="6">
      <c r="A6" s="3" t="inlineStr">
        <is>
          <t>70871242</t>
        </is>
      </c>
      <c r="B6" s="3" t="n">
        <v>9302713</v>
      </c>
      <c r="C6" s="3" t="inlineStr">
        <is>
          <t>Cartão vexpenses 11/2025</t>
        </is>
      </c>
      <c r="D6" s="3" t="inlineStr">
        <is>
          <t>VIA ARAUCARIA</t>
        </is>
      </c>
      <c r="E6" s="3" t="n">
        <v>9.300000000000001</v>
      </c>
      <c r="F6" s="3" t="inlineStr">
        <is>
          <t>Aprovado</t>
        </is>
      </c>
      <c r="G6" s="3" t="inlineStr">
        <is>
          <t>Cartão VExpenses</t>
        </is>
      </c>
      <c r="H6" s="3" t="inlineStr">
        <is>
          <t>04/11/2025</t>
        </is>
      </c>
    </row>
    <row r="8">
      <c r="A8" s="4">
        <f>== SÓ NA AUTOMAÇÃO (não tem na referência) ===</f>
        <v/>
      </c>
    </row>
    <row r="9">
      <c r="A9" s="1" t="inlineStr">
        <is>
          <t>Expense ID</t>
        </is>
      </c>
      <c r="B9" s="1" t="inlineStr">
        <is>
          <t>Report ID</t>
        </is>
      </c>
      <c r="C9" s="1" t="inlineStr">
        <is>
          <t>Report Name</t>
        </is>
      </c>
      <c r="D9" s="1" t="inlineStr">
        <is>
          <t>Descrição</t>
        </is>
      </c>
      <c r="E9" s="1" t="inlineStr">
        <is>
          <t>Valor</t>
        </is>
      </c>
      <c r="F9" s="1" t="inlineStr">
        <is>
          <t>Status</t>
        </is>
      </c>
      <c r="G9" s="1" t="inlineStr">
        <is>
          <t>PMID</t>
        </is>
      </c>
      <c r="H9" s="1" t="inlineStr">
        <is>
          <t>Data</t>
        </is>
      </c>
    </row>
    <row r="11">
      <c r="A11" s="5">
        <f>== VALORES DIFERENTES (mesmo expense ID, valor diferente) ===</f>
        <v/>
      </c>
    </row>
    <row r="12">
      <c r="A12" s="1" t="inlineStr">
        <is>
          <t>Expense ID</t>
        </is>
      </c>
      <c r="B12" s="1" t="inlineStr">
        <is>
          <t>Report ID (Ref)</t>
        </is>
      </c>
      <c r="C12" s="1" t="inlineStr">
        <is>
          <t>Report ID (Ours)</t>
        </is>
      </c>
      <c r="D12" s="1" t="inlineStr">
        <is>
          <t>Descrição (Ref)</t>
        </is>
      </c>
      <c r="E12" s="1" t="inlineStr">
        <is>
          <t>Descrição (Ours)</t>
        </is>
      </c>
      <c r="F12" s="1" t="inlineStr">
        <is>
          <t>Valor Ref</t>
        </is>
      </c>
      <c r="G12" s="1" t="inlineStr">
        <is>
          <t>Valor Automação</t>
        </is>
      </c>
      <c r="H12" s="1" t="inlineStr">
        <is>
          <t>Diferença</t>
        </is>
      </c>
    </row>
    <row r="14">
      <c r="A14" s="6">
        <f>== TOTAIS ===</f>
        <v/>
      </c>
    </row>
    <row r="15">
      <c r="A15" t="inlineStr"/>
      <c r="B15" t="inlineStr"/>
      <c r="C15" t="inlineStr"/>
      <c r="D15" t="inlineStr"/>
      <c r="E15" t="inlineStr">
        <is>
          <t>Soma Só Ref</t>
        </is>
      </c>
      <c r="F15" t="inlineStr">
        <is>
          <t>Soma Só Automação</t>
        </is>
      </c>
      <c r="G15" t="inlineStr">
        <is>
          <t>Dif Valores</t>
        </is>
      </c>
      <c r="H15" t="inlineStr"/>
    </row>
    <row r="16">
      <c r="A16" t="inlineStr"/>
      <c r="B16" t="inlineStr"/>
      <c r="C16" t="inlineStr"/>
      <c r="D16" t="inlineStr"/>
      <c r="E16" t="n">
        <v>50.8</v>
      </c>
      <c r="F16" t="n">
        <v>0</v>
      </c>
      <c r="G16" t="n">
        <v>0</v>
      </c>
      <c r="H16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35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2">
        <f>== SÓ NA REFERÊNCIA (não temos na automação) ===</f>
        <v/>
      </c>
    </row>
    <row r="2">
      <c r="A2" s="1" t="inlineStr">
        <is>
          <t>Expense ID</t>
        </is>
      </c>
      <c r="B2" s="1" t="inlineStr">
        <is>
          <t>Report ID</t>
        </is>
      </c>
      <c r="C2" s="1" t="inlineStr">
        <is>
          <t>Report Name</t>
        </is>
      </c>
      <c r="D2" s="1" t="inlineStr">
        <is>
          <t>Descrição</t>
        </is>
      </c>
      <c r="E2" s="1" t="inlineStr">
        <is>
          <t>Valor</t>
        </is>
      </c>
      <c r="F2" s="1" t="inlineStr">
        <is>
          <t>Status</t>
        </is>
      </c>
      <c r="G2" s="1" t="inlineStr">
        <is>
          <t>Forma Pgto</t>
        </is>
      </c>
      <c r="H2" s="1" t="inlineStr">
        <is>
          <t>Data</t>
        </is>
      </c>
    </row>
    <row r="3">
      <c r="A3" s="3" t="inlineStr">
        <is>
          <t>88627405</t>
        </is>
      </c>
      <c r="B3" s="3" t="n">
        <v>11254210</v>
      </c>
      <c r="C3" s="3" t="inlineStr">
        <is>
          <t>FATURA 08/2026</t>
        </is>
      </c>
      <c r="D3" s="3" t="inlineStr">
        <is>
          <t>SEDEX CORREIOS</t>
        </is>
      </c>
      <c r="E3" s="3" t="n">
        <v>271.69</v>
      </c>
      <c r="F3" s="3" t="inlineStr">
        <is>
          <t>Enviado</t>
        </is>
      </c>
      <c r="G3" s="3" t="inlineStr">
        <is>
          <t>Saque VExpenses</t>
        </is>
      </c>
      <c r="H3" s="3" t="inlineStr">
        <is>
          <t>16/07/2026</t>
        </is>
      </c>
    </row>
    <row r="4">
      <c r="A4" s="3" t="inlineStr">
        <is>
          <t>88627952</t>
        </is>
      </c>
      <c r="B4" s="3" t="n">
        <v>11254210</v>
      </c>
      <c r="C4" s="3" t="inlineStr">
        <is>
          <t>FATURA 08/2026</t>
        </is>
      </c>
      <c r="D4" s="3" t="inlineStr">
        <is>
          <t>SUPORTE METÁLICO</t>
        </is>
      </c>
      <c r="E4" s="3" t="n">
        <v>220</v>
      </c>
      <c r="F4" s="3" t="inlineStr">
        <is>
          <t>Enviado</t>
        </is>
      </c>
      <c r="G4" s="3" t="inlineStr">
        <is>
          <t>Saque VExpenses</t>
        </is>
      </c>
      <c r="H4" s="3" t="inlineStr">
        <is>
          <t>24/07/2026</t>
        </is>
      </c>
    </row>
    <row r="5">
      <c r="A5" s="3" t="inlineStr">
        <is>
          <t>88628996</t>
        </is>
      </c>
      <c r="B5" s="3" t="n">
        <v>11254210</v>
      </c>
      <c r="C5" s="3" t="inlineStr">
        <is>
          <t>FATURA 08/2026</t>
        </is>
      </c>
      <c r="D5" s="3" t="inlineStr">
        <is>
          <t>ESCRITÓRIO</t>
        </is>
      </c>
      <c r="E5" s="3" t="n">
        <v>101.67</v>
      </c>
      <c r="F5" s="3" t="inlineStr">
        <is>
          <t>Enviado</t>
        </is>
      </c>
      <c r="G5" s="3" t="inlineStr">
        <is>
          <t>Saque VExpenses</t>
        </is>
      </c>
      <c r="H5" s="3" t="inlineStr">
        <is>
          <t>23/07/2026</t>
        </is>
      </c>
    </row>
    <row r="6">
      <c r="A6" s="3" t="inlineStr">
        <is>
          <t>88628794</t>
        </is>
      </c>
      <c r="B6" s="3" t="n">
        <v>11254210</v>
      </c>
      <c r="C6" s="3" t="inlineStr">
        <is>
          <t>FATURA 08/2026</t>
        </is>
      </c>
      <c r="D6" s="3" t="inlineStr">
        <is>
          <t>MATERIAL - FILTRO SECADOR</t>
        </is>
      </c>
      <c r="E6" s="3" t="n">
        <v>91.76000000000001</v>
      </c>
      <c r="F6" s="3" t="inlineStr">
        <is>
          <t>Enviado</t>
        </is>
      </c>
      <c r="G6" s="3" t="inlineStr">
        <is>
          <t>Saque VExpenses</t>
        </is>
      </c>
      <c r="H6" s="3" t="inlineStr">
        <is>
          <t>23/07/2026</t>
        </is>
      </c>
    </row>
    <row r="7">
      <c r="A7" s="3" t="inlineStr">
        <is>
          <t>88628557</t>
        </is>
      </c>
      <c r="B7" s="3" t="n">
        <v>11254210</v>
      </c>
      <c r="C7" s="3" t="inlineStr">
        <is>
          <t>FATURA 08/2026</t>
        </is>
      </c>
      <c r="D7" s="3" t="inlineStr">
        <is>
          <t>MATERIAL DE IMPRESSÃO DOCUMENTOS</t>
        </is>
      </c>
      <c r="E7" s="3" t="n">
        <v>49</v>
      </c>
      <c r="F7" s="3" t="inlineStr">
        <is>
          <t>Enviado</t>
        </is>
      </c>
      <c r="G7" s="3" t="inlineStr">
        <is>
          <t>Saque VExpenses</t>
        </is>
      </c>
      <c r="H7" s="3" t="inlineStr">
        <is>
          <t>17/07/2026</t>
        </is>
      </c>
    </row>
    <row r="8">
      <c r="A8" s="3" t="inlineStr">
        <is>
          <t>88628146</t>
        </is>
      </c>
      <c r="B8" s="3" t="n">
        <v>11254210</v>
      </c>
      <c r="C8" s="3" t="inlineStr">
        <is>
          <t>FATURA 08/2026</t>
        </is>
      </c>
      <c r="D8" s="3" t="inlineStr">
        <is>
          <t>ESTACIONAMENTO - AGST</t>
        </is>
      </c>
      <c r="E8" s="3" t="n">
        <v>25</v>
      </c>
      <c r="F8" s="3" t="inlineStr">
        <is>
          <t>Enviado</t>
        </is>
      </c>
      <c r="G8" s="3" t="inlineStr">
        <is>
          <t>Saque VExpenses</t>
        </is>
      </c>
      <c r="H8" s="3" t="inlineStr">
        <is>
          <t>07/07/2026</t>
        </is>
      </c>
    </row>
    <row r="9">
      <c r="A9" s="3" t="inlineStr">
        <is>
          <t>88628281</t>
        </is>
      </c>
      <c r="B9" s="3" t="n">
        <v>11254210</v>
      </c>
      <c r="C9" s="3" t="inlineStr">
        <is>
          <t>FATURA 08/2026</t>
        </is>
      </c>
      <c r="D9" s="3" t="inlineStr">
        <is>
          <t>ESTACIONAMENTO - AGST</t>
        </is>
      </c>
      <c r="E9" s="3" t="n">
        <v>21</v>
      </c>
      <c r="F9" s="3" t="inlineStr">
        <is>
          <t>Enviado</t>
        </is>
      </c>
      <c r="G9" s="3" t="inlineStr">
        <is>
          <t>Saque VExpenses</t>
        </is>
      </c>
      <c r="H9" s="3" t="inlineStr">
        <is>
          <t>09/07/2026</t>
        </is>
      </c>
    </row>
    <row r="10">
      <c r="A10" s="3" t="inlineStr">
        <is>
          <t>88627611</t>
        </is>
      </c>
      <c r="B10" s="3" t="n">
        <v>11254210</v>
      </c>
      <c r="C10" s="3" t="inlineStr">
        <is>
          <t>FATURA 08/2026</t>
        </is>
      </c>
      <c r="D10" s="3" t="inlineStr">
        <is>
          <t>ESTACIONAMENTO - CEF FACILITIES PE</t>
        </is>
      </c>
      <c r="E10" s="3" t="n">
        <v>20</v>
      </c>
      <c r="F10" s="3" t="inlineStr">
        <is>
          <t>Enviado</t>
        </is>
      </c>
      <c r="G10" s="3" t="inlineStr">
        <is>
          <t>Saque VExpenses</t>
        </is>
      </c>
      <c r="H10" s="3" t="inlineStr">
        <is>
          <t>30/07/2026</t>
        </is>
      </c>
    </row>
    <row r="12">
      <c r="A12" s="4">
        <f>== SÓ NA AUTOMAÇÃO (não tem na referência) ===</f>
        <v/>
      </c>
    </row>
    <row r="13">
      <c r="A13" s="1" t="inlineStr">
        <is>
          <t>Expense ID</t>
        </is>
      </c>
      <c r="B13" s="1" t="inlineStr">
        <is>
          <t>Report ID</t>
        </is>
      </c>
      <c r="C13" s="1" t="inlineStr">
        <is>
          <t>Report Name</t>
        </is>
      </c>
      <c r="D13" s="1" t="inlineStr">
        <is>
          <t>Descrição</t>
        </is>
      </c>
      <c r="E13" s="1" t="inlineStr">
        <is>
          <t>Valor</t>
        </is>
      </c>
      <c r="F13" s="1" t="inlineStr">
        <is>
          <t>Status</t>
        </is>
      </c>
      <c r="G13" s="1" t="inlineStr">
        <is>
          <t>PMID</t>
        </is>
      </c>
      <c r="H13" s="1" t="inlineStr">
        <is>
          <t>Data</t>
        </is>
      </c>
    </row>
    <row r="15">
      <c r="A15" s="5">
        <f>== VALORES DIFERENTES (mesmo expense ID, valor diferente) ===</f>
        <v/>
      </c>
    </row>
    <row r="16">
      <c r="A16" s="1" t="inlineStr">
        <is>
          <t>Expense ID</t>
        </is>
      </c>
      <c r="B16" s="1" t="inlineStr">
        <is>
          <t>Report ID (Ref)</t>
        </is>
      </c>
      <c r="C16" s="1" t="inlineStr">
        <is>
          <t>Report ID (Ours)</t>
        </is>
      </c>
      <c r="D16" s="1" t="inlineStr">
        <is>
          <t>Descrição (Ref)</t>
        </is>
      </c>
      <c r="E16" s="1" t="inlineStr">
        <is>
          <t>Descrição (Ours)</t>
        </is>
      </c>
      <c r="F16" s="1" t="inlineStr">
        <is>
          <t>Valor Ref</t>
        </is>
      </c>
      <c r="G16" s="1" t="inlineStr">
        <is>
          <t>Valor Automação</t>
        </is>
      </c>
      <c r="H16" s="1" t="inlineStr">
        <is>
          <t>Diferença</t>
        </is>
      </c>
    </row>
    <row r="18">
      <c r="A18" s="6">
        <f>== TOTAIS ===</f>
        <v/>
      </c>
    </row>
    <row r="19">
      <c r="A19" t="inlineStr"/>
      <c r="B19" t="inlineStr"/>
      <c r="C19" t="inlineStr"/>
      <c r="D19" t="inlineStr"/>
      <c r="E19" t="inlineStr">
        <is>
          <t>Soma Só Ref</t>
        </is>
      </c>
      <c r="F19" t="inlineStr">
        <is>
          <t>Soma Só Automação</t>
        </is>
      </c>
      <c r="G19" t="inlineStr">
        <is>
          <t>Dif Valores</t>
        </is>
      </c>
      <c r="H19" t="inlineStr"/>
    </row>
    <row r="20">
      <c r="A20" t="inlineStr"/>
      <c r="B20" t="inlineStr"/>
      <c r="C20" t="inlineStr"/>
      <c r="D20" t="inlineStr"/>
      <c r="E20" t="n">
        <v>800.12</v>
      </c>
      <c r="F20" t="n">
        <v>0</v>
      </c>
      <c r="G20" t="n">
        <v>0</v>
      </c>
      <c r="H20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35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2">
        <f>== SÓ NA REFERÊNCIA (não temos na automação) ===</f>
        <v/>
      </c>
    </row>
    <row r="2">
      <c r="A2" s="1" t="inlineStr">
        <is>
          <t>Expense ID</t>
        </is>
      </c>
      <c r="B2" s="1" t="inlineStr">
        <is>
          <t>Report ID</t>
        </is>
      </c>
      <c r="C2" s="1" t="inlineStr">
        <is>
          <t>Report Name</t>
        </is>
      </c>
      <c r="D2" s="1" t="inlineStr">
        <is>
          <t>Descrição</t>
        </is>
      </c>
      <c r="E2" s="1" t="inlineStr">
        <is>
          <t>Valor</t>
        </is>
      </c>
      <c r="F2" s="1" t="inlineStr">
        <is>
          <t>Status</t>
        </is>
      </c>
      <c r="G2" s="1" t="inlineStr">
        <is>
          <t>Forma Pgto</t>
        </is>
      </c>
      <c r="H2" s="1" t="inlineStr">
        <is>
          <t>Data</t>
        </is>
      </c>
    </row>
    <row r="3">
      <c r="A3" s="3" t="inlineStr">
        <is>
          <t>63182854</t>
        </is>
      </c>
      <c r="B3" s="3" t="n">
        <v>7853208</v>
      </c>
      <c r="C3" s="3" t="inlineStr">
        <is>
          <t>FATURA 07/2025</t>
        </is>
      </c>
      <c r="D3" s="3" t="inlineStr">
        <is>
          <t>SUL RECARGAS</t>
        </is>
      </c>
      <c r="E3" s="3" t="n">
        <v>70</v>
      </c>
      <c r="F3" s="3" t="inlineStr">
        <is>
          <t>Aprovado</t>
        </is>
      </c>
      <c r="G3" s="3" t="inlineStr">
        <is>
          <t>Cartão VExpenses</t>
        </is>
      </c>
      <c r="H3" s="3" t="inlineStr">
        <is>
          <t>02/07/2025</t>
        </is>
      </c>
    </row>
    <row r="5">
      <c r="A5" s="4">
        <f>== SÓ NA AUTOMAÇÃO (não tem na referência) ===</f>
        <v/>
      </c>
    </row>
    <row r="6">
      <c r="A6" s="1" t="inlineStr">
        <is>
          <t>Expense ID</t>
        </is>
      </c>
      <c r="B6" s="1" t="inlineStr">
        <is>
          <t>Report ID</t>
        </is>
      </c>
      <c r="C6" s="1" t="inlineStr">
        <is>
          <t>Report Name</t>
        </is>
      </c>
      <c r="D6" s="1" t="inlineStr">
        <is>
          <t>Descrição</t>
        </is>
      </c>
      <c r="E6" s="1" t="inlineStr">
        <is>
          <t>Valor</t>
        </is>
      </c>
      <c r="F6" s="1" t="inlineStr">
        <is>
          <t>Status</t>
        </is>
      </c>
      <c r="G6" s="1" t="inlineStr">
        <is>
          <t>PMID</t>
        </is>
      </c>
      <c r="H6" s="1" t="inlineStr">
        <is>
          <t>Data</t>
        </is>
      </c>
    </row>
    <row r="8">
      <c r="A8" s="5">
        <f>== VALORES DIFERENTES (mesmo expense ID, valor diferente) ===</f>
        <v/>
      </c>
    </row>
    <row r="9">
      <c r="A9" s="1" t="inlineStr">
        <is>
          <t>Expense ID</t>
        </is>
      </c>
      <c r="B9" s="1" t="inlineStr">
        <is>
          <t>Report ID (Ref)</t>
        </is>
      </c>
      <c r="C9" s="1" t="inlineStr">
        <is>
          <t>Report ID (Ours)</t>
        </is>
      </c>
      <c r="D9" s="1" t="inlineStr">
        <is>
          <t>Descrição (Ref)</t>
        </is>
      </c>
      <c r="E9" s="1" t="inlineStr">
        <is>
          <t>Descrição (Ours)</t>
        </is>
      </c>
      <c r="F9" s="1" t="inlineStr">
        <is>
          <t>Valor Ref</t>
        </is>
      </c>
      <c r="G9" s="1" t="inlineStr">
        <is>
          <t>Valor Automação</t>
        </is>
      </c>
      <c r="H9" s="1" t="inlineStr">
        <is>
          <t>Diferença</t>
        </is>
      </c>
    </row>
    <row r="11">
      <c r="A11" s="6">
        <f>== TOTAIS ===</f>
        <v/>
      </c>
    </row>
    <row r="12">
      <c r="A12" t="inlineStr"/>
      <c r="B12" t="inlineStr"/>
      <c r="C12" t="inlineStr"/>
      <c r="D12" t="inlineStr"/>
      <c r="E12" t="inlineStr">
        <is>
          <t>Soma Só Ref</t>
        </is>
      </c>
      <c r="F12" t="inlineStr">
        <is>
          <t>Soma Só Automação</t>
        </is>
      </c>
      <c r="G12" t="inlineStr">
        <is>
          <t>Dif Valores</t>
        </is>
      </c>
      <c r="H12" t="inlineStr"/>
    </row>
    <row r="13">
      <c r="A13" t="inlineStr"/>
      <c r="B13" t="inlineStr"/>
      <c r="C13" t="inlineStr"/>
      <c r="D13" t="inlineStr"/>
      <c r="E13" t="n">
        <v>70</v>
      </c>
      <c r="F13" t="n">
        <v>0</v>
      </c>
      <c r="G13" t="n">
        <v>0</v>
      </c>
      <c r="H13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35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2">
        <f>== SÓ NA REFERÊNCIA (não temos na automação) ===</f>
        <v/>
      </c>
    </row>
    <row r="2">
      <c r="A2" s="1" t="inlineStr">
        <is>
          <t>Expense ID</t>
        </is>
      </c>
      <c r="B2" s="1" t="inlineStr">
        <is>
          <t>Report ID</t>
        </is>
      </c>
      <c r="C2" s="1" t="inlineStr">
        <is>
          <t>Report Name</t>
        </is>
      </c>
      <c r="D2" s="1" t="inlineStr">
        <is>
          <t>Descrição</t>
        </is>
      </c>
      <c r="E2" s="1" t="inlineStr">
        <is>
          <t>Valor</t>
        </is>
      </c>
      <c r="F2" s="1" t="inlineStr">
        <is>
          <t>Status</t>
        </is>
      </c>
      <c r="G2" s="1" t="inlineStr">
        <is>
          <t>Forma Pgto</t>
        </is>
      </c>
      <c r="H2" s="1" t="inlineStr">
        <is>
          <t>Data</t>
        </is>
      </c>
    </row>
    <row r="3">
      <c r="A3" s="3" t="inlineStr">
        <is>
          <t>88630743</t>
        </is>
      </c>
      <c r="B3" s="3" t="n">
        <v>11248602</v>
      </c>
      <c r="C3" s="3" t="inlineStr">
        <is>
          <t>CAIXA 07/2026</t>
        </is>
      </c>
      <c r="D3" s="3" t="inlineStr">
        <is>
          <t>Estacionamento</t>
        </is>
      </c>
      <c r="E3" s="3" t="n">
        <v>488.75</v>
      </c>
      <c r="F3" s="3" t="inlineStr">
        <is>
          <t>Enviado</t>
        </is>
      </c>
      <c r="G3" s="3" t="inlineStr">
        <is>
          <t>Saque VExpenses</t>
        </is>
      </c>
      <c r="H3" s="3" t="inlineStr">
        <is>
          <t>31/07/2026</t>
        </is>
      </c>
    </row>
    <row r="4">
      <c r="A4" s="3" t="inlineStr">
        <is>
          <t>88627998</t>
        </is>
      </c>
      <c r="B4" s="3" t="n">
        <v>11248602</v>
      </c>
      <c r="C4" s="3" t="inlineStr">
        <is>
          <t>CAIXA 07/2026</t>
        </is>
      </c>
      <c r="D4" s="3" t="inlineStr">
        <is>
          <t>Eletro Ferragens Faria Ltda</t>
        </is>
      </c>
      <c r="E4" s="3" t="n">
        <v>224.25</v>
      </c>
      <c r="F4" s="3" t="inlineStr">
        <is>
          <t>Enviado</t>
        </is>
      </c>
      <c r="G4" s="3" t="inlineStr">
        <is>
          <t>Saque VExpenses</t>
        </is>
      </c>
      <c r="H4" s="3" t="inlineStr">
        <is>
          <t>23/07/2026</t>
        </is>
      </c>
    </row>
    <row r="5">
      <c r="A5" s="3" t="inlineStr">
        <is>
          <t>88631035</t>
        </is>
      </c>
      <c r="B5" s="3" t="n">
        <v>11248602</v>
      </c>
      <c r="C5" s="3" t="inlineStr">
        <is>
          <t>CAIXA 07/2026</t>
        </is>
      </c>
      <c r="D5" s="3" t="inlineStr">
        <is>
          <t>Pedágios</t>
        </is>
      </c>
      <c r="E5" s="3" t="n">
        <v>58.1</v>
      </c>
      <c r="F5" s="3" t="inlineStr">
        <is>
          <t>Enviado</t>
        </is>
      </c>
      <c r="G5" s="3" t="inlineStr">
        <is>
          <t>Saque VExpenses</t>
        </is>
      </c>
      <c r="H5" s="3" t="inlineStr">
        <is>
          <t>31/07/2026</t>
        </is>
      </c>
    </row>
    <row r="6">
      <c r="A6" s="3" t="inlineStr">
        <is>
          <t>88631274</t>
        </is>
      </c>
      <c r="B6" s="3" t="n">
        <v>11248602</v>
      </c>
      <c r="C6" s="3" t="inlineStr">
        <is>
          <t>CAIXA 07/2026</t>
        </is>
      </c>
      <c r="D6" s="3" t="inlineStr">
        <is>
          <t>Auto Peças Alterosas Ltda</t>
        </is>
      </c>
      <c r="E6" s="3" t="n">
        <v>46</v>
      </c>
      <c r="F6" s="3" t="inlineStr">
        <is>
          <t>Enviado</t>
        </is>
      </c>
      <c r="G6" s="3" t="inlineStr">
        <is>
          <t>Saque VExpenses</t>
        </is>
      </c>
      <c r="H6" s="3" t="inlineStr">
        <is>
          <t>27/07/2026</t>
        </is>
      </c>
    </row>
    <row r="7">
      <c r="A7" s="3" t="inlineStr">
        <is>
          <t>88627332</t>
        </is>
      </c>
      <c r="B7" s="3" t="n">
        <v>11248602</v>
      </c>
      <c r="C7" s="3" t="inlineStr">
        <is>
          <t>CAIXA 07/2026</t>
        </is>
      </c>
      <c r="D7" s="3" t="inlineStr">
        <is>
          <t>Ademir Coelho Silva</t>
        </is>
      </c>
      <c r="E7" s="3" t="n">
        <v>45</v>
      </c>
      <c r="F7" s="3" t="inlineStr">
        <is>
          <t>Enviado</t>
        </is>
      </c>
      <c r="G7" s="3" t="inlineStr">
        <is>
          <t>Saque VExpenses</t>
        </is>
      </c>
      <c r="H7" s="3" t="inlineStr">
        <is>
          <t>13/07/2026</t>
        </is>
      </c>
    </row>
    <row r="8">
      <c r="A8" s="3" t="inlineStr">
        <is>
          <t>88631286</t>
        </is>
      </c>
      <c r="B8" s="3" t="n">
        <v>11248602</v>
      </c>
      <c r="C8" s="3" t="inlineStr">
        <is>
          <t>CAIXA 07/2026</t>
        </is>
      </c>
      <c r="D8" s="3" t="inlineStr">
        <is>
          <t>Sertaneja Com. de Produtos Agrop. Ltda</t>
        </is>
      </c>
      <c r="E8" s="3" t="n">
        <v>35.3</v>
      </c>
      <c r="F8" s="3" t="inlineStr">
        <is>
          <t>Enviado</t>
        </is>
      </c>
      <c r="G8" s="3" t="inlineStr">
        <is>
          <t>Saque VExpenses</t>
        </is>
      </c>
      <c r="H8" s="3" t="inlineStr">
        <is>
          <t>22/07/2026</t>
        </is>
      </c>
    </row>
    <row r="9">
      <c r="A9" s="3" t="inlineStr">
        <is>
          <t>88631299</t>
        </is>
      </c>
      <c r="B9" s="3" t="n">
        <v>11248602</v>
      </c>
      <c r="C9" s="3" t="inlineStr">
        <is>
          <t>CAIXA 07/2026</t>
        </is>
      </c>
      <c r="D9" s="3" t="inlineStr">
        <is>
          <t>Analux Anavan Ltda</t>
        </is>
      </c>
      <c r="E9" s="3" t="n">
        <v>35</v>
      </c>
      <c r="F9" s="3" t="inlineStr">
        <is>
          <t>Enviado</t>
        </is>
      </c>
      <c r="G9" s="3" t="inlineStr">
        <is>
          <t>Saque VExpenses</t>
        </is>
      </c>
      <c r="H9" s="3" t="inlineStr">
        <is>
          <t>10/07/2026</t>
        </is>
      </c>
    </row>
    <row r="10">
      <c r="A10" s="3" t="inlineStr">
        <is>
          <t>88631294</t>
        </is>
      </c>
      <c r="B10" s="3" t="n">
        <v>11248602</v>
      </c>
      <c r="C10" s="3" t="inlineStr">
        <is>
          <t>CAIXA 07/2026</t>
        </is>
      </c>
      <c r="D10" s="3" t="inlineStr">
        <is>
          <t>Supermercado Super Luna SA</t>
        </is>
      </c>
      <c r="E10" s="3" t="n">
        <v>29.96</v>
      </c>
      <c r="F10" s="3" t="inlineStr">
        <is>
          <t>Enviado</t>
        </is>
      </c>
      <c r="G10" s="3" t="inlineStr">
        <is>
          <t>Saque VExpenses</t>
        </is>
      </c>
      <c r="H10" s="3" t="inlineStr">
        <is>
          <t>14/07/2026</t>
        </is>
      </c>
    </row>
    <row r="11">
      <c r="A11" s="3" t="inlineStr">
        <is>
          <t>86408000</t>
        </is>
      </c>
      <c r="B11" s="3" t="n">
        <v>11248602</v>
      </c>
      <c r="C11" s="3" t="inlineStr">
        <is>
          <t>CAIXA 07/2026</t>
        </is>
      </c>
      <c r="D11" s="3" t="inlineStr">
        <is>
          <t>Sendas Distribuidora</t>
        </is>
      </c>
      <c r="E11" s="3" t="n">
        <v>19.8</v>
      </c>
      <c r="F11" s="3" t="inlineStr">
        <is>
          <t>Enviado</t>
        </is>
      </c>
      <c r="G11" s="3" t="inlineStr">
        <is>
          <t>Saque VExpenses</t>
        </is>
      </c>
      <c r="H11" s="3" t="inlineStr">
        <is>
          <t>21/06/2026</t>
        </is>
      </c>
    </row>
    <row r="13">
      <c r="A13" s="4">
        <f>== SÓ NA AUTOMAÇÃO (não tem na referência) ===</f>
        <v/>
      </c>
    </row>
    <row r="14">
      <c r="A14" s="1" t="inlineStr">
        <is>
          <t>Expense ID</t>
        </is>
      </c>
      <c r="B14" s="1" t="inlineStr">
        <is>
          <t>Report ID</t>
        </is>
      </c>
      <c r="C14" s="1" t="inlineStr">
        <is>
          <t>Report Name</t>
        </is>
      </c>
      <c r="D14" s="1" t="inlineStr">
        <is>
          <t>Descrição</t>
        </is>
      </c>
      <c r="E14" s="1" t="inlineStr">
        <is>
          <t>Valor</t>
        </is>
      </c>
      <c r="F14" s="1" t="inlineStr">
        <is>
          <t>Status</t>
        </is>
      </c>
      <c r="G14" s="1" t="inlineStr">
        <is>
          <t>PMID</t>
        </is>
      </c>
      <c r="H14" s="1" t="inlineStr">
        <is>
          <t>Data</t>
        </is>
      </c>
    </row>
    <row r="16">
      <c r="A16" s="5">
        <f>== VALORES DIFERENTES (mesmo expense ID, valor diferente) ===</f>
        <v/>
      </c>
    </row>
    <row r="17">
      <c r="A17" s="1" t="inlineStr">
        <is>
          <t>Expense ID</t>
        </is>
      </c>
      <c r="B17" s="1" t="inlineStr">
        <is>
          <t>Report ID (Ref)</t>
        </is>
      </c>
      <c r="C17" s="1" t="inlineStr">
        <is>
          <t>Report ID (Ours)</t>
        </is>
      </c>
      <c r="D17" s="1" t="inlineStr">
        <is>
          <t>Descrição (Ref)</t>
        </is>
      </c>
      <c r="E17" s="1" t="inlineStr">
        <is>
          <t>Descrição (Ours)</t>
        </is>
      </c>
      <c r="F17" s="1" t="inlineStr">
        <is>
          <t>Valor Ref</t>
        </is>
      </c>
      <c r="G17" s="1" t="inlineStr">
        <is>
          <t>Valor Automação</t>
        </is>
      </c>
      <c r="H17" s="1" t="inlineStr">
        <is>
          <t>Diferença</t>
        </is>
      </c>
    </row>
    <row r="19">
      <c r="A19" s="6">
        <f>== TOTAIS ===</f>
        <v/>
      </c>
    </row>
    <row r="20">
      <c r="A20" t="inlineStr"/>
      <c r="B20" t="inlineStr"/>
      <c r="C20" t="inlineStr"/>
      <c r="D20" t="inlineStr"/>
      <c r="E20" t="inlineStr">
        <is>
          <t>Soma Só Ref</t>
        </is>
      </c>
      <c r="F20" t="inlineStr">
        <is>
          <t>Soma Só Automação</t>
        </is>
      </c>
      <c r="G20" t="inlineStr">
        <is>
          <t>Dif Valores</t>
        </is>
      </c>
      <c r="H20" t="inlineStr"/>
    </row>
    <row r="21">
      <c r="A21" t="inlineStr"/>
      <c r="B21" t="inlineStr"/>
      <c r="C21" t="inlineStr"/>
      <c r="D21" t="inlineStr"/>
      <c r="E21" t="n">
        <v>982.16</v>
      </c>
      <c r="F21" t="n">
        <v>0</v>
      </c>
      <c r="G21" t="n">
        <v>0</v>
      </c>
      <c r="H21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35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2">
        <f>== SÓ NA REFERÊNCIA (não temos na automação) ===</f>
        <v/>
      </c>
    </row>
    <row r="2">
      <c r="A2" s="1" t="inlineStr">
        <is>
          <t>Expense ID</t>
        </is>
      </c>
      <c r="B2" s="1" t="inlineStr">
        <is>
          <t>Report ID</t>
        </is>
      </c>
      <c r="C2" s="1" t="inlineStr">
        <is>
          <t>Report Name</t>
        </is>
      </c>
      <c r="D2" s="1" t="inlineStr">
        <is>
          <t>Descrição</t>
        </is>
      </c>
      <c r="E2" s="1" t="inlineStr">
        <is>
          <t>Valor</t>
        </is>
      </c>
      <c r="F2" s="1" t="inlineStr">
        <is>
          <t>Status</t>
        </is>
      </c>
      <c r="G2" s="1" t="inlineStr">
        <is>
          <t>Forma Pgto</t>
        </is>
      </c>
      <c r="H2" s="1" t="inlineStr">
        <is>
          <t>Data</t>
        </is>
      </c>
    </row>
    <row r="3">
      <c r="A3" s="3" t="inlineStr">
        <is>
          <t>82814004</t>
        </is>
      </c>
      <c r="B3" s="3" t="n">
        <v>10467383</v>
      </c>
      <c r="C3" s="3" t="inlineStr">
        <is>
          <t>FATURA 06/2026 MANUAL</t>
        </is>
      </c>
      <c r="D3" s="3" t="inlineStr">
        <is>
          <t>mat</t>
        </is>
      </c>
      <c r="E3" s="3" t="n">
        <v>255</v>
      </c>
      <c r="F3" s="3" t="inlineStr">
        <is>
          <t>Aprovado</t>
        </is>
      </c>
      <c r="G3" s="3" t="inlineStr">
        <is>
          <t>Saque VExpenses</t>
        </is>
      </c>
      <c r="H3" s="3" t="inlineStr">
        <is>
          <t>16/05/2026</t>
        </is>
      </c>
    </row>
    <row r="4">
      <c r="A4" s="3" t="inlineStr">
        <is>
          <t>82814069</t>
        </is>
      </c>
      <c r="B4" s="3" t="n">
        <v>10467383</v>
      </c>
      <c r="C4" s="3" t="inlineStr">
        <is>
          <t>FATURA 06/2026 MANUAL</t>
        </is>
      </c>
      <c r="D4" s="3" t="inlineStr">
        <is>
          <t>mat</t>
        </is>
      </c>
      <c r="E4" s="3" t="n">
        <v>82.40000000000001</v>
      </c>
      <c r="F4" s="3" t="inlineStr">
        <is>
          <t>Aprovado</t>
        </is>
      </c>
      <c r="G4" s="3" t="inlineStr">
        <is>
          <t>Saque VExpenses</t>
        </is>
      </c>
      <c r="H4" s="3" t="inlineStr">
        <is>
          <t>16/05/2026</t>
        </is>
      </c>
    </row>
    <row r="6">
      <c r="A6" s="4">
        <f>== SÓ NA AUTOMAÇÃO (não tem na referência) ===</f>
        <v/>
      </c>
    </row>
    <row r="7">
      <c r="A7" s="1" t="inlineStr">
        <is>
          <t>Expense ID</t>
        </is>
      </c>
      <c r="B7" s="1" t="inlineStr">
        <is>
          <t>Report ID</t>
        </is>
      </c>
      <c r="C7" s="1" t="inlineStr">
        <is>
          <t>Report Name</t>
        </is>
      </c>
      <c r="D7" s="1" t="inlineStr">
        <is>
          <t>Descrição</t>
        </is>
      </c>
      <c r="E7" s="1" t="inlineStr">
        <is>
          <t>Valor</t>
        </is>
      </c>
      <c r="F7" s="1" t="inlineStr">
        <is>
          <t>Status</t>
        </is>
      </c>
      <c r="G7" s="1" t="inlineStr">
        <is>
          <t>PMID</t>
        </is>
      </c>
      <c r="H7" s="1" t="inlineStr">
        <is>
          <t>Data</t>
        </is>
      </c>
    </row>
    <row r="9">
      <c r="A9" s="5">
        <f>== VALORES DIFERENTES (mesmo expense ID, valor diferente) ===</f>
        <v/>
      </c>
    </row>
    <row r="10">
      <c r="A10" s="1" t="inlineStr">
        <is>
          <t>Expense ID</t>
        </is>
      </c>
      <c r="B10" s="1" t="inlineStr">
        <is>
          <t>Report ID (Ref)</t>
        </is>
      </c>
      <c r="C10" s="1" t="inlineStr">
        <is>
          <t>Report ID (Ours)</t>
        </is>
      </c>
      <c r="D10" s="1" t="inlineStr">
        <is>
          <t>Descrição (Ref)</t>
        </is>
      </c>
      <c r="E10" s="1" t="inlineStr">
        <is>
          <t>Descrição (Ours)</t>
        </is>
      </c>
      <c r="F10" s="1" t="inlineStr">
        <is>
          <t>Valor Ref</t>
        </is>
      </c>
      <c r="G10" s="1" t="inlineStr">
        <is>
          <t>Valor Automação</t>
        </is>
      </c>
      <c r="H10" s="1" t="inlineStr">
        <is>
          <t>Diferença</t>
        </is>
      </c>
    </row>
    <row r="12">
      <c r="A12" s="6">
        <f>== TOTAIS ===</f>
        <v/>
      </c>
    </row>
    <row r="13">
      <c r="A13" t="inlineStr"/>
      <c r="B13" t="inlineStr"/>
      <c r="C13" t="inlineStr"/>
      <c r="D13" t="inlineStr"/>
      <c r="E13" t="inlineStr">
        <is>
          <t>Soma Só Ref</t>
        </is>
      </c>
      <c r="F13" t="inlineStr">
        <is>
          <t>Soma Só Automação</t>
        </is>
      </c>
      <c r="G13" t="inlineStr">
        <is>
          <t>Dif Valores</t>
        </is>
      </c>
      <c r="H13" t="inlineStr"/>
    </row>
    <row r="14">
      <c r="A14" t="inlineStr"/>
      <c r="B14" t="inlineStr"/>
      <c r="C14" t="inlineStr"/>
      <c r="D14" t="inlineStr"/>
      <c r="E14" t="n">
        <v>337.4</v>
      </c>
      <c r="F14" t="n">
        <v>0</v>
      </c>
      <c r="G14" t="n">
        <v>0</v>
      </c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2026-08-14T18:07:09Z</dcterms:created>
  <dcterms:modified xmlns:dcterms="http://purl.org/dc/terms/" xmlns:xsi="http://www.w3.org/2001/XMLSchema-instance" xsi:type="dcterms:W3CDTF">2026-08-14T18:07:09Z</dcterms:modified>
</cp:coreProperties>
</file>